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3.xml" ContentType="application/vnd.openxmlformats-officedocument.spreadsheetml.pivotTable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4.xml" ContentType="application/vnd.openxmlformats-officedocument.spreadsheetml.pivotTable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drawings/drawing9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drawings/drawing10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ivotTables/pivotTable31.xml" ContentType="application/vnd.openxmlformats-officedocument.spreadsheetml.pivotTable+xml"/>
  <Override PartName="/xl/drawings/drawing11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pivotTables/pivotTable32.xml" ContentType="application/vnd.openxmlformats-officedocument.spreadsheetml.pivotTable+xml"/>
  <Override PartName="/xl/drawings/drawing12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pivotTables/pivotTable33.xml" ContentType="application/vnd.openxmlformats-officedocument.spreadsheetml.pivotTable+xml"/>
  <Override PartName="/xl/drawings/drawing13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 April\"/>
    </mc:Choice>
  </mc:AlternateContent>
  <xr:revisionPtr revIDLastSave="0" documentId="13_ncr:1_{2CC8F8B0-78ED-46BC-8514-6A495CAE483D}" xr6:coauthVersionLast="47" xr6:coauthVersionMax="47" xr10:uidLastSave="{00000000-0000-0000-0000-000000000000}"/>
  <bookViews>
    <workbookView xWindow="-120" yWindow="-120" windowWidth="20730" windowHeight="11760" firstSheet="11" activeTab="15" xr2:uid="{E9915D6D-5C8E-4753-8355-32CAC7BA378A}"/>
  </bookViews>
  <sheets>
    <sheet name="Branch " sheetId="3" r:id="rId1"/>
    <sheet name="Heading" sheetId="2" r:id="rId2"/>
    <sheet name="Rating Kategori" sheetId="6" r:id="rId3"/>
    <sheet name="Jam Ramai" sheetId="5" r:id="rId4"/>
    <sheet name="Customer Type" sheetId="8" r:id="rId5"/>
    <sheet name="Gender" sheetId="13" r:id="rId6"/>
    <sheet name="Metode pembayaran" sheetId="14" r:id="rId7"/>
    <sheet name="keuntungan produk kategori" sheetId="15" r:id="rId8"/>
    <sheet name="Rating n Gross Kategori" sheetId="16" r:id="rId9"/>
    <sheet name="Hari Ramai" sheetId="18" r:id="rId10"/>
    <sheet name="Sheet2" sheetId="23" r:id="rId11"/>
    <sheet name="Sheet3" sheetId="24" r:id="rId12"/>
    <sheet name="Sheet4" sheetId="25" r:id="rId13"/>
    <sheet name="Sheet5" sheetId="26" r:id="rId14"/>
    <sheet name="supermarket_sales_CSV" sheetId="1" r:id="rId15"/>
    <sheet name="Dashboard" sheetId="21" r:id="rId16"/>
  </sheets>
  <definedNames>
    <definedName name="_xlnm._FilterDatabase" localSheetId="14" hidden="1">supermarket_sales_CSV!$A$1:$T$1</definedName>
  </definedNames>
  <calcPr calcId="191029"/>
  <pivotCaches>
    <pivotCache cacheId="0" r:id="rId17"/>
    <pivotCache cacheId="1" r:id="rId18"/>
    <pivotCache cacheId="2" r:id="rId19"/>
    <pivotCache cacheId="26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3" i="1"/>
  <c r="T4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2" i="1"/>
</calcChain>
</file>

<file path=xl/sharedStrings.xml><?xml version="1.0" encoding="utf-8"?>
<sst xmlns="http://schemas.openxmlformats.org/spreadsheetml/2006/main" count="7871" uniqueCount="1113">
  <si>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</si>
  <si>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</si>
  <si>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</si>
  <si>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</si>
  <si>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</si>
  <si>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</si>
  <si>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</si>
  <si>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</si>
  <si>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</si>
  <si>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</si>
  <si>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</si>
  <si>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</si>
  <si>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</si>
  <si>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</si>
  <si>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</si>
  <si>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</si>
  <si>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</si>
  <si>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</si>
  <si>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</si>
  <si>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</si>
  <si>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</si>
  <si>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</si>
  <si>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</si>
  <si>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</si>
  <si>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</si>
  <si>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</si>
  <si>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</si>
  <si>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</si>
  <si>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</si>
  <si>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</si>
  <si>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</si>
  <si>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</si>
  <si>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</si>
  <si>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</si>
  <si>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</si>
  <si>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</si>
  <si>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</si>
  <si>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</si>
  <si>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</si>
  <si>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</si>
  <si>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</si>
  <si>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</si>
  <si>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</si>
  <si>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</si>
  <si>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</si>
  <si>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</si>
  <si>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</si>
  <si>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</si>
  <si>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</si>
  <si>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</si>
  <si>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</si>
  <si>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</si>
  <si>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</si>
  <si>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</si>
  <si>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</si>
  <si>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</si>
  <si>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</si>
  <si>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</si>
  <si>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</si>
  <si>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</si>
  <si>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</si>
  <si>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</si>
  <si>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</si>
  <si>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</si>
  <si>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</si>
  <si>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</si>
  <si>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</si>
  <si>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</si>
  <si>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</si>
  <si>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</si>
  <si>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</si>
  <si>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</si>
  <si>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</si>
  <si>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</si>
  <si>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</si>
  <si>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</si>
  <si>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</si>
  <si>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</si>
  <si>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</si>
  <si>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</si>
  <si>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</si>
  <si>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</si>
  <si>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</si>
  <si>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</si>
  <si>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</si>
  <si>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</si>
  <si>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</si>
  <si>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</si>
  <si>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</si>
  <si>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</si>
  <si>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</si>
  <si>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</si>
  <si>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</si>
  <si>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</si>
  <si>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</si>
  <si>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</si>
  <si>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</si>
  <si>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</si>
  <si>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</si>
  <si>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</si>
  <si>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</si>
  <si>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</si>
  <si>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</si>
  <si>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</si>
  <si>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</si>
  <si>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</si>
  <si>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</si>
  <si>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</si>
  <si>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</si>
  <si>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</si>
  <si>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</si>
  <si>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</si>
  <si>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</si>
  <si>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</si>
  <si>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</si>
  <si>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</si>
  <si>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</si>
  <si>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</si>
  <si>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</si>
  <si>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</si>
  <si>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</si>
  <si>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</si>
  <si>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</si>
  <si>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</si>
  <si>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</si>
  <si>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</si>
  <si>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</si>
  <si>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</si>
  <si>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</si>
  <si>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</si>
  <si>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</si>
  <si>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</si>
  <si>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</si>
  <si>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</si>
  <si>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</si>
  <si>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</si>
  <si>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</si>
  <si>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</si>
  <si>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</si>
  <si>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</si>
  <si>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</si>
  <si>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</si>
  <si>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</si>
  <si>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</si>
  <si>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</si>
  <si>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</si>
  <si>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</si>
  <si>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</si>
  <si>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</si>
  <si>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</si>
  <si>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</si>
  <si>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</si>
  <si>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</si>
  <si>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</si>
  <si>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</si>
  <si>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</si>
  <si>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</si>
  <si>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</si>
  <si>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</si>
  <si>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</si>
  <si>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</si>
  <si>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</si>
  <si>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</si>
  <si>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</si>
  <si>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</si>
  <si>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</si>
  <si>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</si>
  <si>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</si>
  <si>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</si>
  <si>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</si>
  <si>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</si>
  <si>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</si>
  <si>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</si>
  <si>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</si>
  <si>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</si>
  <si>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</si>
  <si>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</si>
  <si>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</si>
  <si>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</si>
  <si>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</si>
  <si>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</si>
  <si>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</si>
  <si>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</si>
  <si>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</si>
  <si>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</si>
  <si>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</si>
  <si>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</si>
  <si>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</si>
  <si>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</si>
  <si>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</si>
  <si>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</si>
  <si>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</si>
  <si>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</si>
  <si>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</si>
  <si>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</si>
  <si>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</si>
  <si>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</si>
  <si>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</si>
  <si>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</si>
  <si>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</si>
  <si>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</si>
  <si>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</si>
  <si>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</si>
  <si>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</si>
  <si>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</si>
  <si>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</si>
  <si>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</si>
  <si>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</si>
  <si>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</si>
  <si>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</si>
  <si>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</si>
  <si>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</si>
  <si>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</si>
  <si>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</si>
  <si>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</si>
  <si>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</si>
  <si>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</si>
  <si>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</si>
  <si>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</si>
  <si>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</si>
  <si>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</si>
  <si>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</si>
  <si>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</si>
  <si>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</si>
  <si>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</si>
  <si>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</si>
  <si>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</si>
  <si>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</si>
  <si>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</si>
  <si>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</si>
  <si>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</si>
  <si>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</si>
  <si>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</si>
  <si>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</si>
  <si>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</si>
  <si>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</si>
  <si>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</si>
  <si>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</si>
  <si>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</si>
  <si>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</si>
  <si>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</si>
  <si>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</si>
  <si>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</si>
  <si>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</si>
  <si>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</si>
  <si>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</si>
  <si>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</si>
  <si>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</si>
  <si>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</si>
  <si>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</si>
  <si>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</si>
  <si>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</si>
  <si>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</si>
  <si>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</si>
  <si>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</si>
  <si>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</si>
  <si>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</si>
  <si>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</si>
  <si>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</si>
  <si>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</si>
  <si>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</si>
  <si>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</si>
  <si>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</si>
  <si>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</si>
  <si>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</si>
  <si>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</si>
  <si>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</si>
  <si>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</si>
  <si>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</si>
  <si>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</si>
  <si>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</si>
  <si>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</si>
  <si>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</si>
  <si>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</si>
  <si>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</si>
  <si>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</si>
  <si>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</si>
  <si>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</si>
  <si>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</si>
  <si>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</si>
  <si>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</si>
  <si>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</si>
  <si>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</si>
  <si>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</si>
  <si>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</si>
  <si>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</si>
  <si>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</si>
  <si>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</si>
  <si>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</si>
  <si>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</si>
  <si>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</si>
  <si>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</si>
  <si>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</si>
  <si>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</si>
  <si>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</si>
  <si>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</si>
  <si>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</si>
  <si>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</si>
  <si>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</si>
  <si>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</si>
  <si>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</si>
  <si>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</si>
  <si>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</si>
  <si>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</si>
  <si>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</si>
  <si>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</si>
  <si>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</si>
  <si>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</si>
  <si>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</si>
  <si>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</si>
  <si>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</si>
  <si>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</si>
  <si>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</si>
  <si>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</si>
  <si>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</si>
  <si>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</si>
  <si>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</si>
  <si>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</si>
  <si>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</si>
  <si>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</si>
  <si>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</si>
  <si>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</si>
  <si>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</si>
  <si>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</si>
  <si>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</si>
  <si>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</si>
  <si>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</si>
  <si>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</si>
  <si>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</si>
  <si>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</si>
  <si>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</si>
  <si>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</si>
  <si>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</si>
  <si>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</si>
  <si>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</si>
  <si>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</si>
  <si>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</si>
  <si>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</si>
  <si>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</si>
  <si>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</si>
  <si>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</si>
  <si>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</si>
  <si>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</si>
  <si>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</si>
  <si>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</si>
  <si>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</si>
  <si>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</si>
  <si>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</si>
  <si>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</si>
  <si>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</si>
  <si>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</si>
  <si>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</si>
  <si>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</si>
  <si>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</si>
  <si>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</si>
  <si>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</si>
  <si>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</si>
  <si>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</si>
  <si>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</si>
  <si>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</si>
  <si>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</si>
  <si>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</si>
  <si>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</si>
  <si>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</si>
  <si>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</si>
  <si>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</si>
  <si>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</si>
  <si>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</si>
  <si>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</si>
  <si>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</si>
  <si>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</si>
  <si>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</si>
  <si>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</si>
  <si>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</si>
  <si>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</si>
  <si>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</si>
  <si>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</si>
  <si>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</si>
  <si>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</si>
  <si>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</si>
  <si>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</si>
  <si>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</si>
  <si>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</si>
  <si>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</si>
  <si>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</si>
  <si>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</si>
  <si>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</si>
  <si>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</si>
  <si>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</si>
  <si>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</si>
  <si>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</si>
  <si>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</si>
  <si>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</si>
  <si>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</si>
  <si>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</si>
  <si>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</si>
  <si>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</si>
  <si>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</si>
  <si>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</si>
  <si>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</si>
  <si>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</si>
  <si>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</si>
  <si>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</si>
  <si>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</si>
  <si>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</si>
  <si>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</si>
  <si>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</si>
  <si>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</si>
  <si>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</si>
  <si>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</si>
  <si>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</si>
  <si>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</si>
  <si>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</si>
  <si>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</si>
  <si>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</si>
  <si>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</si>
  <si>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</si>
  <si>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</si>
  <si>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</si>
  <si>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</si>
  <si>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</si>
  <si>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</si>
  <si>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</si>
  <si>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</si>
  <si>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</si>
  <si>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</si>
  <si>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</si>
  <si>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</si>
  <si>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</si>
  <si>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</si>
  <si>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</si>
  <si>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</si>
  <si>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</si>
  <si>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</si>
  <si>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</si>
  <si>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</si>
  <si>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</si>
  <si>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</si>
  <si>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</si>
  <si>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</si>
  <si>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</si>
  <si>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</si>
  <si>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</si>
  <si>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</si>
  <si>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</si>
  <si>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</si>
  <si>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</si>
  <si>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</si>
  <si>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</si>
  <si>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</si>
  <si>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</si>
  <si>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</si>
  <si>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</si>
  <si>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</si>
  <si>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</si>
  <si>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</si>
  <si>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</si>
  <si>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</si>
  <si>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</si>
  <si>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</si>
  <si>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</si>
  <si>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</si>
  <si>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</si>
  <si>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</si>
  <si>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</si>
  <si>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</si>
  <si>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</si>
  <si>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</si>
  <si>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</si>
  <si>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</si>
  <si>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</si>
  <si>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</si>
  <si>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</si>
  <si>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</si>
  <si>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</si>
  <si>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</si>
  <si>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</si>
  <si>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</si>
  <si>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</si>
  <si>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</si>
  <si>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</si>
  <si>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</si>
  <si>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</si>
  <si>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</si>
  <si>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</si>
  <si>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</si>
  <si>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</si>
  <si>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</si>
  <si>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</si>
  <si>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</si>
  <si>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</si>
  <si>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</si>
  <si>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</si>
  <si>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</si>
  <si>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</si>
  <si>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</si>
  <si>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</si>
  <si>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</si>
  <si>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</si>
  <si>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</si>
  <si>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</si>
  <si>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</si>
  <si>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</si>
  <si>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</si>
  <si>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</si>
  <si>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</si>
  <si>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</si>
  <si>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</si>
  <si>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</si>
  <si>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</si>
  <si>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</si>
  <si>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</si>
  <si>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</si>
  <si>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</si>
  <si>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</si>
  <si>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</si>
  <si>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</si>
  <si>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</si>
  <si>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</si>
  <si>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</si>
  <si>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</si>
  <si>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</si>
  <si>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</si>
  <si>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</si>
  <si>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</si>
  <si>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</si>
  <si>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</si>
  <si>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</si>
  <si>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</si>
  <si>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</si>
  <si>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</si>
  <si>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</si>
  <si>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</si>
  <si>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</si>
  <si>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</si>
  <si>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</si>
  <si>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</si>
  <si>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</si>
  <si>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</si>
  <si>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</si>
  <si>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</si>
  <si>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</si>
  <si>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</si>
  <si>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</si>
  <si>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</si>
  <si>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</si>
  <si>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</si>
  <si>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</si>
  <si>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</si>
  <si>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</si>
  <si>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</si>
  <si>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</si>
  <si>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</si>
  <si>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</si>
  <si>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</si>
  <si>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</si>
  <si>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</si>
  <si>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</si>
  <si>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</si>
  <si>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</si>
  <si>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</si>
  <si>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</si>
  <si>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</si>
  <si>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</si>
  <si>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</si>
  <si>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</si>
  <si>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</si>
  <si>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</si>
  <si>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</si>
  <si>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</si>
  <si>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</si>
  <si>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</si>
  <si>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</si>
  <si>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</si>
  <si>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</si>
  <si>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</si>
  <si>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</si>
  <si>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</si>
  <si>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</si>
  <si>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</si>
  <si>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</si>
  <si>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</si>
  <si>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</si>
  <si>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</si>
  <si>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</si>
  <si>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</si>
  <si>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</si>
  <si>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</si>
  <si>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</si>
  <si>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</si>
  <si>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</si>
  <si>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</si>
  <si>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</si>
  <si>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</si>
  <si>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</si>
  <si>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</si>
  <si>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</si>
  <si>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</si>
  <si>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</si>
  <si>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</si>
  <si>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</si>
  <si>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</si>
  <si>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</si>
  <si>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</si>
  <si>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</si>
  <si>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</si>
  <si>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</si>
  <si>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</si>
  <si>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</si>
  <si>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</si>
  <si>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</si>
  <si>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</si>
  <si>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</si>
  <si>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</si>
  <si>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</si>
  <si>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</si>
  <si>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</si>
  <si>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</si>
  <si>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</si>
  <si>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</si>
  <si>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</si>
  <si>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</si>
  <si>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</si>
  <si>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</si>
  <si>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</si>
  <si>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</si>
  <si>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</si>
  <si>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</si>
  <si>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</si>
  <si>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</si>
  <si>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</si>
  <si>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</si>
  <si>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</si>
  <si>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</si>
  <si>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</si>
  <si>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</si>
  <si>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</si>
  <si>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</si>
  <si>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</si>
  <si>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</si>
  <si>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</si>
  <si>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</si>
  <si>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</si>
  <si>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</si>
  <si>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</si>
  <si>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</si>
  <si>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</si>
  <si>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</si>
  <si>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</si>
  <si>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</si>
  <si>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</si>
  <si>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</si>
  <si>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</si>
  <si>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</si>
  <si>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</si>
  <si>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</si>
  <si>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</si>
  <si>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</si>
  <si>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</si>
  <si>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</si>
  <si>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</si>
  <si>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</si>
  <si>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</si>
  <si>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</si>
  <si>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</si>
  <si>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</si>
  <si>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</si>
  <si>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</si>
  <si>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</si>
  <si>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</si>
  <si>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</si>
  <si>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</si>
  <si>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</si>
  <si>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</si>
  <si>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</si>
  <si>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</si>
  <si>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</si>
  <si>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</si>
  <si>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</si>
  <si>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</si>
  <si>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</si>
  <si>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</si>
  <si>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</si>
  <si>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</si>
  <si>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</si>
  <si>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</si>
  <si>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</si>
  <si>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</si>
  <si>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</si>
  <si>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</si>
  <si>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</si>
  <si>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</si>
  <si>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</si>
  <si>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</si>
  <si>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</si>
  <si>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</si>
  <si>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</si>
  <si>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</si>
  <si>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</si>
  <si>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</si>
  <si>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</si>
  <si>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</si>
  <si>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</si>
  <si>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</si>
  <si>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</si>
  <si>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</si>
  <si>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</si>
  <si>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</si>
  <si>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</si>
  <si>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</si>
  <si>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</si>
  <si>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</si>
  <si>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</si>
  <si>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</si>
  <si>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</si>
  <si>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</si>
  <si>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</si>
  <si>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</si>
  <si>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</si>
  <si>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</si>
  <si>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</si>
  <si>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</si>
  <si>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</si>
  <si>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</si>
  <si>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</si>
  <si>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</si>
  <si>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</si>
  <si>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</si>
  <si>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</si>
  <si>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</si>
  <si>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</si>
  <si>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</si>
  <si>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</si>
  <si>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</si>
  <si>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</si>
  <si>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</si>
  <si>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</si>
  <si>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</si>
  <si>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</si>
  <si>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</si>
  <si>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</si>
  <si>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</si>
  <si>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</si>
  <si>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</si>
  <si>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</si>
  <si>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</si>
  <si>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</si>
  <si>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</si>
  <si>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</si>
  <si>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</si>
  <si>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</si>
  <si>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</si>
  <si>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</si>
  <si>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</si>
  <si>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</si>
  <si>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</si>
  <si>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</si>
  <si>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</si>
  <si>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</si>
  <si>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</si>
  <si>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</si>
  <si>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</si>
  <si>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</si>
  <si>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</si>
  <si>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</si>
  <si>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</si>
  <si>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</si>
  <si>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</si>
  <si>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</si>
  <si>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</si>
  <si>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</si>
  <si>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</si>
  <si>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</si>
  <si>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</si>
  <si>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</si>
  <si>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</si>
  <si>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</si>
  <si>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</si>
  <si>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</si>
  <si>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</si>
  <si>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</si>
  <si>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</si>
  <si>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</si>
  <si>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</si>
  <si>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</si>
  <si>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</si>
  <si>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</si>
  <si>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</si>
  <si>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</si>
  <si>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</si>
  <si>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</si>
  <si>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</si>
  <si>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</si>
  <si>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</si>
  <si>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</si>
  <si>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</si>
  <si>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</si>
  <si>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</si>
  <si>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</si>
  <si>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</si>
  <si>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</si>
  <si>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</si>
  <si>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</si>
  <si>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</si>
  <si>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</si>
  <si>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</si>
  <si>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</si>
  <si>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</si>
  <si>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</si>
  <si>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</si>
  <si>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</si>
  <si>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</si>
  <si>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</si>
  <si>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</si>
  <si>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</si>
  <si>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</si>
  <si>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</si>
  <si>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</si>
  <si>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</si>
  <si>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</si>
  <si>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</si>
  <si>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</si>
  <si>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</si>
  <si>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</si>
  <si>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</si>
  <si>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</si>
  <si>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</si>
  <si>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</si>
  <si>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</si>
  <si>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</si>
  <si>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</si>
  <si>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</si>
  <si>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</si>
  <si>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</si>
  <si>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</si>
  <si>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</si>
  <si>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</si>
  <si>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</si>
  <si>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</si>
  <si>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</si>
  <si>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</si>
  <si>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</si>
  <si>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</si>
  <si>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</si>
  <si>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</si>
  <si>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</si>
  <si>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</si>
  <si>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</si>
  <si>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</si>
  <si>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</si>
  <si>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</si>
  <si>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</si>
  <si>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</si>
  <si>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</si>
  <si>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</si>
  <si>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</si>
  <si>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</si>
  <si>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</si>
  <si>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</si>
  <si>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</si>
  <si>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</si>
  <si>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</si>
  <si>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</si>
  <si>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</si>
  <si>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</si>
  <si>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</si>
  <si>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</si>
  <si>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</si>
  <si>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</si>
  <si>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</si>
  <si>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</si>
  <si>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</si>
  <si>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</si>
  <si>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</si>
  <si>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</si>
  <si>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</si>
  <si>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</si>
  <si>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</si>
  <si>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</si>
  <si>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</si>
  <si>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</si>
  <si>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</si>
  <si>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</si>
  <si>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</si>
  <si>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</si>
  <si>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</si>
  <si>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</si>
  <si>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</si>
  <si>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</si>
  <si>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</si>
  <si>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</si>
  <si>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</si>
  <si>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</si>
  <si>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</si>
  <si>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</si>
  <si>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</si>
  <si>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</si>
  <si>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</si>
  <si>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</si>
  <si>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</si>
  <si>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</si>
  <si>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</si>
  <si>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</si>
  <si>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</si>
  <si>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</si>
  <si>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</si>
  <si>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</si>
  <si>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</si>
  <si>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</si>
  <si>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</si>
  <si>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</si>
  <si>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</si>
  <si>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</si>
  <si>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</si>
  <si>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</si>
  <si>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</si>
  <si>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</si>
  <si>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</si>
  <si>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</si>
  <si>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</si>
  <si>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</si>
  <si>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</si>
  <si>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</si>
  <si>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</si>
  <si>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</si>
  <si>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</si>
  <si>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</si>
  <si>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</si>
  <si>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</si>
  <si>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</si>
  <si>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</si>
  <si>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</si>
  <si>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</si>
  <si>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</si>
  <si>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</si>
  <si>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</si>
  <si>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</si>
  <si>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</si>
  <si>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</si>
  <si>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</si>
  <si>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</si>
  <si>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</si>
  <si>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</si>
  <si>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</si>
  <si>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</si>
  <si>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</si>
  <si>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</si>
  <si>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</si>
  <si>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</si>
  <si>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</si>
  <si>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</si>
  <si>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</si>
  <si>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</si>
  <si>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</si>
  <si>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</si>
  <si>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</si>
  <si>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</si>
  <si>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</si>
  <si>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</si>
  <si>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</si>
  <si>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</si>
  <si>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</si>
  <si>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</si>
  <si>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</si>
  <si>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</si>
  <si>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</si>
  <si>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</si>
  <si>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</si>
  <si>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</si>
  <si>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</si>
  <si>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</si>
  <si>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</si>
  <si>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</si>
  <si>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</si>
  <si>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</si>
  <si>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</si>
  <si>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</si>
  <si>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</si>
  <si>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</si>
  <si>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</si>
  <si>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</si>
  <si>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</si>
  <si>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</si>
  <si>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</si>
  <si>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</si>
  <si>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</si>
  <si>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</si>
  <si>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</si>
  <si>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</si>
  <si>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</si>
  <si>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</si>
  <si>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</si>
  <si>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</si>
  <si>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</si>
  <si>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</si>
  <si>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</si>
  <si>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</si>
  <si>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</si>
  <si>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</si>
  <si>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</si>
  <si>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</si>
  <si>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</si>
  <si>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</si>
  <si>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</si>
  <si>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</si>
  <si>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</si>
  <si>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</si>
  <si>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</si>
  <si>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</si>
  <si>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</si>
  <si>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</si>
  <si>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</si>
  <si>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</si>
  <si>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</si>
  <si>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</si>
  <si>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</si>
  <si>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</si>
  <si>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</si>
  <si>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</si>
  <si>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</si>
  <si>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</si>
  <si>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</si>
  <si>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</si>
  <si>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</si>
  <si>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</si>
  <si>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</si>
  <si>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</si>
  <si>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</si>
  <si>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</si>
  <si>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</si>
  <si>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</si>
  <si>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</si>
  <si>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</si>
  <si>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</si>
  <si>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</si>
  <si>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</si>
  <si>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</si>
  <si>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</si>
  <si>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</si>
  <si>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</si>
  <si>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</si>
  <si>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</si>
  <si>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</si>
  <si>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</si>
  <si>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</si>
  <si>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</si>
  <si>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</si>
  <si>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</si>
  <si>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</si>
  <si>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</si>
  <si>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</si>
  <si>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</si>
  <si>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</si>
  <si>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</si>
  <si>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</si>
  <si>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</si>
  <si>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</si>
  <si>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</si>
  <si>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</si>
  <si>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</si>
  <si>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</si>
  <si>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</si>
  <si>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</si>
  <si>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</si>
  <si>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</si>
  <si>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</si>
  <si>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</si>
  <si>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</si>
  <si>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</si>
  <si>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</si>
  <si>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</si>
  <si>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</si>
  <si>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</si>
  <si>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</si>
  <si>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</si>
  <si>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</si>
  <si>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</si>
  <si>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</si>
  <si>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</si>
  <si>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</si>
  <si>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</si>
  <si>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</si>
  <si>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</si>
  <si>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</si>
  <si>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</si>
  <si>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</si>
  <si>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</si>
  <si>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</si>
  <si>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</si>
  <si>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Date FIXED</t>
  </si>
  <si>
    <t>Jam</t>
  </si>
  <si>
    <t>Bulan</t>
  </si>
  <si>
    <t>Count of Invoice ID</t>
  </si>
  <si>
    <t>Row Labels</t>
  </si>
  <si>
    <t>Grand Total</t>
  </si>
  <si>
    <t>Sum of Total</t>
  </si>
  <si>
    <t>Sum of Quantity</t>
  </si>
  <si>
    <t>Average of Rating</t>
  </si>
  <si>
    <t>Column Labels</t>
  </si>
  <si>
    <t>Hari</t>
  </si>
  <si>
    <t>Sum of gross income</t>
  </si>
  <si>
    <t>Sum of gross margin percentage</t>
  </si>
  <si>
    <t>"Cabang C menunjukkan performa terbaik dari segi pendapatan dan kepuasan pelanggan. Cabang B memiliki pendapatan serupa dengan A namun tingkat kepuasan lebih rendah, menunjukkan potensi perbaikan layanan pelanggan."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</si>
  <si>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</si>
  <si>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</si>
  <si>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</si>
  <si>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</si>
  <si>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</si>
  <si>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</si>
  <si>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</si>
  <si>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</si>
  <si>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Jam Sibik</t>
  </si>
  <si>
    <t>Jumlah Pengunjung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</si>
</sst>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3809]hh:mm;@"/>
    <numFmt numFmtId="165" formatCode="[$-13809]dd/mm/yyyy;@"/>
    <numFmt numFmtId="166" formatCode="[$-23809]mmmm\ dd\,\ yyyy;@"/>
    <numFmt numFmtId="167" formatCode="[$-23809]dddd\,\ mmmm\ d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6" fillId="0" borderId="0" xfId="0" applyFont="1"/>
    <xf numFmtId="2" fontId="16" fillId="0" borderId="0" xfId="0" applyNumberFormat="1" applyFont="1"/>
    <xf numFmtId="165" fontId="16" fillId="0" borderId="0" xfId="0" applyNumberFormat="1" applyFont="1"/>
    <xf numFmtId="164" fontId="16" fillId="0" borderId="0" xfId="0" applyNumberFormat="1" applyFont="1"/>
    <xf numFmtId="2" fontId="16" fillId="0" borderId="0" xfId="0" applyNumberFormat="1" applyFont="1" applyAlignment="1">
      <alignment wrapText="1"/>
    </xf>
    <xf numFmtId="2" fontId="16" fillId="0" borderId="0" xfId="0" applyNumberFormat="1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167" fontId="16" fillId="0" borderId="0" xfId="0" applyNumberFormat="1" applyFont="1"/>
    <xf numFmtId="167" fontId="0" fillId="0" borderId="0" xfId="0" applyNumberFormat="1"/>
    <xf numFmtId="0" fontId="16" fillId="33" borderId="10" xfId="0" applyFont="1" applyFill="1" applyBorder="1"/>
    <xf numFmtId="0" fontId="16" fillId="33" borderId="11" xfId="0" applyFont="1" applyFill="1" applyBorder="1" applyAlignment="1">
      <alignment horizontal="left"/>
    </xf>
    <xf numFmtId="2" fontId="16" fillId="33" borderId="11" xfId="0" applyNumberFormat="1" applyFont="1" applyFill="1" applyBorder="1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[supermarket_sales_excel.xlsx]Branch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Penjualan based</a:t>
            </a:r>
            <a:r>
              <a:rPr lang="en-US" baseline="0"/>
              <a:t> on Branch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 '!$A$4:$A$7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'Branch '!$B$4:$B$7</c:f>
              <c:numCache>
                <c:formatCode>General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0E-4794-8314-2BD58C08C7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197439"/>
        <c:axId val="454212799"/>
      </c:barChart>
      <c:catAx>
        <c:axId val="45419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12799"/>
        <c:crosses val="autoZero"/>
        <c:auto val="1"/>
        <c:lblAlgn val="ctr"/>
        <c:lblOffset val="100"/>
        <c:noMultiLvlLbl val="0"/>
      </c:catAx>
      <c:valAx>
        <c:axId val="45421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9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[supermarket_sales_excel.xlsx]Branch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Produk</a:t>
            </a:r>
            <a:r>
              <a:rPr lang="en-ID" baseline="0"/>
              <a:t> based on Branch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 '!$A$21:$A$24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'Branch '!$B$21:$B$24</c:f>
              <c:numCache>
                <c:formatCode>General</c:formatCode>
                <c:ptCount val="3"/>
                <c:pt idx="0">
                  <c:v>1859</c:v>
                </c:pt>
                <c:pt idx="1">
                  <c:v>1820</c:v>
                </c:pt>
                <c:pt idx="2">
                  <c:v>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A-4263-AC86-0AE02E9A6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199359"/>
        <c:axId val="454208479"/>
      </c:barChart>
      <c:catAx>
        <c:axId val="45419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208479"/>
        <c:crosses val="autoZero"/>
        <c:auto val="1"/>
        <c:lblAlgn val="ctr"/>
        <c:lblOffset val="100"/>
        <c:noMultiLvlLbl val="0"/>
      </c:catAx>
      <c:valAx>
        <c:axId val="45420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9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[supermarket_sales_excel.xlsx]Branch 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Pengunjung based on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'!$B$37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 '!$A$38:$A$41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'Branch '!$B$38:$B$41</c:f>
              <c:numCache>
                <c:formatCode>General</c:formatCode>
                <c:ptCount val="3"/>
                <c:pt idx="0">
                  <c:v>340</c:v>
                </c:pt>
                <c:pt idx="1">
                  <c:v>332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1-460B-A4D1-3D5DDAB59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4133599"/>
        <c:axId val="454134559"/>
      </c:barChart>
      <c:catAx>
        <c:axId val="45413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34559"/>
        <c:crosses val="autoZero"/>
        <c:auto val="1"/>
        <c:lblAlgn val="ctr"/>
        <c:lblOffset val="100"/>
        <c:noMultiLvlLbl val="0"/>
      </c:catAx>
      <c:valAx>
        <c:axId val="45413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3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[supermarket_sales_excel.xlsx]Branch 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 rata rating based on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'Branch '!$B$52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 '!$A$53:$A$56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'Branch '!$B$53:$B$56</c:f>
              <c:numCache>
                <c:formatCode>0.00</c:formatCode>
                <c:ptCount val="3"/>
                <c:pt idx="0">
                  <c:v>7.0270588235294129</c:v>
                </c:pt>
                <c:pt idx="1">
                  <c:v>6.8180722891566266</c:v>
                </c:pt>
                <c:pt idx="2">
                  <c:v>7.0728658536585378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019-8520-8F53A66A6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69599"/>
        <c:axId val="612683039"/>
      </c:barChart>
      <c:catAx>
        <c:axId val="61266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83039"/>
        <c:crosses val="autoZero"/>
        <c:auto val="1"/>
        <c:lblAlgn val="ctr"/>
        <c:lblOffset val="100"/>
        <c:noMultiLvlLbl val="0"/>
      </c:catAx>
      <c:valAx>
        <c:axId val="61268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6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[supermarket_sales_excel.xlsx]Branch !PivotTable14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Penjualan</a:t>
            </a:r>
            <a:r>
              <a:rPr lang="en-ID" baseline="0"/>
              <a:t> </a:t>
            </a:r>
            <a:r>
              <a:rPr lang="en-ID"/>
              <a:t>Kategori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'Branch '!$B$68:$B$69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'Branch '!$A$70:$A$76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'Branch '!$B$70:$B$76</c:f>
              <c:numCache>
                <c:formatCode>General</c:formatCode>
                <c:ptCount val="6"/>
                <c:pt idx="0">
                  <c:v>322</c:v>
                </c:pt>
                <c:pt idx="1">
                  <c:v>263</c:v>
                </c:pt>
                <c:pt idx="2">
                  <c:v>313</c:v>
                </c:pt>
                <c:pt idx="3">
                  <c:v>257</c:v>
                </c:pt>
                <c:pt idx="4">
                  <c:v>371</c:v>
                </c:pt>
                <c:pt idx="5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5-4559-9B8E-D8D845EBC25F}"/>
            </c:ext>
          </c:extLst>
        </c:ser>
        <c:ser>
          <c:idx val="1"/>
          <c:order val="1"/>
          <c:tx>
            <c:strRef>
              <c:f>'Branch '!$C$68:$C$69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'Branch '!$A$70:$A$76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'Branch '!$C$70:$C$76</c:f>
              <c:numCache>
                <c:formatCode>General</c:formatCode>
                <c:ptCount val="6"/>
                <c:pt idx="0">
                  <c:v>316</c:v>
                </c:pt>
                <c:pt idx="1">
                  <c:v>297</c:v>
                </c:pt>
                <c:pt idx="2">
                  <c:v>270</c:v>
                </c:pt>
                <c:pt idx="3">
                  <c:v>320</c:v>
                </c:pt>
                <c:pt idx="4">
                  <c:v>295</c:v>
                </c:pt>
                <c:pt idx="5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5-4559-9B8E-D8D845EBC25F}"/>
            </c:ext>
          </c:extLst>
        </c:ser>
        <c:ser>
          <c:idx val="2"/>
          <c:order val="2"/>
          <c:tx>
            <c:strRef>
              <c:f>'Branch '!$D$68:$D$69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'Branch '!$A$70:$A$76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'Branch '!$D$70:$D$76</c:f>
              <c:numCache>
                <c:formatCode>General</c:formatCode>
                <c:ptCount val="6"/>
                <c:pt idx="0">
                  <c:v>333</c:v>
                </c:pt>
                <c:pt idx="1">
                  <c:v>342</c:v>
                </c:pt>
                <c:pt idx="2">
                  <c:v>369</c:v>
                </c:pt>
                <c:pt idx="3">
                  <c:v>277</c:v>
                </c:pt>
                <c:pt idx="4">
                  <c:v>245</c:v>
                </c:pt>
                <c:pt idx="5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D5-4559-9B8E-D8D845EBC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734879"/>
        <c:axId val="612755519"/>
      </c:barChart>
      <c:catAx>
        <c:axId val="61273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55519"/>
        <c:crosses val="autoZero"/>
        <c:auto val="1"/>
        <c:lblAlgn val="ctr"/>
        <c:lblOffset val="100"/>
        <c:noMultiLvlLbl val="0"/>
      </c:catAx>
      <c:valAx>
        <c:axId val="61275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3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-3" verticalDpi="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[supermarket_sales_excel.xlsx]Rating Kategori!PivotTable4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Pengunjung based</a:t>
            </a:r>
            <a:r>
              <a:rPr lang="en-ID" baseline="0"/>
              <a:t> on Jam Ramai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'Rating Kategori'!$B$3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'Rating Kategori'!$A$4:$A$10</c:f>
              <c:strCache>
                <c:ptCount val="6"/>
                <c:pt idx="0">
                  <c:v>Home and lifestyle</c:v>
                </c:pt>
                <c:pt idx="1">
                  <c:v>Sports and travel</c:v>
                </c:pt>
                <c:pt idx="2">
                  <c:v>Electronic accessories</c:v>
                </c:pt>
                <c:pt idx="3">
                  <c:v>Health and beauty</c:v>
                </c:pt>
                <c:pt idx="4">
                  <c:v>Fashion accessories</c:v>
                </c:pt>
                <c:pt idx="5">
                  <c:v>Food and beverages</c:v>
                </c:pt>
              </c:strCache>
            </c:strRef>
          </c:cat>
          <c:val>
            <c:numRef>
              <c:f>'Rating Kategori'!$B$4:$B$10</c:f>
              <c:numCache>
                <c:formatCode>0.00</c:formatCode>
                <c:ptCount val="6"/>
                <c:pt idx="0">
                  <c:v>6.8375000000000004</c:v>
                </c:pt>
                <c:pt idx="1">
                  <c:v>6.9162650602409643</c:v>
                </c:pt>
                <c:pt idx="2">
                  <c:v>6.9247058823529404</c:v>
                </c:pt>
                <c:pt idx="3">
                  <c:v>7.0032894736842124</c:v>
                </c:pt>
                <c:pt idx="4">
                  <c:v>7.0292134831460666</c:v>
                </c:pt>
                <c:pt idx="5">
                  <c:v>7.1132183908045983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D-422C-9ED2-2A66676A7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4139359"/>
        <c:axId val="454153279"/>
      </c:barChart>
      <c:catAx>
        <c:axId val="454139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53279"/>
        <c:crosses val="autoZero"/>
        <c:auto val="1"/>
        <c:lblAlgn val="ctr"/>
        <c:lblOffset val="100"/>
        <c:noMultiLvlLbl val="0"/>
      </c:catAx>
      <c:valAx>
        <c:axId val="45415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39359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[supermarket_sales_excel.xlsx]Jam Ramai!PivotTable4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600" b="1">
                <a:latin typeface="Segoe UI" panose="020B0502040204020203" pitchFamily="34" charset="0"/>
                <a:cs typeface="Segoe UI" panose="020B0502040204020203" pitchFamily="34" charset="0"/>
              </a:rPr>
              <a:t>Total Pengunjung based</a:t>
            </a:r>
            <a:r>
              <a:rPr lang="en-ID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on Jam</a:t>
            </a:r>
            <a:endParaRPr lang="en-ID" sz="160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'Jam Ramai'!$B$3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'Jam Ramai'!$A$4:$A$15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'Jam Ramai'!$B$4:$B$15</c:f>
              <c:numCache>
                <c:formatCode>General</c:formatCode>
                <c:ptCount val="11"/>
                <c:pt idx="0">
                  <c:v>101</c:v>
                </c:pt>
                <c:pt idx="1">
                  <c:v>90</c:v>
                </c:pt>
                <c:pt idx="2">
                  <c:v>89</c:v>
                </c:pt>
                <c:pt idx="3">
                  <c:v>103</c:v>
                </c:pt>
                <c:pt idx="4">
                  <c:v>83</c:v>
                </c:pt>
                <c:pt idx="5">
                  <c:v>102</c:v>
                </c:pt>
                <c:pt idx="6">
                  <c:v>77</c:v>
                </c:pt>
                <c:pt idx="7">
                  <c:v>74</c:v>
                </c:pt>
                <c:pt idx="8">
                  <c:v>93</c:v>
                </c:pt>
                <c:pt idx="9">
                  <c:v>113</c:v>
                </c:pt>
                <c:pt idx="1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16-4576-AE6C-C2A360040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139359"/>
        <c:axId val="454153279"/>
      </c:lineChart>
      <c:catAx>
        <c:axId val="45413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53279"/>
        <c:crosses val="autoZero"/>
        <c:auto val="1"/>
        <c:lblAlgn val="ctr"/>
        <c:lblOffset val="100"/>
        <c:noMultiLvlLbl val="0"/>
      </c:catAx>
      <c:valAx>
        <c:axId val="45415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13935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[supermarket_sales_excel.xlsx]Jam Ramai!PivotTable9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Jam ramai</a:t>
            </a:r>
            <a:r>
              <a:rPr lang="en-ID" baseline="0"/>
              <a:t> based on branch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'Jam Ramai'!$B$19:$B$20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'Jam Ramai'!$A$21:$A$32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'Jam Ramai'!$B$21:$B$32</c:f>
              <c:numCache>
                <c:formatCode>General</c:formatCode>
                <c:ptCount val="11"/>
                <c:pt idx="0">
                  <c:v>38</c:v>
                </c:pt>
                <c:pt idx="1">
                  <c:v>35</c:v>
                </c:pt>
                <c:pt idx="2">
                  <c:v>33</c:v>
                </c:pt>
                <c:pt idx="3">
                  <c:v>31</c:v>
                </c:pt>
                <c:pt idx="4">
                  <c:v>25</c:v>
                </c:pt>
                <c:pt idx="5">
                  <c:v>37</c:v>
                </c:pt>
                <c:pt idx="6">
                  <c:v>32</c:v>
                </c:pt>
                <c:pt idx="7">
                  <c:v>27</c:v>
                </c:pt>
                <c:pt idx="8">
                  <c:v>33</c:v>
                </c:pt>
                <c:pt idx="9">
                  <c:v>27</c:v>
                </c:pt>
                <c:pt idx="1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72-4AE7-88D6-042A333FC270}"/>
            </c:ext>
          </c:extLst>
        </c:ser>
        <c:ser>
          <c:idx val="1"/>
          <c:order val="1"/>
          <c:tx>
            <c:strRef>
              <c:f>'Jam Ramai'!$C$19:$C$20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'Jam Ramai'!$A$21:$A$32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'Jam Ramai'!$C$21:$C$32</c:f>
              <c:numCache>
                <c:formatCode>General</c:formatCode>
                <c:ptCount val="11"/>
                <c:pt idx="0">
                  <c:v>26</c:v>
                </c:pt>
                <c:pt idx="1">
                  <c:v>33</c:v>
                </c:pt>
                <c:pt idx="2">
                  <c:v>25</c:v>
                </c:pt>
                <c:pt idx="3">
                  <c:v>38</c:v>
                </c:pt>
                <c:pt idx="4">
                  <c:v>30</c:v>
                </c:pt>
                <c:pt idx="5">
                  <c:v>32</c:v>
                </c:pt>
                <c:pt idx="6">
                  <c:v>17</c:v>
                </c:pt>
                <c:pt idx="7">
                  <c:v>20</c:v>
                </c:pt>
                <c:pt idx="8">
                  <c:v>35</c:v>
                </c:pt>
                <c:pt idx="9">
                  <c:v>50</c:v>
                </c:pt>
                <c:pt idx="10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72-4AE7-88D6-042A333FC270}"/>
            </c:ext>
          </c:extLst>
        </c:ser>
        <c:ser>
          <c:idx val="2"/>
          <c:order val="2"/>
          <c:tx>
            <c:strRef>
              <c:f>'Jam Ramai'!$D$19:$D$20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'Jam Ramai'!$A$21:$A$32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'Jam Ramai'!$D$21:$D$32</c:f>
              <c:numCache>
                <c:formatCode>General</c:formatCode>
                <c:ptCount val="11"/>
                <c:pt idx="0">
                  <c:v>37</c:v>
                </c:pt>
                <c:pt idx="1">
                  <c:v>22</c:v>
                </c:pt>
                <c:pt idx="2">
                  <c:v>31</c:v>
                </c:pt>
                <c:pt idx="3">
                  <c:v>34</c:v>
                </c:pt>
                <c:pt idx="4">
                  <c:v>28</c:v>
                </c:pt>
                <c:pt idx="5">
                  <c:v>33</c:v>
                </c:pt>
                <c:pt idx="6">
                  <c:v>28</c:v>
                </c:pt>
                <c:pt idx="7">
                  <c:v>27</c:v>
                </c:pt>
                <c:pt idx="8">
                  <c:v>25</c:v>
                </c:pt>
                <c:pt idx="9">
                  <c:v>36</c:v>
                </c:pt>
                <c:pt idx="10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72-4AE7-88D6-042A333FC2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2716639"/>
        <c:axId val="612714239"/>
      </c:lineChart>
      <c:catAx>
        <c:axId val="61271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4239"/>
        <c:crosses val="autoZero"/>
        <c:auto val="1"/>
        <c:lblAlgn val="ctr"/>
        <c:lblOffset val="100"/>
        <c:noMultiLvlLbl val="0"/>
      </c:catAx>
      <c:valAx>
        <c:axId val="61271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[supermarket_sales_excel.xlsx]Jam Ramai!PivotTable10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Bulan</a:t>
            </a:r>
            <a:r>
              <a:rPr lang="en-ID" baseline="0"/>
              <a:t> Ramai based on branch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'Jam Ramai'!$B$37:$B$38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'Jam Ramai'!$A$39:$A$43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</c:strCache>
            </c:strRef>
          </c:cat>
          <c:val>
            <c:numRef>
              <c:f>'Jam Ramai'!$B$39:$B$43</c:f>
              <c:numCache>
                <c:formatCode>General</c:formatCode>
                <c:ptCount val="4"/>
                <c:pt idx="0">
                  <c:v>119</c:v>
                </c:pt>
                <c:pt idx="1">
                  <c:v>94</c:v>
                </c:pt>
                <c:pt idx="2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56-4B1B-9719-B47AE75A6C1A}"/>
            </c:ext>
          </c:extLst>
        </c:ser>
        <c:ser>
          <c:idx val="1"/>
          <c:order val="1"/>
          <c:tx>
            <c:strRef>
              <c:f>'Jam Ramai'!$C$37:$C$38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'Jam Ramai'!$A$39:$A$43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</c:strCache>
            </c:strRef>
          </c:cat>
          <c:val>
            <c:numRef>
              <c:f>'Jam Ramai'!$C$39:$C$43</c:f>
              <c:numCache>
                <c:formatCode>General</c:formatCode>
                <c:ptCount val="4"/>
                <c:pt idx="0">
                  <c:v>112</c:v>
                </c:pt>
                <c:pt idx="1">
                  <c:v>107</c:v>
                </c:pt>
                <c:pt idx="2">
                  <c:v>112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56-4B1B-9719-B47AE75A6C1A}"/>
            </c:ext>
          </c:extLst>
        </c:ser>
        <c:ser>
          <c:idx val="2"/>
          <c:order val="2"/>
          <c:tx>
            <c:strRef>
              <c:f>'Jam Ramai'!$D$37:$D$38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'Jam Ramai'!$A$39:$A$43</c:f>
              <c:strCach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</c:strCache>
            </c:strRef>
          </c:cat>
          <c:val>
            <c:numRef>
              <c:f>'Jam Ramai'!$D$39:$D$43</c:f>
              <c:numCache>
                <c:formatCode>General</c:formatCode>
                <c:ptCount val="4"/>
                <c:pt idx="0">
                  <c:v>122</c:v>
                </c:pt>
                <c:pt idx="1">
                  <c:v>100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56-4B1B-9719-B47AE75A6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708479"/>
        <c:axId val="612719999"/>
      </c:barChart>
      <c:catAx>
        <c:axId val="61270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9999"/>
        <c:crosses val="autoZero"/>
        <c:auto val="1"/>
        <c:lblAlgn val="ctr"/>
        <c:lblOffset val="100"/>
        <c:noMultiLvlLbl val="0"/>
      </c:catAx>
      <c:valAx>
        <c:axId val="61271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[supermarket_sales_excel.xlsx]Jam Ramai!PivotTable12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'Jam Ramai'!$B$46:$B$47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'Jam Ramai'!$A$48:$A$79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'Jam Ramai'!$B$48:$B$79</c:f>
              <c:numCache>
                <c:formatCode>General</c:formatCode>
                <c:ptCount val="31"/>
                <c:pt idx="0">
                  <c:v>11</c:v>
                </c:pt>
                <c:pt idx="1">
                  <c:v>9</c:v>
                </c:pt>
                <c:pt idx="2">
                  <c:v>13</c:v>
                </c:pt>
                <c:pt idx="3">
                  <c:v>16</c:v>
                </c:pt>
                <c:pt idx="4">
                  <c:v>12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13</c:v>
                </c:pt>
                <c:pt idx="10">
                  <c:v>13</c:v>
                </c:pt>
                <c:pt idx="11">
                  <c:v>8</c:v>
                </c:pt>
                <c:pt idx="12">
                  <c:v>9</c:v>
                </c:pt>
                <c:pt idx="13">
                  <c:v>9</c:v>
                </c:pt>
                <c:pt idx="14">
                  <c:v>13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18</c:v>
                </c:pt>
                <c:pt idx="19">
                  <c:v>13</c:v>
                </c:pt>
                <c:pt idx="20">
                  <c:v>10</c:v>
                </c:pt>
                <c:pt idx="21">
                  <c:v>12</c:v>
                </c:pt>
                <c:pt idx="22">
                  <c:v>14</c:v>
                </c:pt>
                <c:pt idx="23">
                  <c:v>9</c:v>
                </c:pt>
                <c:pt idx="24">
                  <c:v>15</c:v>
                </c:pt>
                <c:pt idx="25">
                  <c:v>11</c:v>
                </c:pt>
                <c:pt idx="26">
                  <c:v>16</c:v>
                </c:pt>
                <c:pt idx="27">
                  <c:v>10</c:v>
                </c:pt>
                <c:pt idx="28">
                  <c:v>7</c:v>
                </c:pt>
                <c:pt idx="29">
                  <c:v>5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D-4554-A617-300B0F437987}"/>
            </c:ext>
          </c:extLst>
        </c:ser>
        <c:ser>
          <c:idx val="1"/>
          <c:order val="1"/>
          <c:tx>
            <c:strRef>
              <c:f>'Jam Ramai'!$C$46:$C$47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'Jam Ramai'!$A$48:$A$79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'Jam Ramai'!$C$48:$C$79</c:f>
              <c:numCache>
                <c:formatCode>General</c:formatCode>
                <c:ptCount val="31"/>
                <c:pt idx="0">
                  <c:v>8</c:v>
                </c:pt>
                <c:pt idx="1">
                  <c:v>18</c:v>
                </c:pt>
                <c:pt idx="2">
                  <c:v>11</c:v>
                </c:pt>
                <c:pt idx="3">
                  <c:v>8</c:v>
                </c:pt>
                <c:pt idx="4">
                  <c:v>16</c:v>
                </c:pt>
                <c:pt idx="5">
                  <c:v>12</c:v>
                </c:pt>
                <c:pt idx="6">
                  <c:v>11</c:v>
                </c:pt>
                <c:pt idx="7">
                  <c:v>13</c:v>
                </c:pt>
                <c:pt idx="8">
                  <c:v>12</c:v>
                </c:pt>
                <c:pt idx="9">
                  <c:v>10</c:v>
                </c:pt>
                <c:pt idx="10">
                  <c:v>6</c:v>
                </c:pt>
                <c:pt idx="11">
                  <c:v>14</c:v>
                </c:pt>
                <c:pt idx="12">
                  <c:v>9</c:v>
                </c:pt>
                <c:pt idx="13">
                  <c:v>12</c:v>
                </c:pt>
                <c:pt idx="14">
                  <c:v>20</c:v>
                </c:pt>
                <c:pt idx="15">
                  <c:v>10</c:v>
                </c:pt>
                <c:pt idx="16">
                  <c:v>8</c:v>
                </c:pt>
                <c:pt idx="17">
                  <c:v>5</c:v>
                </c:pt>
                <c:pt idx="18">
                  <c:v>7</c:v>
                </c:pt>
                <c:pt idx="19">
                  <c:v>14</c:v>
                </c:pt>
                <c:pt idx="20">
                  <c:v>4</c:v>
                </c:pt>
                <c:pt idx="21">
                  <c:v>10</c:v>
                </c:pt>
                <c:pt idx="22">
                  <c:v>5</c:v>
                </c:pt>
                <c:pt idx="23">
                  <c:v>13</c:v>
                </c:pt>
                <c:pt idx="24">
                  <c:v>17</c:v>
                </c:pt>
                <c:pt idx="25">
                  <c:v>19</c:v>
                </c:pt>
                <c:pt idx="26">
                  <c:v>12</c:v>
                </c:pt>
                <c:pt idx="27">
                  <c:v>9</c:v>
                </c:pt>
                <c:pt idx="28">
                  <c:v>7</c:v>
                </c:pt>
                <c:pt idx="29">
                  <c:v>5</c:v>
                </c:pt>
                <c:pt idx="3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6D-4554-A617-300B0F437987}"/>
            </c:ext>
          </c:extLst>
        </c:ser>
        <c:ser>
          <c:idx val="2"/>
          <c:order val="2"/>
          <c:tx>
            <c:strRef>
              <c:f>'Jam Ramai'!$D$46:$D$47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'Jam Ramai'!$A$48:$A$79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'Jam Ramai'!$D$48:$D$79</c:f>
              <c:numCache>
                <c:formatCode>General</c:formatCode>
                <c:ptCount val="31"/>
                <c:pt idx="0">
                  <c:v>9</c:v>
                </c:pt>
                <c:pt idx="1">
                  <c:v>14</c:v>
                </c:pt>
                <c:pt idx="2">
                  <c:v>12</c:v>
                </c:pt>
                <c:pt idx="3">
                  <c:v>5</c:v>
                </c:pt>
                <c:pt idx="4">
                  <c:v>13</c:v>
                </c:pt>
                <c:pt idx="5">
                  <c:v>9</c:v>
                </c:pt>
                <c:pt idx="6">
                  <c:v>16</c:v>
                </c:pt>
                <c:pt idx="7">
                  <c:v>17</c:v>
                </c:pt>
                <c:pt idx="8">
                  <c:v>15</c:v>
                </c:pt>
                <c:pt idx="9">
                  <c:v>9</c:v>
                </c:pt>
                <c:pt idx="10">
                  <c:v>8</c:v>
                </c:pt>
                <c:pt idx="11">
                  <c:v>9</c:v>
                </c:pt>
                <c:pt idx="12">
                  <c:v>10</c:v>
                </c:pt>
                <c:pt idx="13">
                  <c:v>18</c:v>
                </c:pt>
                <c:pt idx="14">
                  <c:v>11</c:v>
                </c:pt>
                <c:pt idx="15">
                  <c:v>11</c:v>
                </c:pt>
                <c:pt idx="16">
                  <c:v>9</c:v>
                </c:pt>
                <c:pt idx="17">
                  <c:v>9</c:v>
                </c:pt>
                <c:pt idx="18">
                  <c:v>16</c:v>
                </c:pt>
                <c:pt idx="19">
                  <c:v>8</c:v>
                </c:pt>
                <c:pt idx="20">
                  <c:v>6</c:v>
                </c:pt>
                <c:pt idx="21">
                  <c:v>6</c:v>
                </c:pt>
                <c:pt idx="22">
                  <c:v>17</c:v>
                </c:pt>
                <c:pt idx="23">
                  <c:v>11</c:v>
                </c:pt>
                <c:pt idx="24">
                  <c:v>10</c:v>
                </c:pt>
                <c:pt idx="25">
                  <c:v>9</c:v>
                </c:pt>
                <c:pt idx="26">
                  <c:v>10</c:v>
                </c:pt>
                <c:pt idx="27">
                  <c:v>11</c:v>
                </c:pt>
                <c:pt idx="28">
                  <c:v>6</c:v>
                </c:pt>
                <c:pt idx="29">
                  <c:v>10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6D-4554-A617-300B0F437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705599"/>
        <c:axId val="612722399"/>
      </c:lineChart>
      <c:catAx>
        <c:axId val="612705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22399"/>
        <c:crosses val="autoZero"/>
        <c:auto val="1"/>
        <c:lblAlgn val="ctr"/>
        <c:lblOffset val="100"/>
        <c:noMultiLvlLbl val="0"/>
      </c:catAx>
      <c:valAx>
        <c:axId val="61272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0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[supermarket_sales_excel.xlsx]Customer Type!PivotTable6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27A-411D-86EB-3809083FE8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27A-411D-86EB-3809083FE89C}"/>
              </c:ext>
            </c:extLst>
          </c:dPt>
          <c:cat>
            <c:strRef>
              <c:f>'Customer Type'!$A$4:$A$6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'Customer Type'!$B$4:$B$6</c:f>
              <c:numCache>
                <c:formatCode>0.00</c:formatCode>
                <c:ptCount val="2"/>
                <c:pt idx="0">
                  <c:v>501</c:v>
                </c:pt>
                <c:pt idx="1">
                  <c:v>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2-41AB-93C1-9BCA100F21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[supermarket_sales_excel.xlsx]Customer Type!PivotTable8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Type'!$B$18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'Customer Type'!$A$19:$A$21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'Customer Type'!$B$19:$B$21</c:f>
              <c:numCache>
                <c:formatCode>0.00</c:formatCode>
                <c:ptCount val="2"/>
                <c:pt idx="0">
                  <c:v>2785</c:v>
                </c:pt>
                <c:pt idx="1">
                  <c:v>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C-4655-B3CA-AA2C8C4A7A1C}"/>
            </c:ext>
          </c:extLst>
        </c:ser>
        <c:ser>
          <c:idx val="1"/>
          <c:order val="1"/>
          <c:tx>
            <c:strRef>
              <c:f>'Customer Type'!$C$18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'Customer Type'!$A$19:$A$21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'Customer Type'!$C$19:$C$21</c:f>
              <c:numCache>
                <c:formatCode>0.00</c:formatCode>
                <c:ptCount val="2"/>
                <c:pt idx="0">
                  <c:v>164223.44400000002</c:v>
                </c:pt>
                <c:pt idx="1">
                  <c:v>158743.30500000005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8C-4655-B3CA-AA2C8C4A7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733439"/>
        <c:axId val="612733919"/>
      </c:barChart>
      <c:catAx>
        <c:axId val="612733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33919"/>
        <c:crosses val="autoZero"/>
        <c:auto val="1"/>
        <c:lblAlgn val="ctr"/>
        <c:lblOffset val="100"/>
        <c:noMultiLvlLbl val="0"/>
      </c:catAx>
      <c:valAx>
        <c:axId val="61273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3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[supermarket_sales_excel.xlsx]Gender!PivotTable18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ED-464E-B8FC-0C60653A8A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ED-464E-B8FC-0C60653A8A1B}"/>
              </c:ext>
            </c:extLst>
          </c:dPt>
          <c:cat>
            <c:strRef>
              <c:f>Gender!$A$4:$A$6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Gender!$B$4:$B$6</c:f>
              <c:numCache>
                <c:formatCode>0.00</c:formatCode>
                <c:ptCount val="2"/>
                <c:pt idx="0">
                  <c:v>164223.44400000002</c:v>
                </c:pt>
                <c:pt idx="1">
                  <c:v>158743.30500000005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A-4C57-9BA8-1E5ECE141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[supermarket_sales_excel.xlsx]Gender!PivotTable19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Gender!$B$17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DE3-45DE-9BD7-B89CED122D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DE3-45DE-9BD7-B89CED122D84}"/>
              </c:ext>
            </c:extLst>
          </c:dPt>
          <c:cat>
            <c:strRef>
              <c:f>Gender!$A$18:$A$20</c:f>
              <c:strCache>
                <c:ptCount val="2"/>
                <c:pt idx="0">
                  <c:v>Member</c:v>
                </c:pt>
                <c:pt idx="1">
                  <c:v>Normal</c:v>
                </c:pt>
              </c:strCache>
            </c:strRef>
          </c:cat>
          <c:val>
            <c:numRef>
              <c:f>Gender!$B$18:$B$20</c:f>
              <c:numCache>
                <c:formatCode>General</c:formatCode>
                <c:ptCount val="2"/>
                <c:pt idx="0">
                  <c:v>2785</c:v>
                </c:pt>
                <c:pt idx="1">
                  <c:v>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FA-4473-9B4D-C8EA0E994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[supermarket_sales_excel.xlsx]Gender!PivotTable20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Gender!$B$29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BB-4D6B-B283-EDBB450BE56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BB-4D6B-B283-EDBB450BE564}"/>
              </c:ext>
            </c:extLst>
          </c:dPt>
          <c:cat>
            <c:strRef>
              <c:f>Gender!$A$30:$A$32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Gender!$B$30:$B$32</c:f>
              <c:numCache>
                <c:formatCode>General</c:formatCode>
                <c:ptCount val="2"/>
                <c:pt idx="0">
                  <c:v>2869</c:v>
                </c:pt>
                <c:pt idx="1">
                  <c:v>2641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9-40B1-B6A7-9DA5128A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[supermarket_sales_excel.xlsx]Gender!PivotTable21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Gender!$B$36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5F-4765-92FB-CFF5889780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5F-4765-92FB-CFF5889780E2}"/>
              </c:ext>
            </c:extLst>
          </c:dPt>
          <c:cat>
            <c:strRef>
              <c:f>Gender!$A$37:$A$39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Gender!$B$37:$B$39</c:f>
              <c:numCache>
                <c:formatCode>0.00</c:formatCode>
                <c:ptCount val="2"/>
                <c:pt idx="0">
                  <c:v>167882.92500000002</c:v>
                </c:pt>
                <c:pt idx="1">
                  <c:v>155083.82400000014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F-4D48-8216-8236E9C3A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[supermarket_sales_excel.xlsx]Gender!PivotTable22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Gender!$B$52:$B$53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Gender!$A$54:$A$60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Gender!$B$54:$B$60</c:f>
              <c:numCache>
                <c:formatCode>General</c:formatCode>
                <c:ptCount val="6"/>
                <c:pt idx="0">
                  <c:v>488</c:v>
                </c:pt>
                <c:pt idx="1">
                  <c:v>530</c:v>
                </c:pt>
                <c:pt idx="2">
                  <c:v>514</c:v>
                </c:pt>
                <c:pt idx="3">
                  <c:v>343</c:v>
                </c:pt>
                <c:pt idx="4">
                  <c:v>498</c:v>
                </c:pt>
                <c:pt idx="5">
                  <c:v>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F-4631-834B-2553210F87DD}"/>
            </c:ext>
          </c:extLst>
        </c:ser>
        <c:ser>
          <c:idx val="1"/>
          <c:order val="1"/>
          <c:tx>
            <c:strRef>
              <c:f>Gender!$C$52:$C$53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Gender!$A$54:$A$60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Gender!$C$54:$C$60</c:f>
              <c:numCache>
                <c:formatCode>General</c:formatCode>
                <c:ptCount val="6"/>
                <c:pt idx="0">
                  <c:v>483</c:v>
                </c:pt>
                <c:pt idx="1">
                  <c:v>372</c:v>
                </c:pt>
                <c:pt idx="2">
                  <c:v>438</c:v>
                </c:pt>
                <c:pt idx="3">
                  <c:v>511</c:v>
                </c:pt>
                <c:pt idx="4">
                  <c:v>413</c:v>
                </c:pt>
                <c:pt idx="5">
                  <c:v>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BF-4631-834B-2553210F8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2747359"/>
        <c:axId val="612747839"/>
      </c:barChart>
      <c:catAx>
        <c:axId val="61274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47839"/>
        <c:crosses val="autoZero"/>
        <c:auto val="1"/>
        <c:lblAlgn val="ctr"/>
        <c:lblOffset val="100"/>
        <c:noMultiLvlLbl val="0"/>
      </c:catAx>
      <c:valAx>
        <c:axId val="61274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4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[supermarket_sales_excel.xlsx]Metode pembayaran!PivotTable23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'Metode pembayaran'!$B$3:$B$4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'Metode pembayaran'!$A$5:$A$8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'Metode pembayaran'!$B$5:$B$8</c:f>
              <c:numCache>
                <c:formatCode>General</c:formatCode>
                <c:ptCount val="3"/>
                <c:pt idx="0">
                  <c:v>110</c:v>
                </c:pt>
                <c:pt idx="1">
                  <c:v>104</c:v>
                </c:pt>
                <c:pt idx="2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7-4CE8-A3A6-8DB5F632A916}"/>
            </c:ext>
          </c:extLst>
        </c:ser>
        <c:ser>
          <c:idx val="1"/>
          <c:order val="1"/>
          <c:tx>
            <c:strRef>
              <c:f>'Metode pembayaran'!$C$3:$C$4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'Metode pembayaran'!$A$5:$A$8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'Metode pembayaran'!$C$5:$C$8</c:f>
              <c:numCache>
                <c:formatCode>General</c:formatCode>
                <c:ptCount val="3"/>
                <c:pt idx="0">
                  <c:v>110</c:v>
                </c:pt>
                <c:pt idx="1">
                  <c:v>109</c:v>
                </c:pt>
                <c:pt idx="2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7-4CE8-A3A6-8DB5F632A916}"/>
            </c:ext>
          </c:extLst>
        </c:ser>
        <c:ser>
          <c:idx val="2"/>
          <c:order val="2"/>
          <c:tx>
            <c:strRef>
              <c:f>'Metode pembayaran'!$D$3:$D$4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'Metode pembayaran'!$A$5:$A$8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'Metode pembayaran'!$D$5:$D$8</c:f>
              <c:numCache>
                <c:formatCode>General</c:formatCode>
                <c:ptCount val="3"/>
                <c:pt idx="0">
                  <c:v>124</c:v>
                </c:pt>
                <c:pt idx="1">
                  <c:v>98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7-4CE8-A3A6-8DB5F632A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68639"/>
        <c:axId val="612657119"/>
      </c:barChart>
      <c:catAx>
        <c:axId val="61266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57119"/>
        <c:crosses val="autoZero"/>
        <c:auto val="1"/>
        <c:lblAlgn val="ctr"/>
        <c:lblOffset val="100"/>
        <c:noMultiLvlLbl val="0"/>
      </c:catAx>
      <c:valAx>
        <c:axId val="612657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[supermarket_sales_excel.xlsx]Metode pembayaran!PivotTable24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'Metode pembayaran'!$B$22</c:f>
              <c:strCache>
                <c:ptCount val="1"/>
                <c:pt idx="0">
                  <c:v>Sum of gross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'Metode pembayaran'!$A$23:$A$26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'Metode pembayaran'!$B$23:$B$26</c:f>
              <c:numCache>
                <c:formatCode>0.00</c:formatCode>
                <c:ptCount val="3"/>
                <c:pt idx="0">
                  <c:v>5057.1605000000018</c:v>
                </c:pt>
                <c:pt idx="1">
                  <c:v>5057.0320000000029</c:v>
                </c:pt>
                <c:pt idx="2">
                  <c:v>5265.1765000000023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9-4AE9-B412-585446E924EA}"/>
            </c:ext>
          </c:extLst>
        </c:ser>
        <c:ser>
          <c:idx val="1"/>
          <c:order val="1"/>
          <c:tx>
            <c:strRef>
              <c:f>'Metode pembayaran'!$C$22</c:f>
              <c:strCache>
                <c:ptCount val="1"/>
                <c:pt idx="0">
                  <c:v>Average of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'Metode pembayaran'!$A$23:$A$26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'Metode pembayaran'!$C$23:$C$26</c:f>
              <c:numCache>
                <c:formatCode>0.00</c:formatCode>
                <c:ptCount val="3"/>
                <c:pt idx="0">
                  <c:v>7.0270588235294129</c:v>
                </c:pt>
                <c:pt idx="1">
                  <c:v>6.8180722891566266</c:v>
                </c:pt>
                <c:pt idx="2">
                  <c:v>7.0728658536585378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9-4AE9-B412-585446E92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767999"/>
        <c:axId val="612768959"/>
      </c:barChart>
      <c:catAx>
        <c:axId val="61276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68959"/>
        <c:crosses val="autoZero"/>
        <c:auto val="1"/>
        <c:lblAlgn val="ctr"/>
        <c:lblOffset val="100"/>
        <c:noMultiLvlLbl val="0"/>
      </c:catAx>
      <c:valAx>
        <c:axId val="61276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6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[supermarket_sales_excel.xlsx]Metode pembayaran!PivotTable25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'Metode pembayaran'!$B$37</c:f>
              <c:strCache>
                <c:ptCount val="1"/>
                <c:pt idx="0">
                  <c:v>Sum of gross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'Metode pembayaran'!$A$38:$A$41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'Metode pembayaran'!$B$38:$B$41</c:f>
              <c:numCache>
                <c:formatCode>0.00</c:formatCode>
                <c:ptCount val="3"/>
                <c:pt idx="0">
                  <c:v>5057.1605000000018</c:v>
                </c:pt>
                <c:pt idx="1">
                  <c:v>5057.0320000000029</c:v>
                </c:pt>
                <c:pt idx="2">
                  <c:v>5265.1765000000023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8-4CA7-B7AB-C18E80F4BBE8}"/>
            </c:ext>
          </c:extLst>
        </c:ser>
        <c:ser>
          <c:idx val="1"/>
          <c:order val="1"/>
          <c:tx>
            <c:strRef>
              <c:f>'Metode pembayaran'!$C$37</c:f>
              <c:strCache>
                <c:ptCount val="1"/>
                <c:pt idx="0">
                  <c:v>Sum of gross margin percentage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'Metode pembayaran'!$A$38:$A$41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'Metode pembayaran'!$C$38:$C$41</c:f>
              <c:numCache>
                <c:formatCode>0.00</c:formatCode>
                <c:ptCount val="3"/>
                <c:pt idx="0">
                  <c:v>1619.0476190800061</c:v>
                </c:pt>
                <c:pt idx="1">
                  <c:v>1580.9523809840055</c:v>
                </c:pt>
                <c:pt idx="2">
                  <c:v>1561.9047619360051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88-4CA7-B7AB-C18E80F4BB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723359"/>
        <c:axId val="612726239"/>
      </c:barChart>
      <c:catAx>
        <c:axId val="61272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26239"/>
        <c:crosses val="autoZero"/>
        <c:auto val="1"/>
        <c:lblAlgn val="ctr"/>
        <c:lblOffset val="100"/>
        <c:noMultiLvlLbl val="0"/>
      </c:catAx>
      <c:valAx>
        <c:axId val="61272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2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[supermarket_sales_excel.xlsx]keuntungan produk kategori!PivotTable26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keuntungan per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'keuntungan produk kategori'!$B$3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'keuntungan produk kategori'!$A$4:$A$10</c:f>
              <c:strCache>
                <c:ptCount val="6"/>
                <c:pt idx="0">
                  <c:v>Health and beauty</c:v>
                </c:pt>
                <c:pt idx="1">
                  <c:v>Home and lifestyle</c:v>
                </c:pt>
                <c:pt idx="2">
                  <c:v>Fashion accessories</c:v>
                </c:pt>
                <c:pt idx="3">
                  <c:v>Electronic accessories</c:v>
                </c:pt>
                <c:pt idx="4">
                  <c:v>Sports and travel</c:v>
                </c:pt>
                <c:pt idx="5">
                  <c:v>Food and beverages</c:v>
                </c:pt>
              </c:strCache>
            </c:strRef>
          </c:cat>
          <c:val>
            <c:numRef>
              <c:f>'keuntungan produk kategori'!$B$4:$B$10</c:f>
              <c:numCache>
                <c:formatCode>0.00</c:formatCode>
                <c:ptCount val="6"/>
                <c:pt idx="0">
                  <c:v>2342.5589999999993</c:v>
                </c:pt>
                <c:pt idx="1">
                  <c:v>2564.8530000000019</c:v>
                </c:pt>
                <c:pt idx="2">
                  <c:v>2585.9949999999999</c:v>
                </c:pt>
                <c:pt idx="3">
                  <c:v>2587.5015000000017</c:v>
                </c:pt>
                <c:pt idx="4">
                  <c:v>2624.8964999999994</c:v>
                </c:pt>
                <c:pt idx="5">
                  <c:v>2673.5639999999994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7-4FDD-B244-EC0FC3ED2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386831"/>
        <c:axId val="282396911"/>
      </c:barChart>
      <c:catAx>
        <c:axId val="2823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396911"/>
        <c:crosses val="autoZero"/>
        <c:auto val="1"/>
        <c:lblAlgn val="ctr"/>
        <c:lblOffset val="100"/>
        <c:noMultiLvlLbl val="0"/>
      </c:catAx>
      <c:valAx>
        <c:axId val="28239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386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[supermarket_sales_excel.xlsx]Rating n Gross Kategori!PivotTable28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'Rating n Gross Kategori'!$B$3</c:f>
              <c:strCache>
                <c:ptCount val="1"/>
                <c:pt idx="0">
                  <c:v>Average of 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'Rating n Gross Kategori'!$A$4:$A$10</c:f>
              <c:strCache>
                <c:ptCount val="6"/>
                <c:pt idx="0">
                  <c:v>Health and beauty</c:v>
                </c:pt>
                <c:pt idx="1">
                  <c:v>Home and lifestyle</c:v>
                </c:pt>
                <c:pt idx="2">
                  <c:v>Fashion accessories</c:v>
                </c:pt>
                <c:pt idx="3">
                  <c:v>Electronic accessories</c:v>
                </c:pt>
                <c:pt idx="4">
                  <c:v>Sports and travel</c:v>
                </c:pt>
                <c:pt idx="5">
                  <c:v>Food and beverages</c:v>
                </c:pt>
              </c:strCache>
            </c:strRef>
          </c:cat>
          <c:val>
            <c:numRef>
              <c:f>'Rating n Gross Kategori'!$B$4:$B$10</c:f>
              <c:numCache>
                <c:formatCode>0.00</c:formatCode>
                <c:ptCount val="6"/>
                <c:pt idx="0">
                  <c:v>7.0032894736842124</c:v>
                </c:pt>
                <c:pt idx="1">
                  <c:v>6.8375000000000004</c:v>
                </c:pt>
                <c:pt idx="2">
                  <c:v>7.0292134831460666</c:v>
                </c:pt>
                <c:pt idx="3">
                  <c:v>6.9247058823529404</c:v>
                </c:pt>
                <c:pt idx="4">
                  <c:v>6.9162650602409643</c:v>
                </c:pt>
                <c:pt idx="5">
                  <c:v>7.1132183908045983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7-4755-8973-15C82EDF33A6}"/>
            </c:ext>
          </c:extLst>
        </c:ser>
        <c:ser>
          <c:idx val="1"/>
          <c:order val="1"/>
          <c:tx>
            <c:strRef>
              <c:f>'Rating n Gross Kategori'!$C$3</c:f>
              <c:strCache>
                <c:ptCount val="1"/>
                <c:pt idx="0">
                  <c:v>Sum of gross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'Rating n Gross Kategori'!$A$4:$A$10</c:f>
              <c:strCache>
                <c:ptCount val="6"/>
                <c:pt idx="0">
                  <c:v>Health and beauty</c:v>
                </c:pt>
                <c:pt idx="1">
                  <c:v>Home and lifestyle</c:v>
                </c:pt>
                <c:pt idx="2">
                  <c:v>Fashion accessories</c:v>
                </c:pt>
                <c:pt idx="3">
                  <c:v>Electronic accessories</c:v>
                </c:pt>
                <c:pt idx="4">
                  <c:v>Sports and travel</c:v>
                </c:pt>
                <c:pt idx="5">
                  <c:v>Food and beverages</c:v>
                </c:pt>
              </c:strCache>
            </c:strRef>
          </c:cat>
          <c:val>
            <c:numRef>
              <c:f>'Rating n Gross Kategori'!$C$4:$C$10</c:f>
              <c:numCache>
                <c:formatCode>0.00</c:formatCode>
                <c:ptCount val="6"/>
                <c:pt idx="0">
                  <c:v>2342.5589999999993</c:v>
                </c:pt>
                <c:pt idx="1">
                  <c:v>2564.8530000000019</c:v>
                </c:pt>
                <c:pt idx="2">
                  <c:v>2585.9949999999999</c:v>
                </c:pt>
                <c:pt idx="3">
                  <c:v>2587.5015000000017</c:v>
                </c:pt>
                <c:pt idx="4">
                  <c:v>2624.8964999999994</c:v>
                </c:pt>
                <c:pt idx="5">
                  <c:v>2673.5639999999994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7-4755-8973-15C82EDF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24490399"/>
        <c:axId val="624518239"/>
      </c:barChart>
      <c:catAx>
        <c:axId val="624490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518239"/>
        <c:crosses val="autoZero"/>
        <c:auto val="1"/>
        <c:lblAlgn val="ctr"/>
        <c:lblOffset val="100"/>
        <c:noMultiLvlLbl val="0"/>
      </c:catAx>
      <c:valAx>
        <c:axId val="624518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49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111271037356889E-2"/>
          <c:y val="7.407407407407407E-2"/>
          <c:w val="0.82964618669978085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v>Electronic accessories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305.32750000000004</c:v>
              </c:pt>
              <c:pt idx="1">
                <c:v>282.00600000000003</c:v>
              </c:pt>
              <c:pt idx="2">
                <c:v>481.47250000000003</c:v>
              </c:pt>
              <c:pt idx="3">
                <c:v>231.66249999999999</c:v>
              </c:pt>
              <c:pt idx="4">
                <c:v>592.15050000000008</c:v>
              </c:pt>
              <c:pt idx="5">
                <c:v>230.86450000000002</c:v>
              </c:pt>
              <c:pt idx="6">
                <c:v>464.01800000000009</c:v>
              </c:pt>
            </c:numLit>
          </c:val>
          <c:extLst>
            <c:ext xmlns:c16="http://schemas.microsoft.com/office/drawing/2014/chart" uri="{C3380CC4-5D6E-409C-BE32-E72D297353CC}">
              <c16:uniqueId val="{00000000-F6AC-456A-81DF-AD1839ACDFE3}"/>
            </c:ext>
          </c:extLst>
        </c:ser>
        <c:ser>
          <c:idx val="1"/>
          <c:order val="1"/>
          <c:tx>
            <c:v>Fashion accessories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268.7885</c:v>
              </c:pt>
              <c:pt idx="1">
                <c:v>305.69150000000002</c:v>
              </c:pt>
              <c:pt idx="2">
                <c:v>353.48950000000002</c:v>
              </c:pt>
              <c:pt idx="3">
                <c:v>321.85549999999995</c:v>
              </c:pt>
              <c:pt idx="4">
                <c:v>367.89950000000005</c:v>
              </c:pt>
              <c:pt idx="5">
                <c:v>454.98850000000016</c:v>
              </c:pt>
              <c:pt idx="6">
                <c:v>513.28200000000004</c:v>
              </c:pt>
            </c:numLit>
          </c:val>
          <c:extLst>
            <c:ext xmlns:c16="http://schemas.microsoft.com/office/drawing/2014/chart" uri="{C3380CC4-5D6E-409C-BE32-E72D297353CC}">
              <c16:uniqueId val="{00000001-F6AC-456A-81DF-AD1839ACDFE3}"/>
            </c:ext>
          </c:extLst>
        </c:ser>
        <c:ser>
          <c:idx val="2"/>
          <c:order val="2"/>
          <c:tx>
            <c:v>Food and beverages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377.91250000000002</c:v>
              </c:pt>
              <c:pt idx="1">
                <c:v>314.86800000000005</c:v>
              </c:pt>
              <c:pt idx="2">
                <c:v>468.96649999999994</c:v>
              </c:pt>
              <c:pt idx="3">
                <c:v>524.55899999999997</c:v>
              </c:pt>
              <c:pt idx="4">
                <c:v>323.74250000000006</c:v>
              </c:pt>
              <c:pt idx="5">
                <c:v>217.06799999999998</c:v>
              </c:pt>
              <c:pt idx="6">
                <c:v>446.44749999999993</c:v>
              </c:pt>
            </c:numLit>
          </c:val>
          <c:extLst>
            <c:ext xmlns:c16="http://schemas.microsoft.com/office/drawing/2014/chart" uri="{C3380CC4-5D6E-409C-BE32-E72D297353CC}">
              <c16:uniqueId val="{00000002-F6AC-456A-81DF-AD1839ACDFE3}"/>
            </c:ext>
          </c:extLst>
        </c:ser>
        <c:ser>
          <c:idx val="3"/>
          <c:order val="3"/>
          <c:tx>
            <c:v>Health and beauty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236.82550000000001</c:v>
              </c:pt>
              <c:pt idx="1">
                <c:v>402.29699999999997</c:v>
              </c:pt>
              <c:pt idx="2">
                <c:v>407.59949999999998</c:v>
              </c:pt>
              <c:pt idx="3">
                <c:v>280.41649999999998</c:v>
              </c:pt>
              <c:pt idx="4">
                <c:v>265.83199999999999</c:v>
              </c:pt>
              <c:pt idx="5">
                <c:v>396.71499999999997</c:v>
              </c:pt>
              <c:pt idx="6">
                <c:v>352.87349999999992</c:v>
              </c:pt>
            </c:numLit>
          </c:val>
          <c:extLst>
            <c:ext xmlns:c16="http://schemas.microsoft.com/office/drawing/2014/chart" uri="{C3380CC4-5D6E-409C-BE32-E72D297353CC}">
              <c16:uniqueId val="{00000003-F6AC-456A-81DF-AD1839ACDFE3}"/>
            </c:ext>
          </c:extLst>
        </c:ser>
        <c:ser>
          <c:idx val="4"/>
          <c:order val="4"/>
          <c:tx>
            <c:v>Home and lifestyle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574.87099999999987</c:v>
              </c:pt>
              <c:pt idx="1">
                <c:v>290.25450000000006</c:v>
              </c:pt>
              <c:pt idx="2">
                <c:v>367.08249999999992</c:v>
              </c:pt>
              <c:pt idx="3">
                <c:v>308.32449999999994</c:v>
              </c:pt>
              <c:pt idx="4">
                <c:v>258.44299999999998</c:v>
              </c:pt>
              <c:pt idx="5">
                <c:v>327.40100000000001</c:v>
              </c:pt>
              <c:pt idx="6">
                <c:v>438.47650000000004</c:v>
              </c:pt>
            </c:numLit>
          </c:val>
          <c:extLst>
            <c:ext xmlns:c16="http://schemas.microsoft.com/office/drawing/2014/chart" uri="{C3380CC4-5D6E-409C-BE32-E72D297353CC}">
              <c16:uniqueId val="{00000004-F6AC-456A-81DF-AD1839ACDFE3}"/>
            </c:ext>
          </c:extLst>
        </c:ser>
        <c:ser>
          <c:idx val="5"/>
          <c:order val="5"/>
          <c:tx>
            <c:v>Sports and travel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Sunday</c:v>
              </c:pt>
              <c:pt idx="1">
                <c:v>Monday</c:v>
              </c:pt>
              <c:pt idx="2">
                <c:v>Tuesday</c:v>
              </c:pt>
              <c:pt idx="3">
                <c:v>Wednesday</c:v>
              </c:pt>
              <c:pt idx="4">
                <c:v>Thursday</c:v>
              </c:pt>
              <c:pt idx="5">
                <c:v>Friday</c:v>
              </c:pt>
              <c:pt idx="6">
                <c:v>Saturday</c:v>
              </c:pt>
            </c:strLit>
          </c:cat>
          <c:val>
            <c:numLit>
              <c:formatCode>General</c:formatCode>
              <c:ptCount val="7"/>
              <c:pt idx="0">
                <c:v>364.4394999999999</c:v>
              </c:pt>
              <c:pt idx="1">
                <c:v>209.601</c:v>
              </c:pt>
              <c:pt idx="2">
                <c:v>372.92500000000007</c:v>
              </c:pt>
              <c:pt idx="3">
                <c:v>404.495</c:v>
              </c:pt>
              <c:pt idx="4">
                <c:v>351.4205</c:v>
              </c:pt>
              <c:pt idx="5">
                <c:v>464.69350000000009</c:v>
              </c:pt>
              <c:pt idx="6">
                <c:v>457.32200000000006</c:v>
              </c:pt>
            </c:numLit>
          </c:val>
          <c:extLst>
            <c:ext xmlns:c16="http://schemas.microsoft.com/office/drawing/2014/chart" uri="{C3380CC4-5D6E-409C-BE32-E72D297353CC}">
              <c16:uniqueId val="{00000005-F6AC-456A-81DF-AD1839ACD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6089903"/>
        <c:axId val="946082703"/>
      </c:barChart>
      <c:catAx>
        <c:axId val="94608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082703"/>
        <c:crosses val="autoZero"/>
        <c:auto val="1"/>
        <c:lblAlgn val="ctr"/>
        <c:lblOffset val="100"/>
        <c:noMultiLvlLbl val="0"/>
      </c:catAx>
      <c:valAx>
        <c:axId val="94608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08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[supermarket_sales_excel.xlsx]Hari Ramai!PivotTable2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Hari Ramai Pengunjung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'Hari Ramai'!$B$3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'Hari Ramai'!$A$4:$A$11</c:f>
              <c:strCache>
                <c:ptCount val="7"/>
                <c:pt idx="0">
                  <c:v>Monday</c:v>
                </c:pt>
                <c:pt idx="1">
                  <c:v>Sunday</c:v>
                </c:pt>
                <c:pt idx="2">
                  <c:v>Thursday</c:v>
                </c:pt>
                <c:pt idx="3">
                  <c:v>Friday</c:v>
                </c:pt>
                <c:pt idx="4">
                  <c:v>Wednesday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'Hari Ramai'!$B$4:$B$11</c:f>
              <c:numCache>
                <c:formatCode>General</c:formatCode>
                <c:ptCount val="7"/>
                <c:pt idx="0">
                  <c:v>125</c:v>
                </c:pt>
                <c:pt idx="1">
                  <c:v>135</c:v>
                </c:pt>
                <c:pt idx="2">
                  <c:v>138</c:v>
                </c:pt>
                <c:pt idx="3">
                  <c:v>139</c:v>
                </c:pt>
                <c:pt idx="4">
                  <c:v>141</c:v>
                </c:pt>
                <c:pt idx="5">
                  <c:v>158</c:v>
                </c:pt>
                <c:pt idx="6">
                  <c:v>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13-4656-9E9E-C194F6B76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320991"/>
        <c:axId val="129308511"/>
      </c:barChart>
      <c:catAx>
        <c:axId val="12932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08511"/>
        <c:crosses val="autoZero"/>
        <c:auto val="1"/>
        <c:lblAlgn val="ctr"/>
        <c:lblOffset val="100"/>
        <c:noMultiLvlLbl val="0"/>
      </c:catAx>
      <c:valAx>
        <c:axId val="129308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[supermarket_sales_excel.xlsx]Hari Ramai!PivotTable3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defRPr>
            </a:pPr>
            <a:r>
              <a:rPr lang="en-US" sz="1600" b="1"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t>Jam ramai pengunjung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'Hari Ramai'!$B$22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'Hari Ramai'!$A$23:$A$34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'Hari Ramai'!$B$23:$B$34</c:f>
              <c:numCache>
                <c:formatCode>General</c:formatCode>
                <c:ptCount val="11"/>
                <c:pt idx="0">
                  <c:v>101</c:v>
                </c:pt>
                <c:pt idx="1">
                  <c:v>90</c:v>
                </c:pt>
                <c:pt idx="2">
                  <c:v>89</c:v>
                </c:pt>
                <c:pt idx="3">
                  <c:v>103</c:v>
                </c:pt>
                <c:pt idx="4">
                  <c:v>83</c:v>
                </c:pt>
                <c:pt idx="5">
                  <c:v>102</c:v>
                </c:pt>
                <c:pt idx="6">
                  <c:v>77</c:v>
                </c:pt>
                <c:pt idx="7">
                  <c:v>74</c:v>
                </c:pt>
                <c:pt idx="8">
                  <c:v>93</c:v>
                </c:pt>
                <c:pt idx="9">
                  <c:v>113</c:v>
                </c:pt>
                <c:pt idx="1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91-4D33-B55C-7A7B4269B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79231"/>
        <c:axId val="129283071"/>
      </c:lineChart>
      <c:catAx>
        <c:axId val="12927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83071"/>
        <c:crosses val="autoZero"/>
        <c:auto val="1"/>
        <c:lblAlgn val="ctr"/>
        <c:lblOffset val="100"/>
        <c:noMultiLvlLbl val="0"/>
      </c:catAx>
      <c:valAx>
        <c:axId val="1292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[supermarket_sales_excel.xlsx]Hari Ramai!PivotTable4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Segoe UI" panose="020B0502040204020203" pitchFamily="34" charset="0"/>
                <a:cs typeface="Segoe UI" panose="020B0502040204020203" pitchFamily="34" charset="0"/>
              </a:rPr>
              <a:t>Hari dengan rating tertinggi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'Hari Ramai'!$B$39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'Hari Ramai'!$A$40:$A$47</c:f>
              <c:strCache>
                <c:ptCount val="7"/>
                <c:pt idx="0">
                  <c:v>Wednesday</c:v>
                </c:pt>
                <c:pt idx="1">
                  <c:v>Thursday</c:v>
                </c:pt>
                <c:pt idx="2">
                  <c:v>Saturday</c:v>
                </c:pt>
                <c:pt idx="3">
                  <c:v>Sunday</c:v>
                </c:pt>
                <c:pt idx="4">
                  <c:v>Tuesday</c:v>
                </c:pt>
                <c:pt idx="5">
                  <c:v>Friday</c:v>
                </c:pt>
                <c:pt idx="6">
                  <c:v>Monday</c:v>
                </c:pt>
              </c:strCache>
            </c:strRef>
          </c:cat>
          <c:val>
            <c:numRef>
              <c:f>'Hari Ramai'!$B$40:$B$47</c:f>
              <c:numCache>
                <c:formatCode>0.00</c:formatCode>
                <c:ptCount val="7"/>
                <c:pt idx="0">
                  <c:v>6.8283687943262406</c:v>
                </c:pt>
                <c:pt idx="1">
                  <c:v>6.8898550724637699</c:v>
                </c:pt>
                <c:pt idx="2">
                  <c:v>6.9018292682926878</c:v>
                </c:pt>
                <c:pt idx="3">
                  <c:v>6.9844444444444447</c:v>
                </c:pt>
                <c:pt idx="4">
                  <c:v>7.0031645569620249</c:v>
                </c:pt>
                <c:pt idx="5">
                  <c:v>7.076258992805756</c:v>
                </c:pt>
                <c:pt idx="6">
                  <c:v>7.1535999999999991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7-4506-88A0-2F4ACE245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2170511"/>
        <c:axId val="652145071"/>
      </c:barChart>
      <c:catAx>
        <c:axId val="652170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145071"/>
        <c:crosses val="autoZero"/>
        <c:auto val="1"/>
        <c:lblAlgn val="ctr"/>
        <c:lblOffset val="100"/>
        <c:noMultiLvlLbl val="0"/>
      </c:catAx>
      <c:valAx>
        <c:axId val="65214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17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[supermarket_sales_excel.xlsx]Hari Ramai!PivotTable5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'Hari Ramai'!$B$56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'Hari Ramai'!$A$57:$A$64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'Hari Ramai'!$B$57:$B$64</c:f>
              <c:numCache>
                <c:formatCode>0.00</c:formatCode>
                <c:ptCount val="7"/>
                <c:pt idx="0">
                  <c:v>37899.077999999987</c:v>
                </c:pt>
                <c:pt idx="1">
                  <c:v>43497.573000000011</c:v>
                </c:pt>
                <c:pt idx="2">
                  <c:v>43926.34050000002</c:v>
                </c:pt>
                <c:pt idx="3">
                  <c:v>44691.454499999993</c:v>
                </c:pt>
                <c:pt idx="4">
                  <c:v>45349.248000000014</c:v>
                </c:pt>
                <c:pt idx="5">
                  <c:v>51482.245500000012</c:v>
                </c:pt>
                <c:pt idx="6">
                  <c:v>56120.809499999988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F-4039-ADBE-D39B1B6E2917}"/>
            </c:ext>
          </c:extLst>
        </c:ser>
        <c:ser>
          <c:idx val="1"/>
          <c:order val="1"/>
          <c:tx>
            <c:strRef>
              <c:f>'Hari Ramai'!$C$56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'Hari Ramai'!$A$57:$A$64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'Hari Ramai'!$C$57:$C$64</c:f>
              <c:numCache>
                <c:formatCode>0.00</c:formatCode>
                <c:ptCount val="7"/>
                <c:pt idx="0">
                  <c:v>638</c:v>
                </c:pt>
                <c:pt idx="1">
                  <c:v>793</c:v>
                </c:pt>
                <c:pt idx="2">
                  <c:v>758</c:v>
                </c:pt>
                <c:pt idx="3">
                  <c:v>785</c:v>
                </c:pt>
                <c:pt idx="4">
                  <c:v>755</c:v>
                </c:pt>
                <c:pt idx="5">
                  <c:v>862</c:v>
                </c:pt>
                <c:pt idx="6">
                  <c:v>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F-4039-ADBE-D39B1B6E2917}"/>
            </c:ext>
          </c:extLst>
        </c:ser>
        <c:ser>
          <c:idx val="2"/>
          <c:order val="2"/>
          <c:tx>
            <c:strRef>
              <c:f>'Hari Ramai'!$D$56</c:f>
              <c:strCache>
                <c:ptCount val="1"/>
                <c:pt idx="0">
                  <c:v>Sum of gross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'Hari Ramai'!$A$57:$A$64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'Hari Ramai'!$D$57:$D$64</c:f>
              <c:numCache>
                <c:formatCode>0.00</c:formatCode>
                <c:ptCount val="7"/>
                <c:pt idx="0">
                  <c:v>1804.7179999999994</c:v>
                </c:pt>
                <c:pt idx="1">
                  <c:v>2071.3130000000001</c:v>
                </c:pt>
                <c:pt idx="2">
                  <c:v>2091.7304999999988</c:v>
                </c:pt>
                <c:pt idx="3">
                  <c:v>2128.164499999999</c:v>
                </c:pt>
                <c:pt idx="4">
                  <c:v>2159.4880000000007</c:v>
                </c:pt>
                <c:pt idx="5">
                  <c:v>2451.5354999999995</c:v>
                </c:pt>
                <c:pt idx="6">
                  <c:v>2672.4195000000018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F-4039-ADBE-D39B1B6E2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6065423"/>
        <c:axId val="946045263"/>
      </c:barChart>
      <c:catAx>
        <c:axId val="946065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045263"/>
        <c:crosses val="autoZero"/>
        <c:auto val="1"/>
        <c:lblAlgn val="ctr"/>
        <c:lblOffset val="100"/>
        <c:noMultiLvlLbl val="0"/>
      </c:catAx>
      <c:valAx>
        <c:axId val="946045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06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[supermarket_sales_excel.xlsx]Sheet2!PivotTable16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600" b="1">
                <a:latin typeface="Segoe UI" panose="020B0502040204020203" pitchFamily="34" charset="0"/>
                <a:cs typeface="Segoe UI" panose="020B0502040204020203" pitchFamily="34" charset="0"/>
              </a:rPr>
              <a:t>Keuntungan based on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Sheet2!$B$4:$B$11</c:f>
              <c:numCache>
                <c:formatCode>0.00</c:formatCode>
                <c:ptCount val="7"/>
                <c:pt idx="0">
                  <c:v>1804.7179999999994</c:v>
                </c:pt>
                <c:pt idx="1">
                  <c:v>2071.3130000000001</c:v>
                </c:pt>
                <c:pt idx="2">
                  <c:v>2091.7304999999988</c:v>
                </c:pt>
                <c:pt idx="3">
                  <c:v>2128.164499999999</c:v>
                </c:pt>
                <c:pt idx="4">
                  <c:v>2159.4880000000007</c:v>
                </c:pt>
                <c:pt idx="5">
                  <c:v>2451.5354999999995</c:v>
                </c:pt>
                <c:pt idx="6">
                  <c:v>2672.4195000000018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57-4EC2-B52E-DA39F164B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973280"/>
        <c:axId val="657978080"/>
      </c:barChart>
      <c:catAx>
        <c:axId val="65797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78080"/>
        <c:crosses val="autoZero"/>
        <c:auto val="1"/>
        <c:lblAlgn val="ctr"/>
        <c:lblOffset val="100"/>
        <c:noMultiLvlLbl val="0"/>
      </c:catAx>
      <c:valAx>
        <c:axId val="65797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7328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[supermarket_sales_excel.xlsx]Sheet2!PivotTable17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Keuntungan per hari per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Sheet2!$B$21:$B$22</c:f>
              <c:strCache>
                <c:ptCount val="1"/>
                <c:pt idx="0">
                  <c:v>Electronic accessories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Sheet2!$A$23:$A$30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Sheet2!$B$23:$B$30</c:f>
              <c:numCache>
                <c:formatCode>0.00</c:formatCode>
                <c:ptCount val="7"/>
                <c:pt idx="0">
                  <c:v>282.00600000000003</c:v>
                </c:pt>
                <c:pt idx="1">
                  <c:v>231.66249999999999</c:v>
                </c:pt>
                <c:pt idx="2">
                  <c:v>230.86450000000002</c:v>
                </c:pt>
                <c:pt idx="3">
                  <c:v>305.32750000000004</c:v>
                </c:pt>
                <c:pt idx="4">
                  <c:v>592.15050000000008</c:v>
                </c:pt>
                <c:pt idx="5">
                  <c:v>481.47250000000003</c:v>
                </c:pt>
                <c:pt idx="6">
                  <c:v>464.01800000000009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95-473F-ADBB-6D64B3C21A41}"/>
            </c:ext>
          </c:extLst>
        </c:ser>
        <c:ser>
          <c:idx val="1"/>
          <c:order val="1"/>
          <c:tx>
            <c:strRef>
              <c:f>Sheet2!$C$21:$C$22</c:f>
              <c:strCache>
                <c:ptCount val="1"/>
                <c:pt idx="0">
                  <c:v>Fashion accessories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Sheet2!$A$23:$A$30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Sheet2!$C$23:$C$30</c:f>
              <c:numCache>
                <c:formatCode>0.00</c:formatCode>
                <c:ptCount val="7"/>
                <c:pt idx="0">
                  <c:v>305.69150000000002</c:v>
                </c:pt>
                <c:pt idx="1">
                  <c:v>321.85549999999995</c:v>
                </c:pt>
                <c:pt idx="2">
                  <c:v>454.98850000000016</c:v>
                </c:pt>
                <c:pt idx="3">
                  <c:v>268.7885</c:v>
                </c:pt>
                <c:pt idx="4">
                  <c:v>367.89950000000005</c:v>
                </c:pt>
                <c:pt idx="5">
                  <c:v>353.48950000000002</c:v>
                </c:pt>
                <c:pt idx="6">
                  <c:v>513.28200000000004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95-473F-ADBB-6D64B3C21A41}"/>
            </c:ext>
          </c:extLst>
        </c:ser>
        <c:ser>
          <c:idx val="2"/>
          <c:order val="2"/>
          <c:tx>
            <c:strRef>
              <c:f>Sheet2!$D$21:$D$22</c:f>
              <c:strCache>
                <c:ptCount val="1"/>
                <c:pt idx="0">
                  <c:v>Food and beverages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Sheet2!$A$23:$A$30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Sheet2!$D$23:$D$30</c:f>
              <c:numCache>
                <c:formatCode>0.00</c:formatCode>
                <c:ptCount val="7"/>
                <c:pt idx="0">
                  <c:v>314.86800000000005</c:v>
                </c:pt>
                <c:pt idx="1">
                  <c:v>524.55899999999997</c:v>
                </c:pt>
                <c:pt idx="2">
                  <c:v>217.06799999999998</c:v>
                </c:pt>
                <c:pt idx="3">
                  <c:v>377.91250000000002</c:v>
                </c:pt>
                <c:pt idx="4">
                  <c:v>323.74250000000006</c:v>
                </c:pt>
                <c:pt idx="5">
                  <c:v>468.96649999999994</c:v>
                </c:pt>
                <c:pt idx="6">
                  <c:v>446.44749999999993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95-473F-ADBB-6D64B3C21A41}"/>
            </c:ext>
          </c:extLst>
        </c:ser>
        <c:ser>
          <c:idx val="3"/>
          <c:order val="3"/>
          <c:tx>
            <c:strRef>
              <c:f>Sheet2!$E$21:$E$22</c:f>
              <c:strCache>
                <c:ptCount val="1"/>
                <c:pt idx="0">
                  <c:v>Health and beauty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Sheet2!$A$23:$A$30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Sheet2!$E$23:$E$30</c:f>
              <c:numCache>
                <c:formatCode>0.00</c:formatCode>
                <c:ptCount val="7"/>
                <c:pt idx="0">
                  <c:v>402.29699999999997</c:v>
                </c:pt>
                <c:pt idx="1">
                  <c:v>280.41649999999998</c:v>
                </c:pt>
                <c:pt idx="2">
                  <c:v>396.71499999999997</c:v>
                </c:pt>
                <c:pt idx="3">
                  <c:v>236.82550000000001</c:v>
                </c:pt>
                <c:pt idx="4">
                  <c:v>265.83199999999999</c:v>
                </c:pt>
                <c:pt idx="5">
                  <c:v>407.59949999999998</c:v>
                </c:pt>
                <c:pt idx="6">
                  <c:v>352.87349999999992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95-473F-ADBB-6D64B3C21A41}"/>
            </c:ext>
          </c:extLst>
        </c:ser>
        <c:ser>
          <c:idx val="4"/>
          <c:order val="4"/>
          <c:tx>
            <c:strRef>
              <c:f>Sheet2!$F$21:$F$22</c:f>
              <c:strCache>
                <c:ptCount val="1"/>
                <c:pt idx="0">
                  <c:v>Home and lifestyle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Sheet2!$A$23:$A$30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Sheet2!$F$23:$F$30</c:f>
              <c:numCache>
                <c:formatCode>0.00</c:formatCode>
                <c:ptCount val="7"/>
                <c:pt idx="0">
                  <c:v>290.25450000000006</c:v>
                </c:pt>
                <c:pt idx="1">
                  <c:v>308.32449999999994</c:v>
                </c:pt>
                <c:pt idx="2">
                  <c:v>327.40100000000001</c:v>
                </c:pt>
                <c:pt idx="3">
                  <c:v>574.87099999999987</c:v>
                </c:pt>
                <c:pt idx="4">
                  <c:v>258.44299999999998</c:v>
                </c:pt>
                <c:pt idx="5">
                  <c:v>367.08249999999992</c:v>
                </c:pt>
                <c:pt idx="6">
                  <c:v>438.47650000000004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95-473F-ADBB-6D64B3C21A41}"/>
            </c:ext>
          </c:extLst>
        </c:ser>
        <c:ser>
          <c:idx val="5"/>
          <c:order val="5"/>
          <c:tx>
            <c:strRef>
              <c:f>Sheet2!$G$21:$G$22</c:f>
              <c:strCache>
                <c:ptCount val="1"/>
                <c:pt idx="0">
                  <c:v>Sports and travel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Sheet2!$A$23:$A$30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Sheet2!$G$23:$G$30</c:f>
              <c:numCache>
                <c:formatCode>0.00</c:formatCode>
                <c:ptCount val="7"/>
                <c:pt idx="0">
                  <c:v>209.601</c:v>
                </c:pt>
                <c:pt idx="1">
                  <c:v>404.495</c:v>
                </c:pt>
                <c:pt idx="2">
                  <c:v>464.69350000000009</c:v>
                </c:pt>
                <c:pt idx="3">
                  <c:v>364.4394999999999</c:v>
                </c:pt>
                <c:pt idx="4">
                  <c:v>351.4205</c:v>
                </c:pt>
                <c:pt idx="5">
                  <c:v>372.92500000000007</c:v>
                </c:pt>
                <c:pt idx="6">
                  <c:v>457.32200000000006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95-473F-ADBB-6D64B3C21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883520"/>
        <c:axId val="657875360"/>
      </c:barChart>
      <c:catAx>
        <c:axId val="657883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75360"/>
        <c:crosses val="autoZero"/>
        <c:auto val="1"/>
        <c:lblAlgn val="ctr"/>
        <c:lblOffset val="100"/>
        <c:noMultiLvlLbl val="0"/>
      </c:catAx>
      <c:valAx>
        <c:axId val="657875360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8352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[supermarket_sales_excel.xlsx]Sheet3!PivotTable19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Segoe UI" panose="020B0502040204020203" pitchFamily="34" charset="0"/>
                <a:cs typeface="Segoe UI" panose="020B0502040204020203" pitchFamily="34" charset="0"/>
              </a:rPr>
              <a:t>Keuntungan per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Sheet3!$B$4:$B$10</c:f>
              <c:numCache>
                <c:formatCode>0.00</c:formatCode>
                <c:ptCount val="6"/>
                <c:pt idx="0">
                  <c:v>2587.5015000000017</c:v>
                </c:pt>
                <c:pt idx="1">
                  <c:v>2585.9949999999999</c:v>
                </c:pt>
                <c:pt idx="2">
                  <c:v>2673.5639999999994</c:v>
                </c:pt>
                <c:pt idx="3">
                  <c:v>2342.5589999999993</c:v>
                </c:pt>
                <c:pt idx="4">
                  <c:v>2564.8530000000019</c:v>
                </c:pt>
                <c:pt idx="5">
                  <c:v>2624.8964999999994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8-4627-82CE-FA28713FC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8291792"/>
        <c:axId val="498292752"/>
      </c:barChart>
      <c:catAx>
        <c:axId val="4982917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92752"/>
        <c:crosses val="autoZero"/>
        <c:auto val="1"/>
        <c:lblAlgn val="ctr"/>
        <c:lblOffset val="100"/>
        <c:noMultiLvlLbl val="0"/>
      </c:catAx>
      <c:valAx>
        <c:axId val="498292752"/>
        <c:scaling>
          <c:orientation val="minMax"/>
          <c:min val="2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291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[supermarket_sales_excel.xlsx]Sheet4!PivotTable20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Segoe UI" panose="020B0502040204020203" pitchFamily="34" charset="0"/>
                <a:cs typeface="Segoe UI" panose="020B0502040204020203" pitchFamily="34" charset="0"/>
              </a:rPr>
              <a:t>Keuntungan based</a:t>
            </a:r>
            <a:r>
              <a:rPr lang="en-US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on branch</a:t>
            </a:r>
            <a:endParaRPr lang="en-US" sz="160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Sheet4!$A$4:$A$7</c:f>
              <c:strCache>
                <c:ptCount val="3"/>
                <c:pt idx="0">
                  <c:v>B</c:v>
                </c:pt>
                <c:pt idx="1">
                  <c:v>A</c:v>
                </c:pt>
                <c:pt idx="2">
                  <c:v>C</c:v>
                </c:pt>
              </c:strCache>
            </c:strRef>
          </c:cat>
          <c:val>
            <c:numRef>
              <c:f>Sheet4!$B$4:$B$7</c:f>
              <c:numCache>
                <c:formatCode>0.00</c:formatCode>
                <c:ptCount val="3"/>
                <c:pt idx="0">
                  <c:v>5057.0320000000029</c:v>
                </c:pt>
                <c:pt idx="1">
                  <c:v>5057.1605000000018</c:v>
                </c:pt>
                <c:pt idx="2">
                  <c:v>5265.1765000000023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3-43A0-BBD0-8EF34C868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[supermarket_sales_excel.xlsx]Hari Ramai!PivotTable3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defRPr>
            </a:pPr>
            <a:r>
              <a:rPr lang="en-US" sz="1600" b="1">
                <a:latin typeface="Segoe UI" panose="020B0502040204020203" pitchFamily="34" charset="0"/>
                <a:ea typeface="Segoe UI Black" panose="020B0A02040204020203" pitchFamily="34" charset="0"/>
                <a:cs typeface="Segoe UI" panose="020B0502040204020203" pitchFamily="34" charset="0"/>
              </a:rPr>
              <a:t>Jam ramai pengunjung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Segoe UI Black" panose="020B0A02040204020203" pitchFamily="34" charset="0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'Hari Ramai'!$B$22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'Hari Ramai'!$A$23:$A$34</c:f>
              <c:strCache>
                <c:ptCount val="11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</c:strCache>
            </c:strRef>
          </c:cat>
          <c:val>
            <c:numRef>
              <c:f>'Hari Ramai'!$B$23:$B$34</c:f>
              <c:numCache>
                <c:formatCode>General</c:formatCode>
                <c:ptCount val="11"/>
                <c:pt idx="0">
                  <c:v>101</c:v>
                </c:pt>
                <c:pt idx="1">
                  <c:v>90</c:v>
                </c:pt>
                <c:pt idx="2">
                  <c:v>89</c:v>
                </c:pt>
                <c:pt idx="3">
                  <c:v>103</c:v>
                </c:pt>
                <c:pt idx="4">
                  <c:v>83</c:v>
                </c:pt>
                <c:pt idx="5">
                  <c:v>102</c:v>
                </c:pt>
                <c:pt idx="6">
                  <c:v>77</c:v>
                </c:pt>
                <c:pt idx="7">
                  <c:v>74</c:v>
                </c:pt>
                <c:pt idx="8">
                  <c:v>93</c:v>
                </c:pt>
                <c:pt idx="9">
                  <c:v>113</c:v>
                </c:pt>
                <c:pt idx="1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7C-4C51-AC39-EE6EB7E70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279231"/>
        <c:axId val="129283071"/>
      </c:lineChart>
      <c:catAx>
        <c:axId val="129279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83071"/>
        <c:crosses val="autoZero"/>
        <c:auto val="1"/>
        <c:lblAlgn val="ctr"/>
        <c:lblOffset val="100"/>
        <c:noMultiLvlLbl val="0"/>
      </c:catAx>
      <c:valAx>
        <c:axId val="129283071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79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[supermarket_sales_excel.xlsx]Sheet2!PivotTable16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600" b="1">
                <a:latin typeface="Segoe UI" panose="020B0502040204020203" pitchFamily="34" charset="0"/>
                <a:cs typeface="Segoe UI" panose="020B0502040204020203" pitchFamily="34" charset="0"/>
              </a:rPr>
              <a:t>Keuntungan based on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75000"/>
              <a:lumOff val="2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E4-4E83-ACD3-C0BA7558E0F0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BE4-4E83-ACD3-C0BA7558E0F0}"/>
              </c:ext>
            </c:extLst>
          </c:dPt>
          <c:dPt>
            <c:idx val="6"/>
            <c:invertIfNegative val="0"/>
            <c:bubble3D val="0"/>
            <c:spPr>
              <a:solidFill>
                <a:schemeClr val="tx1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E4-4E83-ACD3-C0BA7558E0F0}"/>
              </c:ext>
            </c:extLst>
          </c:dPt>
          <c:cat>
            <c:strRef>
              <c:f>Sheet2!$A$4:$A$11</c:f>
              <c:strCache>
                <c:ptCount val="7"/>
                <c:pt idx="0">
                  <c:v>Monday</c:v>
                </c:pt>
                <c:pt idx="1">
                  <c:v>Wednesday</c:v>
                </c:pt>
                <c:pt idx="2">
                  <c:v>Friday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Saturday</c:v>
                </c:pt>
              </c:strCache>
            </c:strRef>
          </c:cat>
          <c:val>
            <c:numRef>
              <c:f>Sheet2!$B$4:$B$11</c:f>
              <c:numCache>
                <c:formatCode>0.00</c:formatCode>
                <c:ptCount val="7"/>
                <c:pt idx="0">
                  <c:v>1804.7179999999994</c:v>
                </c:pt>
                <c:pt idx="1">
                  <c:v>2071.3130000000001</c:v>
                </c:pt>
                <c:pt idx="2">
                  <c:v>2091.7304999999988</c:v>
                </c:pt>
                <c:pt idx="3">
                  <c:v>2128.164499999999</c:v>
                </c:pt>
                <c:pt idx="4">
                  <c:v>2159.4880000000007</c:v>
                </c:pt>
                <c:pt idx="5">
                  <c:v>2451.5354999999995</c:v>
                </c:pt>
                <c:pt idx="6">
                  <c:v>2672.4195000000018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4-4E83-ACD3-C0BA7558E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973280"/>
        <c:axId val="657978080"/>
      </c:barChart>
      <c:catAx>
        <c:axId val="65797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78080"/>
        <c:crosses val="autoZero"/>
        <c:auto val="1"/>
        <c:lblAlgn val="ctr"/>
        <c:lblOffset val="100"/>
        <c:noMultiLvlLbl val="0"/>
      </c:catAx>
      <c:valAx>
        <c:axId val="657978080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7328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[supermarket_sales_excel.xlsx]keuntungan produk kategori!PivotTable26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Segoe UI" panose="020B0502040204020203" pitchFamily="34" charset="0"/>
                <a:cs typeface="Segoe UI" panose="020B0502040204020203" pitchFamily="34" charset="0"/>
              </a:rPr>
              <a:t>Keuntungan per Kategori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'keuntungan produk kategori'!$B$3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A03-4F4D-877C-146F69F207A3}"/>
              </c:ext>
            </c:extLst>
          </c:dPt>
          <c:dPt>
            <c:idx val="5"/>
            <c:invertIfNegative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03-4F4D-877C-146F69F207A3}"/>
              </c:ext>
            </c:extLst>
          </c:dPt>
          <c:cat>
            <c:strRef>
              <c:f>'keuntungan produk kategori'!$A$4:$A$10</c:f>
              <c:strCache>
                <c:ptCount val="6"/>
                <c:pt idx="0">
                  <c:v>Health and beauty</c:v>
                </c:pt>
                <c:pt idx="1">
                  <c:v>Home and lifestyle</c:v>
                </c:pt>
                <c:pt idx="2">
                  <c:v>Fashion accessories</c:v>
                </c:pt>
                <c:pt idx="3">
                  <c:v>Electronic accessories</c:v>
                </c:pt>
                <c:pt idx="4">
                  <c:v>Sports and travel</c:v>
                </c:pt>
                <c:pt idx="5">
                  <c:v>Food and beverages</c:v>
                </c:pt>
              </c:strCache>
            </c:strRef>
          </c:cat>
          <c:val>
            <c:numRef>
              <c:f>'keuntungan produk kategori'!$B$4:$B$10</c:f>
              <c:numCache>
                <c:formatCode>0.00</c:formatCode>
                <c:ptCount val="6"/>
                <c:pt idx="0">
                  <c:v>2342.5589999999993</c:v>
                </c:pt>
                <c:pt idx="1">
                  <c:v>2564.8530000000019</c:v>
                </c:pt>
                <c:pt idx="2">
                  <c:v>2585.9949999999999</c:v>
                </c:pt>
                <c:pt idx="3">
                  <c:v>2587.5015000000017</c:v>
                </c:pt>
                <c:pt idx="4">
                  <c:v>2624.8964999999994</c:v>
                </c:pt>
                <c:pt idx="5">
                  <c:v>2673.5639999999994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3-4F4D-877C-146F69F20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386831"/>
        <c:axId val="282396911"/>
      </c:barChart>
      <c:catAx>
        <c:axId val="2823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396911"/>
        <c:crosses val="autoZero"/>
        <c:auto val="1"/>
        <c:lblAlgn val="ctr"/>
        <c:lblOffset val="100"/>
        <c:noMultiLvlLbl val="0"/>
      </c:catAx>
      <c:valAx>
        <c:axId val="282396911"/>
        <c:scaling>
          <c:orientation val="minMax"/>
          <c:min val="2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386831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[supermarket_sales_excel.xlsx]Sheet4!PivotTable20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Segoe UI" panose="020B0502040204020203" pitchFamily="34" charset="0"/>
                <a:cs typeface="Segoe UI" panose="020B0502040204020203" pitchFamily="34" charset="0"/>
              </a:rPr>
              <a:t>Keuntungan based</a:t>
            </a:r>
            <a:r>
              <a:rPr lang="en-US" sz="1600" b="1" baseline="0">
                <a:latin typeface="Segoe UI" panose="020B0502040204020203" pitchFamily="34" charset="0"/>
                <a:cs typeface="Segoe UI" panose="020B0502040204020203" pitchFamily="34" charset="0"/>
              </a:rPr>
              <a:t> on branch</a:t>
            </a:r>
            <a:endParaRPr lang="en-US" sz="1600" b="1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1">
              <a:lumMod val="85000"/>
              <a:lumOff val="1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F16-47CA-804B-B94608842B31}"/>
              </c:ext>
            </c:extLst>
          </c:dPt>
          <c:dPt>
            <c:idx val="1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F16-47CA-804B-B94608842B31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F16-47CA-804B-B94608842B31}"/>
              </c:ext>
            </c:extLst>
          </c:dPt>
          <c:cat>
            <c:strRef>
              <c:f>Sheet4!$A$4:$A$7</c:f>
              <c:strCache>
                <c:ptCount val="3"/>
                <c:pt idx="0">
                  <c:v>B</c:v>
                </c:pt>
                <c:pt idx="1">
                  <c:v>A</c:v>
                </c:pt>
                <c:pt idx="2">
                  <c:v>C</c:v>
                </c:pt>
              </c:strCache>
            </c:strRef>
          </c:cat>
          <c:val>
            <c:numRef>
              <c:f>Sheet4!$B$4:$B$7</c:f>
              <c:numCache>
                <c:formatCode>0.00</c:formatCode>
                <c:ptCount val="3"/>
                <c:pt idx="0">
                  <c:v>5057.0320000000029</c:v>
                </c:pt>
                <c:pt idx="1">
                  <c:v>5057.1605000000018</c:v>
                </c:pt>
                <c:pt idx="2">
                  <c:v>5265.1765000000023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16-47CA-804B-B94608842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Relationship Id="rId4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2</xdr:row>
      <xdr:rowOff>52387</xdr:rowOff>
    </xdr:from>
    <xdr:to>
      <xdr:col>11</xdr:col>
      <xdr:colOff>495300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04DF13-113F-1BE8-8755-5A1CF42EA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161925</xdr:colOff>
      <xdr:row>19</xdr:row>
      <xdr:rowOff>33337</xdr:rowOff>
    </xdr:from>
    <xdr:to>
      <xdr:col>11</xdr:col>
      <xdr:colOff>466725</xdr:colOff>
      <xdr:row>33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AFD29E-A0DD-9741-A454-48A523E68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179117</xdr:colOff>
      <xdr:row>35</xdr:row>
      <xdr:rowOff>69131</xdr:rowOff>
    </xdr:from>
    <xdr:to>
      <xdr:col>11</xdr:col>
      <xdr:colOff>473853</xdr:colOff>
      <xdr:row>49</xdr:row>
      <xdr:rowOff>128557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D20C65-7AE9-C12E-7720-1197E2342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261937</xdr:colOff>
      <xdr:row>51</xdr:row>
      <xdr:rowOff>76993</xdr:rowOff>
    </xdr:from>
    <xdr:to>
      <xdr:col>11</xdr:col>
      <xdr:colOff>555625</xdr:colOff>
      <xdr:row>65</xdr:row>
      <xdr:rowOff>153193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AC3DF7-1F0C-E823-C9C2-5886B3BCB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595312</xdr:colOff>
      <xdr:row>66</xdr:row>
      <xdr:rowOff>188118</xdr:rowOff>
    </xdr:from>
    <xdr:to>
      <xdr:col>13</xdr:col>
      <xdr:colOff>277812</xdr:colOff>
      <xdr:row>81</xdr:row>
      <xdr:rowOff>73818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725813-2A58-9A10-69F6-3FA4A86B4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14288</xdr:colOff>
      <xdr:row>2</xdr:row>
      <xdr:rowOff>4762</xdr:rowOff>
    </xdr:from>
    <xdr:to>
      <xdr:col>10</xdr:col>
      <xdr:colOff>319088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22B23B-024C-410B-9E92-C9E5FDB2B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4762</xdr:rowOff>
    </xdr:from>
    <xdr:to>
      <xdr:col>10</xdr:col>
      <xdr:colOff>342900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8E989-AD6C-5E1B-BA96-882C98143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18</xdr:row>
      <xdr:rowOff>42862</xdr:rowOff>
    </xdr:from>
    <xdr:to>
      <xdr:col>13</xdr:col>
      <xdr:colOff>533400</xdr:colOff>
      <xdr:row>34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A24359-A729-43BD-220C-8A7DA9E94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</xdr:colOff>
      <xdr:row>35</xdr:row>
      <xdr:rowOff>157162</xdr:rowOff>
    </xdr:from>
    <xdr:to>
      <xdr:col>13</xdr:col>
      <xdr:colOff>352425</xdr:colOff>
      <xdr:row>50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9DDA80-DF1D-1177-C63B-91FC12C08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561975</xdr:colOff>
      <xdr:row>52</xdr:row>
      <xdr:rowOff>90487</xdr:rowOff>
    </xdr:from>
    <xdr:to>
      <xdr:col>13</xdr:col>
      <xdr:colOff>257175</xdr:colOff>
      <xdr:row>66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0B306B-ECE9-8C65-AC33-E14716B1C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685800</xdr:colOff>
      <xdr:row>0</xdr:row>
      <xdr:rowOff>0</xdr:rowOff>
    </xdr:from>
    <xdr:to>
      <xdr:col>10</xdr:col>
      <xdr:colOff>152400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D18189-DDA0-23AB-B903-D8503F83B9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15</xdr:row>
      <xdr:rowOff>119062</xdr:rowOff>
    </xdr:from>
    <xdr:to>
      <xdr:col>11</xdr:col>
      <xdr:colOff>219075</xdr:colOff>
      <xdr:row>30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8AD40E-155D-4822-6296-BD64FCE36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57151</xdr:colOff>
      <xdr:row>0</xdr:row>
      <xdr:rowOff>19050</xdr:rowOff>
    </xdr:from>
    <xdr:to>
      <xdr:col>10</xdr:col>
      <xdr:colOff>1</xdr:colOff>
      <xdr:row>10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729D8-8058-7375-87DC-DD4D8A53C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752475</xdr:colOff>
      <xdr:row>12</xdr:row>
      <xdr:rowOff>57150</xdr:rowOff>
    </xdr:from>
    <xdr:to>
      <xdr:col>9</xdr:col>
      <xdr:colOff>295275</xdr:colOff>
      <xdr:row>23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954D8D-6272-A482-981A-5E4E72694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19050</xdr:colOff>
      <xdr:row>24</xdr:row>
      <xdr:rowOff>185737</xdr:rowOff>
    </xdr:from>
    <xdr:to>
      <xdr:col>9</xdr:col>
      <xdr:colOff>466725</xdr:colOff>
      <xdr:row>35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19A9-B5A6-C6D9-DC2D-15F5347F8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38099</xdr:colOff>
      <xdr:row>36</xdr:row>
      <xdr:rowOff>28574</xdr:rowOff>
    </xdr:from>
    <xdr:to>
      <xdr:col>9</xdr:col>
      <xdr:colOff>523874</xdr:colOff>
      <xdr:row>47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90C40D-219B-A0E5-D593-00FA70E43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533400</xdr:colOff>
      <xdr:row>48</xdr:row>
      <xdr:rowOff>114300</xdr:rowOff>
    </xdr:from>
    <xdr:to>
      <xdr:col>10</xdr:col>
      <xdr:colOff>981075</xdr:colOff>
      <xdr:row>66</xdr:row>
      <xdr:rowOff>185737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71982F-1A64-4467-EEAC-0B06501FC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2</xdr:row>
      <xdr:rowOff>4762</xdr:rowOff>
    </xdr:from>
    <xdr:to>
      <xdr:col>13</xdr:col>
      <xdr:colOff>19050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E4700E-7E71-FA38-9163-4BFD6DA0DD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914400</xdr:colOff>
      <xdr:row>18</xdr:row>
      <xdr:rowOff>4762</xdr:rowOff>
    </xdr:from>
    <xdr:to>
      <xdr:col>7</xdr:col>
      <xdr:colOff>247650</xdr:colOff>
      <xdr:row>32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D1ECA3-8C42-05D2-1D53-2212DA598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847725</xdr:colOff>
      <xdr:row>34</xdr:row>
      <xdr:rowOff>185737</xdr:rowOff>
    </xdr:from>
    <xdr:to>
      <xdr:col>6</xdr:col>
      <xdr:colOff>838200</xdr:colOff>
      <xdr:row>49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8B368C-BB2E-F16A-BE20-F665C9D1D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</xdr:row>
      <xdr:rowOff>166687</xdr:rowOff>
    </xdr:from>
    <xdr:to>
      <xdr:col>10</xdr:col>
      <xdr:colOff>361950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02450-E75C-A737-AD29-901DECC6D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285749</xdr:colOff>
      <xdr:row>3</xdr:row>
      <xdr:rowOff>14287</xdr:rowOff>
    </xdr:from>
    <xdr:to>
      <xdr:col>12</xdr:col>
      <xdr:colOff>523874</xdr:colOff>
      <xdr:row>17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22377-81FA-3F9D-DF91-ED23739205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571500</xdr:colOff>
      <xdr:row>31</xdr:row>
      <xdr:rowOff>57150</xdr:rowOff>
    </xdr:from>
    <xdr:to>
      <xdr:col>15</xdr:col>
      <xdr:colOff>114300</xdr:colOff>
      <xdr:row>45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BF92CE-A55E-4F88-BE08-5EA0DA8A4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352425</xdr:colOff>
      <xdr:row>2</xdr:row>
      <xdr:rowOff>23812</xdr:rowOff>
    </xdr:from>
    <xdr:to>
      <xdr:col>10</xdr:col>
      <xdr:colOff>47625</xdr:colOff>
      <xdr:row>16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68B88-F36E-CCF3-C3F4-6AF2741C5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20</xdr:row>
      <xdr:rowOff>147637</xdr:rowOff>
    </xdr:from>
    <xdr:to>
      <xdr:col>10</xdr:col>
      <xdr:colOff>285750</xdr:colOff>
      <xdr:row>35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8DC84-2D64-E48A-A1B5-3A5D5583FB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493712</xdr:colOff>
      <xdr:row>36</xdr:row>
      <xdr:rowOff>180974</xdr:rowOff>
    </xdr:from>
    <xdr:to>
      <xdr:col>9</xdr:col>
      <xdr:colOff>523874</xdr:colOff>
      <xdr:row>51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0A6C06-E353-7800-8123-C262CAF50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595313</xdr:colOff>
      <xdr:row>54</xdr:row>
      <xdr:rowOff>188119</xdr:rowOff>
    </xdr:from>
    <xdr:to>
      <xdr:col>12</xdr:col>
      <xdr:colOff>277813</xdr:colOff>
      <xdr:row>69</xdr:row>
      <xdr:rowOff>73819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E0148A-6011-F197-A6D4-6BA721F0B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2</xdr:row>
      <xdr:rowOff>4762</xdr:rowOff>
    </xdr:from>
    <xdr:to>
      <xdr:col>10</xdr:col>
      <xdr:colOff>371475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F2D1E-BB92-EEA4-CCE3-E48D2F52E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323850</xdr:colOff>
      <xdr:row>30</xdr:row>
      <xdr:rowOff>128587</xdr:rowOff>
    </xdr:from>
    <xdr:to>
      <xdr:col>6</xdr:col>
      <xdr:colOff>371475</xdr:colOff>
      <xdr:row>47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9F533C-7373-A6EB-C01E-4B9692FCCD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14287</xdr:rowOff>
    </xdr:from>
    <xdr:to>
      <xdr:col>10</xdr:col>
      <xdr:colOff>381000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9EF92D-FC27-A780-EC31-7DFA11D35A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138112</xdr:rowOff>
    </xdr:from>
    <xdr:to>
      <xdr:col>10</xdr:col>
      <xdr:colOff>304800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58662D-1EA1-6330-6CE5-235317C41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591399</xdr:colOff>
      <xdr:row>51</xdr:row>
      <xdr:rowOff>11087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4C0C897-4024-D6B1-AC0B-28C1F56627BF}"/>
            </a:ext>
          </a:extLst>
        </xdr:cNvPr>
        <xdr:cNvSpPr/>
      </xdr:nvSpPr>
      <xdr:spPr>
        <a:xfrm>
          <a:off x="0" y="0"/>
          <a:ext cx="14034229" cy="9634931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589176</xdr:colOff>
      <xdr:row>1</xdr:row>
      <xdr:rowOff>58918</xdr:rowOff>
    </xdr:from>
    <xdr:to>
      <xdr:col>21</xdr:col>
      <xdr:colOff>579357</xdr:colOff>
      <xdr:row>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A998CA-453E-96C4-C266-ACB281FD285D}"/>
            </a:ext>
          </a:extLst>
        </xdr:cNvPr>
        <xdr:cNvSpPr txBox="1"/>
      </xdr:nvSpPr>
      <xdr:spPr>
        <a:xfrm>
          <a:off x="589176" y="245490"/>
          <a:ext cx="12775284" cy="8739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4000">
              <a:latin typeface="Segoe UI Black" panose="020B0A02040204020203" pitchFamily="34" charset="0"/>
              <a:ea typeface="Segoe UI Black" panose="020B0A02040204020203" pitchFamily="34" charset="0"/>
            </a:rPr>
            <a:t>Supermarket</a:t>
          </a:r>
          <a:r>
            <a:rPr lang="en-ID" sz="4000" baseline="0">
              <a:latin typeface="Segoe UI Black" panose="020B0A02040204020203" pitchFamily="34" charset="0"/>
              <a:ea typeface="Segoe UI Black" panose="020B0A02040204020203" pitchFamily="34" charset="0"/>
            </a:rPr>
            <a:t> Sales</a:t>
          </a:r>
          <a:endParaRPr lang="en-ID" sz="40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574643</xdr:colOff>
      <xdr:row>6</xdr:row>
      <xdr:rowOff>44384</xdr:rowOff>
    </xdr:from>
    <xdr:to>
      <xdr:col>21</xdr:col>
      <xdr:colOff>564824</xdr:colOff>
      <xdr:row>13</xdr:row>
      <xdr:rowOff>29459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019FA70-ADD2-47E7-903D-5CE5AEECC319}"/>
            </a:ext>
          </a:extLst>
        </xdr:cNvPr>
        <xdr:cNvSpPr txBox="1"/>
      </xdr:nvSpPr>
      <xdr:spPr>
        <a:xfrm>
          <a:off x="574643" y="1163817"/>
          <a:ext cx="12775284" cy="1291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D" sz="2500" baseline="0">
              <a:latin typeface="Segoe UI Black" panose="020B0A02040204020203" pitchFamily="34" charset="0"/>
              <a:ea typeface="Segoe UI Black" panose="020B0A02040204020203" pitchFamily="34" charset="0"/>
            </a:rPr>
            <a:t>   </a:t>
          </a:r>
          <a:r>
            <a:rPr lang="en-ID" sz="2500">
              <a:latin typeface="Segoe UI Black" panose="020B0A02040204020203" pitchFamily="34" charset="0"/>
              <a:ea typeface="Segoe UI Black" panose="020B0A02040204020203" pitchFamily="34" charset="0"/>
            </a:rPr>
            <a:t>Total Pengunjung		Total</a:t>
          </a:r>
          <a:r>
            <a:rPr lang="en-ID" sz="2500" baseline="0">
              <a:latin typeface="Segoe UI Black" panose="020B0A02040204020203" pitchFamily="34" charset="0"/>
              <a:ea typeface="Segoe UI Black" panose="020B0A02040204020203" pitchFamily="34" charset="0"/>
            </a:rPr>
            <a:t> Penjualan			   Kategori Terlaris</a:t>
          </a:r>
        </a:p>
        <a:p>
          <a:pPr algn="l"/>
          <a:r>
            <a:rPr lang="en-ID" sz="3000" baseline="0">
              <a:latin typeface="Segoe UI Black" panose="020B0A02040204020203" pitchFamily="34" charset="0"/>
              <a:ea typeface="Segoe UI Black" panose="020B0A02040204020203" pitchFamily="34" charset="0"/>
            </a:rPr>
            <a:t>	1K					</a:t>
          </a:r>
          <a:r>
            <a:rPr lang="en-ID" sz="3000" baseline="0">
              <a:solidFill>
                <a:schemeClr val="dk1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rPr>
            <a:t>322K	 </a:t>
          </a:r>
          <a:r>
            <a:rPr lang="en-ID" sz="3000" baseline="0">
              <a:latin typeface="Segoe UI Black" panose="020B0A02040204020203" pitchFamily="34" charset="0"/>
              <a:ea typeface="Segoe UI Black" panose="020B0A02040204020203" pitchFamily="34" charset="0"/>
            </a:rPr>
            <a:t>		Food n Beverages</a:t>
          </a:r>
        </a:p>
        <a:p>
          <a:pPr algn="l"/>
          <a:endParaRPr lang="en-ID" sz="3000" baseline="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pPr algn="l"/>
          <a:endParaRPr lang="en-ID" sz="3000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0</xdr:col>
      <xdr:colOff>553063</xdr:colOff>
      <xdr:row>13</xdr:row>
      <xdr:rowOff>153629</xdr:rowOff>
    </xdr:from>
    <xdr:to>
      <xdr:col>10</xdr:col>
      <xdr:colOff>568427</xdr:colOff>
      <xdr:row>31</xdr:row>
      <xdr:rowOff>15363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7F2C3D7-C13A-A17E-E30B-48830987B0DE}"/>
            </a:ext>
          </a:extLst>
        </xdr:cNvPr>
        <xdr:cNvSpPr/>
      </xdr:nvSpPr>
      <xdr:spPr>
        <a:xfrm>
          <a:off x="553063" y="2550242"/>
          <a:ext cx="6160525" cy="318012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165825</xdr:colOff>
      <xdr:row>14</xdr:row>
      <xdr:rowOff>123967</xdr:rowOff>
    </xdr:from>
    <xdr:to>
      <xdr:col>10</xdr:col>
      <xdr:colOff>394630</xdr:colOff>
      <xdr:row>30</xdr:row>
      <xdr:rowOff>71120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5744A0-F482-426A-85DF-AE1BDE85B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492587</xdr:colOff>
      <xdr:row>13</xdr:row>
      <xdr:rowOff>146314</xdr:rowOff>
    </xdr:from>
    <xdr:to>
      <xdr:col>21</xdr:col>
      <xdr:colOff>507951</xdr:colOff>
      <xdr:row>31</xdr:row>
      <xdr:rowOff>8048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448A2B9-3BD1-4678-8558-7C0310BB1E24}"/>
            </a:ext>
          </a:extLst>
        </xdr:cNvPr>
        <xdr:cNvSpPr/>
      </xdr:nvSpPr>
      <xdr:spPr>
        <a:xfrm>
          <a:off x="7144968" y="2701433"/>
          <a:ext cx="6062983" cy="339959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90713</xdr:colOff>
      <xdr:row>14</xdr:row>
      <xdr:rowOff>136070</xdr:rowOff>
    </xdr:from>
    <xdr:to>
      <xdr:col>21</xdr:col>
      <xdr:colOff>287261</xdr:colOff>
      <xdr:row>30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F20D83A-4E68-4887-A4B8-5AF385327C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556843</xdr:colOff>
      <xdr:row>32</xdr:row>
      <xdr:rowOff>97933</xdr:rowOff>
    </xdr:from>
    <xdr:to>
      <xdr:col>10</xdr:col>
      <xdr:colOff>572207</xdr:colOff>
      <xdr:row>49</xdr:row>
      <xdr:rowOff>150167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D772623-E9B5-48B7-80AC-3B67EFB84A42}"/>
            </a:ext>
          </a:extLst>
        </xdr:cNvPr>
        <xdr:cNvSpPr/>
      </xdr:nvSpPr>
      <xdr:spPr>
        <a:xfrm>
          <a:off x="556843" y="6193933"/>
          <a:ext cx="6047864" cy="3290734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170732</xdr:colOff>
      <xdr:row>33</xdr:row>
      <xdr:rowOff>116816</xdr:rowOff>
    </xdr:from>
    <xdr:to>
      <xdr:col>10</xdr:col>
      <xdr:colOff>323491</xdr:colOff>
      <xdr:row>48</xdr:row>
      <xdr:rowOff>170731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DC9ACCE-05AB-42D0-ADA9-FE6CA098B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511914</xdr:colOff>
      <xdr:row>32</xdr:row>
      <xdr:rowOff>101527</xdr:rowOff>
    </xdr:from>
    <xdr:to>
      <xdr:col>21</xdr:col>
      <xdr:colOff>527278</xdr:colOff>
      <xdr:row>49</xdr:row>
      <xdr:rowOff>153761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B30A38A-374F-496E-8AD0-F1C6F6DFBFA0}"/>
            </a:ext>
          </a:extLst>
        </xdr:cNvPr>
        <xdr:cNvSpPr/>
      </xdr:nvSpPr>
      <xdr:spPr>
        <a:xfrm>
          <a:off x="7233329" y="6140018"/>
          <a:ext cx="6125741" cy="3260182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197408</xdr:colOff>
      <xdr:row>33</xdr:row>
      <xdr:rowOff>101526</xdr:rowOff>
    </xdr:from>
    <xdr:to>
      <xdr:col>21</xdr:col>
      <xdr:colOff>323490</xdr:colOff>
      <xdr:row>48</xdr:row>
      <xdr:rowOff>188702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7B5CBDA-3A9C-410E-AE07-0AC037145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754.453358333332" createdVersion="8" refreshedVersion="8" minRefreshableVersion="3" recordCount="1001" xr:uid="{1A31A088-9DD9-4C05-B4A0-B7D8E63FD4F7}">
  <cacheSource type="worksheet">
    <worksheetSource ref="A1:T1048576" sheet="supermarket_sales_CSV"/>
  </cacheSource>
  <cacheFields count="20">
    <cacheField name="Invoice ID" numFmtId="0">
      <sharedItems containsBlank="1"/>
    </cacheField>
    <cacheField name="Branch" numFmtId="0">
      <sharedItems containsBlank="1" count="4">
        <s v="A"/>
        <s v="C"/>
        <s v="B"/>
        <m/>
      </sharedItems>
    </cacheField>
    <cacheField name="City" numFmtId="0">
      <sharedItems containsBlank="1"/>
    </cacheField>
    <cacheField name="Customer type" numFmtId="0">
      <sharedItems containsBlank="1"/>
    </cacheField>
    <cacheField name="Gender" numFmtId="0">
      <sharedItems containsBlank="1"/>
    </cacheField>
    <cacheField name="Product line" numFmtId="0">
      <sharedItems containsBlank="1"/>
    </cacheField>
    <cacheField name="Unit price" numFmtId="2">
      <sharedItems containsString="0" containsBlank="1" containsNumber="1" minValue="10.08" maxValue="99.96"/>
    </cacheField>
    <cacheField name="Quantity" numFmtId="0">
      <sharedItems containsString="0" containsBlank="1" containsNumber="1" containsInteger="1" minValue="1" maxValue="10"/>
    </cacheField>
    <cacheField name="Tax 5%" numFmtId="2">
      <sharedItems containsString="0" containsBlank="1" containsNumber="1" minValue="0.50849999999999995" maxValue="49.65"/>
    </cacheField>
    <cacheField name="Total" numFmtId="2">
      <sharedItems containsString="0" containsBlank="1" containsNumber="1" minValue="10.6785" maxValue="1042.6500000000001" count="991">
        <n v="548.97149999999999"/>
        <n v="80.22"/>
        <n v="340.52550000000002"/>
        <n v="489.048"/>
        <n v="634.37850000000003"/>
        <n v="627.61649999999997"/>
        <n v="433.69200000000001"/>
        <n v="772.38"/>
        <n v="76.146000000000001"/>
        <n v="172.74600000000001"/>
        <n v="60.816000000000003"/>
        <n v="107.142"/>
        <n v="246.48750000000001"/>
        <n v="453.495"/>
        <n v="749.49"/>
        <n v="590.43600000000004"/>
        <n v="506.63549999999998"/>
        <n v="457.44299999999998"/>
        <n v="172.2105"/>
        <n v="84.63"/>
        <n v="451.71"/>
        <n v="277.137"/>
        <n v="69.72"/>
        <n v="181.44"/>
        <n v="279.18450000000001"/>
        <n v="441.75599999999997"/>
        <n v="35.195999999999998"/>
        <n v="184.107"/>
        <n v="463.89"/>
        <n v="235.2105"/>
        <n v="494.1825"/>
        <n v="737.76149999999996"/>
        <n v="703.75199999999995"/>
        <n v="202.81800000000001"/>
        <n v="417.56400000000002"/>
        <n v="71.525999999999996"/>
        <n v="328.755"/>
        <n v="575.31600000000003"/>
        <n v="461.32799999999997"/>
        <n v="253.00800000000001"/>
        <n v="91.055999999999997"/>
        <n v="117.831"/>
        <n v="435.45600000000002"/>
        <n v="829.08"/>
        <n v="32.277000000000001"/>
        <n v="394.63200000000001"/>
        <n v="535.72050000000002"/>
        <n v="189.09450000000001"/>
        <n v="119.259"/>
        <n v="867.61500000000001"/>
        <n v="671.79"/>
        <n v="234.0975"/>
        <n v="75.054000000000002"/>
        <n v="16.201499999999999"/>
        <n v="33.936"/>
        <n v="722.23199999999997"/>
        <n v="93.114000000000004"/>
        <n v="752.64"/>
        <n v="759.67499999999995"/>
        <n v="192.84299999999999"/>
        <n v="77.930999999999997"/>
        <n v="351.09899999999999"/>
        <n v="520.41150000000005"/>
        <n v="166.005"/>
        <n v="318.108"/>
        <n v="166.63499999999999"/>
        <n v="70.287000000000006"/>
        <n v="614.94299999999998"/>
        <n v="827.08500000000004"/>
        <n v="19.246500000000001"/>
        <n v="939.54"/>
        <n v="652.26"/>
        <n v="152.83799999999999"/>
        <n v="478.233"/>
        <n v="705.63149999999996"/>
        <n v="437.32499999999999"/>
        <n v="463.428"/>
        <n v="822.255"/>
        <n v="106.995"/>
        <n v="624.89700000000005"/>
        <n v="304.54199999999997"/>
        <n v="161.69999999999999"/>
        <n v="337.512"/>
        <n v="256.77749999999997"/>
        <n v="610.49099999999999"/>
        <n v="401.73"/>
        <n v="362.94299999999998"/>
        <n v="44.593499999999999"/>
        <n v="485.03699999999998"/>
        <n v="198.99600000000001"/>
        <n v="471.03"/>
        <n v="161.553"/>
        <n v="608.202"/>
        <n v="94.237499999999997"/>
        <n v="102.018"/>
        <n v="922.63499999999999"/>
        <n v="78.435000000000002"/>
        <n v="166.16249999999999"/>
        <n v="521.01"/>
        <n v="51.145499999999998"/>
        <n v="742.29750000000001"/>
        <n v="218.01150000000001"/>
        <n v="367.03800000000001"/>
        <n v="223.07249999999999"/>
        <n v="931.03499999999997"/>
        <n v="172.494"/>
        <n v="391.41899999999998"/>
        <n v="321.11099999999999"/>
        <n v="860.68499999999995"/>
        <n v="34.628999999999998"/>
        <n v="309.36149999999998"/>
        <n v="535.37400000000002"/>
        <n v="548.76149999999996"/>
        <n v="763.46550000000002"/>
        <n v="85.113"/>
        <n v="115.185"/>
        <n v="53.927999999999997"/>
        <n v="115.08"/>
        <n v="112.224"/>
        <n v="836.30399999999997"/>
        <n v="419.83199999999999"/>
        <n v="944.62199999999996"/>
        <n v="536.84400000000005"/>
        <n v="474.34800000000001"/>
        <n v="688.62149999999997"/>
        <n v="169.3125"/>
        <n v="299.8485"/>
        <n v="575.73599999999999"/>
        <n v="853.14599999999996"/>
        <n v="291.20699999999999"/>
        <n v="580.41899999999998"/>
        <n v="146.328"/>
        <n v="550.93499999999995"/>
        <n v="512.19000000000005"/>
        <n v="284.19299999999998"/>
        <n v="138.1275"/>
        <n v="216.846"/>
        <n v="545.05499999999995"/>
        <n v="609"/>
        <n v="942.9"/>
        <n v="950.25"/>
        <n v="720.3"/>
        <n v="31.930499999999999"/>
        <n v="491.08499999999998"/>
        <n v="291.43799999999999"/>
        <n v="316.47000000000003"/>
        <n v="277.78800000000001"/>
        <n v="603.62400000000002"/>
        <n v="272.66399999999999"/>
        <n v="384.46800000000002"/>
        <n v="254.01599999999999"/>
        <n v="786.61800000000005"/>
        <n v="103.824"/>
        <n v="680.14800000000002"/>
        <n v="484.52249999999998"/>
        <n v="75.778499999999994"/>
        <n v="263.97000000000003"/>
        <n v="918.72900000000004"/>
        <n v="588.35699999999997"/>
        <n v="362.71199999999999"/>
        <n v="66.874499999999998"/>
        <n v="336.55650000000003"/>
        <n v="160.44"/>
        <n v="418.95"/>
        <n v="357.58800000000002"/>
        <n v="1003.59"/>
        <n v="1039.29"/>
        <n v="323.06400000000002"/>
        <n v="510.97199999999998"/>
        <n v="367.55250000000001"/>
        <n v="420.26249999999999"/>
        <n v="175.14"/>
        <n v="333.20699999999999"/>
        <n v="166.23599999999999"/>
        <n v="319.78800000000001"/>
        <n v="186.22800000000001"/>
        <n v="165.4485"/>
        <n v="465.44400000000002"/>
        <n v="273.42"/>
        <n v="472.31099999999998"/>
        <n v="323.14800000000002"/>
        <n v="162.75"/>
        <n v="288.20400000000001"/>
        <n v="90.698999999999998"/>
        <n v="56.951999999999998"/>
        <n v="793.71600000000001"/>
        <n v="195.17400000000001"/>
        <n v="77.773499999999999"/>
        <n v="293.202"/>
        <n v="242.67599999999999"/>
        <n v="154.392"/>
        <n v="829.71"/>
        <n v="107.31"/>
        <n v="171.72749999999999"/>
        <n v="78.004499999999993"/>
        <n v="91.77"/>
        <n v="26.554500000000001"/>
        <n v="174.3"/>
        <n v="374.79750000000001"/>
        <n v="120.645"/>
        <n v="241.458"/>
        <n v="451.36349999999999"/>
        <n v="271.95"/>
        <n v="93.292500000000004"/>
        <n v="217.6335"/>
        <n v="629.84249999999997"/>
        <n v="299.565"/>
        <n v="95.665499999999994"/>
        <n v="942.44849999999997"/>
        <n v="247.87350000000001"/>
        <n v="881.30700000000002"/>
        <n v="484.89"/>
        <n v="146.22300000000001"/>
        <n v="19.193999999999999"/>
        <n v="130.04249999999999"/>
        <n v="298.11599999999999"/>
        <n v="796.90800000000002"/>
        <n v="180.62100000000001"/>
        <n v="285.70499999999998"/>
        <n v="456.28800000000001"/>
        <n v="62.002499999999998"/>
        <n v="13.167"/>
        <n v="90.825000000000003"/>
        <n v="183.036"/>
        <n v="655.54650000000004"/>
        <n v="155.65199999999999"/>
        <n v="571.41"/>
        <n v="532.72799999999995"/>
        <n v="170.87700000000001"/>
        <n v="33.358499999999999"/>
        <n v="794.65049999999997"/>
        <n v="310.04399999999998"/>
        <n v="545.37"/>
        <n v="195.59399999999999"/>
        <n v="91.402500000000003"/>
        <n v="232.155"/>
        <n v="69.405000000000001"/>
        <n v="94.174499999999995"/>
        <n v="235.68299999999999"/>
        <n v="125.517"/>
        <n v="195.72"/>
        <n v="263.13"/>
        <n v="788.50800000000004"/>
        <n v="399.75599999999997"/>
        <n v="256.41000000000003"/>
        <n v="94.185000000000002"/>
        <n v="326.42399999999998"/>
        <n v="536.99099999999999"/>
        <n v="439.89749999999998"/>
        <n v="369.495"/>
        <n v="30.219000000000001"/>
        <n v="99.75"/>
        <n v="494.76"/>
        <n v="137.00399999999999"/>
        <n v="69.667500000000004"/>
        <n v="163.233"/>
        <n v="135.44999999999999"/>
        <n v="276.94799999999998"/>
        <n v="709.31700000000001"/>
        <n v="69.09"/>
        <n v="160.86000000000001"/>
        <n v="233.52"/>
        <n v="57.172499999999999"/>
        <n v="723.24"/>
        <n v="148.97399999999999"/>
        <n v="783.3"/>
        <n v="297.108"/>
        <n v="373.17"/>
        <n v="354.00749999999999"/>
        <n v="44.351999999999997"/>
        <n v="203.553"/>
        <n v="25.263000000000002"/>
        <n v="628.173"/>
        <n v="352.5795"/>
        <n v="229.11"/>
        <n v="400.76400000000001"/>
        <n v="745.39499999999998"/>
        <n v="462.21"/>
        <n v="587.66399999999999"/>
        <n v="38.85"/>
        <n v="16.106999999999999"/>
        <n v="628.92899999999997"/>
        <n v="200.214"/>
        <n v="350.07"/>
        <n v="78.602999999999994"/>
        <n v="224.4375"/>
        <n v="356.54849999999999"/>
        <n v="697.36800000000005"/>
        <n v="423.15"/>
        <n v="204.69749999999999"/>
        <n v="65.603999999999999"/>
        <n v="76.355999999999995"/>
        <n v="190.155"/>
        <n v="272.58"/>
        <n v="121.128"/>
        <n v="493.79399999999998"/>
        <n v="252.042"/>
        <n v="93.040499999999994"/>
        <n v="209.62200000000001"/>
        <n v="40.960500000000003"/>
        <n v="51.040500000000002"/>
        <n v="214.99799999999999"/>
        <n v="125.664"/>
        <n v="530.66999999999996"/>
        <n v="295.69049999999999"/>
        <n v="745.83600000000001"/>
        <n v="83.412000000000006"/>
        <n v="172.011"/>
        <n v="503.55900000000003"/>
        <n v="145.59299999999999"/>
        <n v="74.707499999999996"/>
        <n v="146.94749999999999"/>
        <n v="820.36500000000001"/>
        <n v="208.67699999999999"/>
        <n v="66.402000000000001"/>
        <n v="392.64749999999998"/>
        <n v="218.0745"/>
        <n v="185.09399999999999"/>
        <n v="216.6885"/>
        <n v="41.390999999999998"/>
        <n v="96.138000000000005"/>
        <n v="324.29250000000002"/>
        <n v="135.57599999999999"/>
        <n v="410.50799999999998"/>
        <n v="523.84500000000003"/>
        <n v="395.892"/>
        <n v="214.74600000000001"/>
        <n v="152.71199999999999"/>
        <n v="208.089"/>
        <n v="103.63500000000001"/>
        <n v="404.35500000000002"/>
        <n v="49.308"/>
        <n v="77.174999999999997"/>
        <n v="149.36250000000001"/>
        <n v="721.98"/>
        <n v="365.08499999999998"/>
        <n v="150.0975"/>
        <n v="404.649"/>
        <n v="151.48349999999999"/>
        <n v="411.37950000000001"/>
        <n v="565.21500000000003"/>
        <n v="509.40750000000003"/>
        <n v="140.64750000000001"/>
        <n v="736.43849999999998"/>
        <n v="75.547499999999999"/>
        <n v="749.7"/>
        <n v="191.24700000000001"/>
        <n v="141.75"/>
        <n v="1042.6500000000001"/>
        <n v="379.92149999999998"/>
        <n v="402.26549999999997"/>
        <n v="255.15"/>
        <n v="31.751999999999999"/>
        <n v="374.38799999999998"/>
        <n v="394.27499999999998"/>
        <n v="1002.12"/>
        <n v="86.625"/>
        <n v="78.718500000000006"/>
        <n v="680.06399999999996"/>
        <n v="793.548"/>
        <n v="209.559"/>
        <n v="461.286"/>
        <n v="173.208"/>
        <n v="343.05599999999998"/>
        <n v="484.97399999999999"/>
        <n v="150.78"/>
        <n v="203.17500000000001"/>
        <n v="193.011"/>
        <n v="128.01599999999999"/>
        <n v="441.69299999999998"/>
        <n v="265.10399999999998"/>
        <n v="352.22250000000003"/>
        <n v="507.67500000000001"/>
        <n v="334.34100000000001"/>
        <n v="701.85149999999999"/>
        <n v="407.31599999999997"/>
        <n v="99.33"/>
        <n v="345.786"/>
        <n v="55.881"/>
        <n v="523.37249999999995"/>
        <n v="314.53800000000001"/>
        <n v="214.935"/>
        <n v="79.611000000000004"/>
        <n v="294.65100000000001"/>
        <n v="339.36"/>
        <n v="510.9615"/>
        <n v="133.917"/>
        <n v="253.512"/>
        <n v="398.47500000000002"/>
        <n v="80.661000000000001"/>
        <n v="548.73"/>
        <n v="83.727000000000004"/>
        <n v="406.875"/>
        <n v="284.91750000000002"/>
        <n v="128.4255"/>
        <n v="258.678"/>
        <n v="181.81800000000001"/>
        <n v="248.40899999999999"/>
        <n v="194.124"/>
        <n v="14.679"/>
        <n v="208.6875"/>
        <n v="718.75649999999996"/>
        <n v="282.49200000000002"/>
        <n v="72.397499999999994"/>
        <n v="288.58199999999999"/>
        <n v="237.42599999999999"/>
        <n v="125.05500000000001"/>
        <n v="359.20499999999998"/>
        <n v="45.927"/>
        <n v="110.0925"/>
        <n v="81.396000000000001"/>
        <n v="427.81200000000001"/>
        <n v="100.91549999999999"/>
        <n v="190.596"/>
        <n v="85.585499999999996"/>
        <n v="120.16200000000001"/>
        <n v="185.36699999999999"/>
        <n v="121.59"/>
        <n v="264.75749999999999"/>
        <n v="1020.705"/>
        <n v="213.52799999999999"/>
        <n v="17.094000000000001"/>
        <n v="383.7645"/>
        <n v="390.79950000000002"/>
        <n v="65.740499999999997"/>
        <n v="353.16750000000002"/>
        <n v="951.82500000000005"/>
        <n v="145.06800000000001"/>
        <n v="90.867000000000004"/>
        <n v="147.798"/>
        <n v="702.21900000000005"/>
        <n v="49.811999999999998"/>
        <n v="937.81799999999998"/>
        <n v="348.30599999999998"/>
        <n v="214.137"/>
        <n v="71.567999999999998"/>
        <n v="343.22399999999999"/>
        <n v="91.56"/>
        <n v="742.81200000000001"/>
        <n v="843.03449999999998"/>
        <n v="13.419"/>
        <n v="140.38499999999999"/>
        <n v="20.107500000000002"/>
        <n v="290.43"/>
        <n v="144.08099999999999"/>
        <n v="28.423500000000001"/>
        <n v="41.076000000000001"/>
        <n v="470.673"/>
        <n v="138.66300000000001"/>
        <n v="333.95249999999999"/>
        <n v="26.25"/>
        <n v="87.233999999999995"/>
        <n v="155.19"/>
        <n v="731.43"/>
        <n v="833.59500000000003"/>
        <n v="488.98500000000001"/>
        <n v="37.6845"/>
        <n v="212.73"/>
        <n v="767.02499999999998"/>
        <n v="310.58999999999997"/>
        <n v="23.751000000000001"/>
        <n v="269.53500000000003"/>
        <n v="572.77499999999998"/>
        <n v="273.05250000000001"/>
        <n v="233.226"/>
        <n v="22.658999999999999"/>
        <n v="103.782"/>
        <n v="527.75099999999998"/>
        <n v="168.21"/>
        <n v="452.86500000000001"/>
        <n v="609.58799999999997"/>
        <n v="338.31"/>
        <n v="205.31700000000001"/>
        <n v="174.61500000000001"/>
        <n v="353.09399999999999"/>
        <n v="360.88499999999999"/>
        <n v="40.53"/>
        <n v="554.14800000000002"/>
        <n v="344.4"/>
        <n v="194.98500000000001"/>
        <n v="633.99"/>
        <n v="388.29"/>
        <n v="207.858"/>
        <n v="431.44499999999999"/>
        <n v="156.03"/>
        <n v="24.108000000000001"/>
        <n v="734.07600000000002"/>
        <n v="72.87"/>
        <n v="206.43"/>
        <n v="212.68799999999999"/>
        <n v="127.26"/>
        <n v="209.76900000000001"/>
        <n v="637.72799999999995"/>
        <n v="132.762"/>
        <n v="568.51199999999994"/>
        <n v="103.0365"/>
        <n v="432.76799999999997"/>
        <n v="77.668499999999995"/>
        <n v="33.494999999999997"/>
        <n v="145.74"/>
        <n v="195.95099999999999"/>
        <n v="92.872500000000002"/>
        <n v="203.11199999999999"/>
        <n v="152.77500000000001"/>
        <n v="529.51499999999999"/>
        <n v="321.77249999999998"/>
        <n v="100.485"/>
        <n v="666.93899999999996"/>
        <n v="225.2775"/>
        <n v="398.95800000000003"/>
        <n v="731.6925"/>
        <n v="429.16649999999998"/>
        <n v="54.043500000000002"/>
        <n v="288.01499999999999"/>
        <n v="206.79750000000001"/>
        <n v="72.933000000000007"/>
        <n v="377.58"/>
        <n v="143.98650000000001"/>
        <n v="523.971"/>
        <n v="235.87200000000001"/>
        <n v="132.02699999999999"/>
        <n v="514.77300000000002"/>
        <n v="479.90249999999997"/>
        <n v="164.68199999999999"/>
        <n v="125.706"/>
        <n v="570.78"/>
        <n v="926.95050000000003"/>
        <n v="160.209"/>
        <n v="728.11199999999997"/>
        <n v="240.97499999999999"/>
        <n v="154.12950000000001"/>
        <n v="148.68"/>
        <n v="122.5245"/>
        <n v="77.658000000000001"/>
        <n v="102.837"/>
        <n v="306.81"/>
        <n v="551.12400000000002"/>
        <n v="96.641999999999996"/>
        <n v="79.674000000000007"/>
        <n v="84.756"/>
        <n v="118.251"/>
        <n v="74.760000000000005"/>
        <n v="163.00200000000001"/>
        <n v="308.91000000000003"/>
        <n v="575.97749999999996"/>
        <n v="270.58499999999998"/>
        <n v="416.178"/>
        <n v="180.40049999999999"/>
        <n v="513.22950000000003"/>
        <n v="550.36800000000005"/>
        <n v="139.923"/>
        <n v="142.00200000000001"/>
        <n v="118.062"/>
        <n v="151.28399999999999"/>
        <n v="1034.46"/>
        <n v="262.45800000000003"/>
        <n v="228.12299999999999"/>
        <n v="203.93100000000001"/>
        <n v="936.6"/>
        <n v="356.32799999999997"/>
        <n v="469.41300000000001"/>
        <n v="208.42500000000001"/>
        <n v="852.70500000000004"/>
        <n v="517.96500000000003"/>
        <n v="621.24300000000005"/>
        <n v="586.971"/>
        <n v="543.75300000000004"/>
        <n v="430.71"/>
        <n v="280.03500000000003"/>
        <n v="74.455500000000001"/>
        <n v="152.01900000000001"/>
        <n v="451.02749999999997"/>
        <n v="597.62850000000003"/>
        <n v="253.26"/>
        <n v="133.434"/>
        <n v="269.93400000000003"/>
        <n v="145.971"/>
        <n v="85.742999999999995"/>
        <n v="326.25599999999997"/>
        <n v="195.25800000000001"/>
        <n v="75.936000000000007"/>
        <n v="198.63900000000001"/>
        <n v="217.18199999999999"/>
        <n v="164.87100000000001"/>
        <n v="226.065"/>
        <n v="625.90499999999997"/>
        <n v="76.754999999999995"/>
        <n v="293.13900000000001"/>
        <n v="178.16399999999999"/>
        <n v="47.859000000000002"/>
        <n v="236.88"/>
        <n v="304.92"/>
        <n v="46.683"/>
        <n v="164.43"/>
        <n v="440.93700000000001"/>
        <n v="193.46250000000001"/>
        <n v="147.672"/>
        <n v="68.239500000000007"/>
        <n v="814.38"/>
        <n v="343.41300000000001"/>
        <n v="381.39150000000001"/>
        <n v="133.35"/>
        <n v="394.32749999999999"/>
        <n v="209.11799999999999"/>
        <n v="32.140500000000003"/>
        <n v="121.569"/>
        <n v="30.408000000000001"/>
        <n v="935.26649999999995"/>
        <n v="293.64299999999997"/>
        <n v="84.976500000000001"/>
        <n v="708.22500000000002"/>
        <n v="365.904"/>
        <n v="457.38"/>
        <n v="461.52749999999997"/>
        <n v="620.73900000000003"/>
        <n v="273.798"/>
        <n v="225.792"/>
        <n v="96.1905"/>
        <n v="695.23649999999998"/>
        <n v="874.125"/>
        <n v="95.917500000000004"/>
        <n v="165.648"/>
        <n v="127.827"/>
        <n v="867.09"/>
        <n v="167.89500000000001"/>
        <n v="12.6945"/>
        <n v="673.995"/>
        <n v="246.6765"/>
        <n v="175.917"/>
        <n v="314.05500000000001"/>
        <n v="251.7165"/>
        <n v="697.93499999999995"/>
        <n v="212.7825"/>
        <n v="48.51"/>
        <n v="92.557500000000005"/>
        <n v="165.12299999999999"/>
        <n v="311.18849999999998"/>
        <n v="743.82"/>
        <n v="116.907"/>
        <n v="609.16800000000001"/>
        <n v="63.262500000000003"/>
        <n v="182.952"/>
        <n v="442.32299999999998"/>
        <n v="35.311500000000002"/>
        <n v="32.529000000000003"/>
        <n v="259.77"/>
        <n v="397.21499999999997"/>
        <n v="351.60300000000001"/>
        <n v="764.19"/>
        <n v="352.67399999999998"/>
        <n v="252.756"/>
        <n v="49.423499999999997"/>
        <n v="104.67449999999999"/>
        <n v="277.67250000000001"/>
        <n v="146.63249999999999"/>
        <n v="58.222499999999997"/>
        <n v="135.35550000000001"/>
        <n v="125.979"/>
        <n v="370.125"/>
        <n v="914.55"/>
        <n v="207.48"/>
        <n v="204.24600000000001"/>
        <n v="181.881"/>
        <n v="75.474000000000004"/>
        <n v="300.57299999999998"/>
        <n v="85.302000000000007"/>
        <n v="588.41999999999996"/>
        <n v="196.14"/>
        <n v="231.2415"/>
        <n v="282.57600000000002"/>
        <n v="477.54"/>
        <n v="470.988"/>
        <n v="308.57400000000001"/>
        <n v="618.97500000000002"/>
        <n v="305.55"/>
        <n v="41.454000000000001"/>
        <n v="36.5505"/>
        <n v="310.71600000000001"/>
        <n v="45.107999999999997"/>
        <n v="145.404"/>
        <n v="103.11"/>
        <n v="136.143"/>
        <n v="667.38"/>
        <n v="153.048"/>
        <n v="211.36500000000001"/>
        <n v="663.29549999999995"/>
        <n v="404.54399999999998"/>
        <n v="510.61500000000001"/>
        <n v="539.34299999999996"/>
        <n v="497.07"/>
        <n v="458.6925"/>
        <n v="113.568"/>
        <n v="261.19799999999998"/>
        <n v="657.53099999999995"/>
        <n v="1023.75"/>
        <n v="507.44400000000002"/>
        <n v="101.80800000000001"/>
        <n v="207.58500000000001"/>
        <n v="760.44150000000002"/>
        <n v="835.28549999999996"/>
        <n v="527.5095"/>
        <n v="180.6"/>
        <n v="72.429000000000002"/>
        <n v="131.208"/>
        <n v="80.954999999999998"/>
        <n v="507.90600000000001"/>
        <n v="317.226"/>
        <n v="733.60350000000005"/>
        <n v="130.88249999999999"/>
        <n v="187.32"/>
        <n v="525.23099999999999"/>
        <n v="37.610999999999997"/>
        <n v="142.947"/>
        <n v="110.124"/>
        <n v="187.86600000000001"/>
        <n v="856.45349999999996"/>
        <n v="138.97800000000001"/>
        <n v="270.2595"/>
        <n v="98.028000000000006"/>
        <n v="239.4"/>
        <n v="175.0455"/>
        <n v="732.27"/>
        <n v="408.49200000000002"/>
        <n v="383.52300000000002"/>
        <n v="93.744"/>
        <n v="176.4"/>
        <n v="20.684999999999999"/>
        <n v="557.71799999999996"/>
        <n v="56.405999999999999"/>
        <n v="860.47500000000002"/>
        <n v="596.82000000000005"/>
        <n v="616.98"/>
        <n v="769.10400000000004"/>
        <n v="887.92200000000003"/>
        <n v="408.73349999999999"/>
        <n v="89.0715"/>
        <n v="150.423"/>
        <n v="79.149000000000001"/>
        <n v="266.02800000000002"/>
        <n v="40.341000000000001"/>
        <n v="684.91499999999996"/>
        <n v="55.282499999999999"/>
        <n v="116.1405"/>
        <n v="597.04049999999995"/>
        <n v="143.22"/>
        <n v="182.91"/>
        <n v="384.72"/>
        <n v="267.34050000000002"/>
        <n v="817.23599999999999"/>
        <n v="300.21600000000001"/>
        <n v="608.07600000000002"/>
        <n v="197.92500000000001"/>
        <n v="232.63800000000001"/>
        <n v="810.6"/>
        <n v="757.36500000000001"/>
        <n v="536.59199999999998"/>
        <n v="56.122500000000002"/>
        <n v="233.1"/>
        <n v="801.86400000000003"/>
        <n v="239.589"/>
        <n v="86.247"/>
        <n v="401.68799999999999"/>
        <n v="72.009"/>
        <n v="401.26799999999997"/>
        <n v="631.14449999999999"/>
        <n v="499.72649999999999"/>
        <n v="55.040999999999997"/>
        <n v="137.86500000000001"/>
        <n v="151.51499999999999"/>
        <n v="480.02850000000001"/>
        <n v="98.049000000000007"/>
        <n v="132.5625"/>
        <n v="830.37149999999997"/>
        <n v="183.12"/>
        <n v="397.99200000000002"/>
        <n v="32.151000000000003"/>
        <n v="369.68400000000003"/>
        <n v="53.34"/>
        <n v="548.16300000000001"/>
        <n v="603.87599999999998"/>
        <n v="57.697499999999998"/>
        <n v="190.48050000000001"/>
        <n v="432.98849999999999"/>
        <n v="48.730499999999999"/>
        <n v="287.91000000000003"/>
        <n v="1022.385"/>
        <n v="680.61"/>
        <n v="97.881"/>
        <n v="57.078000000000003"/>
        <n v="63.913499999999999"/>
        <n v="257.14499999999998"/>
        <n v="97.418999999999997"/>
        <n v="455.1225"/>
        <n v="144.96299999999999"/>
        <n v="253.68"/>
        <n v="495.31650000000002"/>
        <n v="462.67200000000003"/>
        <n v="714.32550000000003"/>
        <n v="325.37400000000002"/>
        <n v="195.678"/>
        <n v="210.96600000000001"/>
        <n v="18.637499999999999"/>
        <n v="652.89"/>
        <n v="90.3"/>
        <n v="422.73"/>
        <n v="341.09249999999997"/>
        <n v="99.907499999999999"/>
        <n v="408.40800000000002"/>
        <n v="446.964"/>
        <n v="333.98399999999998"/>
        <n v="284.59199999999998"/>
        <n v="403.87200000000001"/>
        <n v="247.59"/>
        <n v="222.13800000000001"/>
        <n v="100.128"/>
        <n v="10.6785"/>
        <n v="216.4365"/>
        <n v="441.58800000000002"/>
        <n v="92.441999999999993"/>
        <n v="681.43949999999995"/>
        <n v="130.03200000000001"/>
        <n v="681.97500000000002"/>
        <n v="779.31"/>
        <n v="88.703999999999994"/>
        <n v="262.79399999999998"/>
        <n v="99.54"/>
        <n v="95.864999999999995"/>
        <n v="299.3655"/>
        <n v="54.999000000000002"/>
        <n v="202.33500000000001"/>
        <n v="281.16899999999998"/>
        <n v="586.63499999999999"/>
        <n v="184.08600000000001"/>
        <n v="163.61099999999999"/>
        <n v="63.314999999999998"/>
        <n v="82.887"/>
        <n v="31.227"/>
        <n v="22.385999999999999"/>
        <n v="295.40699999999998"/>
        <n v="76.923000000000002"/>
        <n v="23.498999999999999"/>
        <n v="688.71600000000001"/>
        <n v="624.33000000000004"/>
        <n v="77.805000000000007"/>
        <n v="206.80799999999999"/>
        <n v="390.94650000000001"/>
        <n v="554.29499999999996"/>
        <n v="503.73750000000001"/>
        <n v="345.01949999999999"/>
        <n v="177.40799999999999"/>
        <n v="118.902"/>
        <n v="362.81700000000001"/>
        <n v="450.1035"/>
        <n v="90.583500000000001"/>
        <n v="26.795999999999999"/>
        <n v="106.596"/>
        <n v="375.36450000000002"/>
        <n v="250.70849999999999"/>
        <n v="106.50149999999999"/>
        <n v="760.452"/>
        <n v="131.922"/>
        <n v="76.576499999999996"/>
        <n v="271.27800000000002"/>
        <n v="182.42699999999999"/>
        <n v="59.325000000000003"/>
        <n v="225.01499999999999"/>
        <n v="561.07799999999997"/>
        <n v="97.817999999999998"/>
        <n v="548.18399999999997"/>
        <n v="54.967500000000001"/>
        <n v="41.737499999999997"/>
        <n v="756.16800000000001"/>
        <n v="101.64"/>
        <n v="348.70499999999998"/>
        <n v="85.512"/>
        <n v="335.89499999999998"/>
        <n v="175.01400000000001"/>
        <n v="335.01299999999998"/>
        <n v="92.295000000000002"/>
        <n v="771.43499999999995"/>
        <n v="102.396"/>
        <n v="807.66"/>
        <n v="439.21499999999997"/>
        <n v="486.44400000000002"/>
        <n v="485.57249999999999"/>
        <n v="148.995"/>
        <n v="317.83499999999998"/>
        <n v="832.94399999999996"/>
        <n v="446.43900000000002"/>
        <n v="297.80099999999999"/>
        <n v="629.16"/>
        <n v="331.12799999999999"/>
        <n v="423.738"/>
        <n v="193.07400000000001"/>
        <n v="145.58250000000001"/>
        <n v="84.745500000000007"/>
        <n v="122.47199999999999"/>
        <n v="329.19600000000003"/>
        <n v="888.40499999999997"/>
        <n v="435.12"/>
        <n v="167.03399999999999"/>
        <n v="514.60500000000002"/>
        <n v="91.822500000000005"/>
        <n v="235.74600000000001"/>
        <n v="782.20799999999997"/>
        <n v="431.25599999999997"/>
        <n v="313.74"/>
        <n v="223.58699999999999"/>
        <n v="44.9925"/>
        <n v="397.61399999999998"/>
        <n v="217.25550000000001"/>
        <n v="82.718999999999994"/>
        <n v="338.21550000000002"/>
        <n v="103.131"/>
        <n v="26.733000000000001"/>
        <n v="611.07899999999995"/>
        <n v="221.886"/>
        <n v="57.875999999999998"/>
        <n v="92.725499999999997"/>
        <n v="374.40899999999999"/>
        <n v="833.96249999999998"/>
        <n v="53.151000000000003"/>
        <n v="629.49599999999998"/>
        <n v="175.035"/>
        <n v="781.62"/>
        <n v="397.84500000000003"/>
        <n v="270.01799999999997"/>
        <n v="579.8415"/>
        <n v="469.77"/>
        <n v="290.08350000000002"/>
        <n v="360.92700000000002"/>
        <n v="279.38400000000001"/>
        <n v="943.29899999999998"/>
        <n v="479.64"/>
        <n v="266.64749999999998"/>
        <n v="74.087999999999994"/>
        <n v="690.01800000000003"/>
        <n v="176.92500000000001"/>
        <n v="56.469000000000001"/>
        <n v="188.0025"/>
        <n v="222.012"/>
        <n v="125.7165"/>
        <n v="68.984999999999999"/>
        <n v="88.367999999999995"/>
        <n v="415.233"/>
        <n v="312.8895"/>
        <n v="477.13049999999998"/>
        <n v="289.92599999999999"/>
        <n v="165.9"/>
        <n v="932.33699999999999"/>
        <n v="96.578999999999994"/>
        <n v="43.869"/>
        <n v="16.274999999999999"/>
        <n v="304.983"/>
        <n v="69.992999999999995"/>
        <n v="80.367000000000004"/>
        <n v="314.685"/>
        <n v="255.1815"/>
        <n v="49.77"/>
        <n v="181.07249999999999"/>
        <n v="888.61500000000001"/>
        <n v="271.2885"/>
        <n v="640.03800000000001"/>
        <n v="252.25200000000001"/>
        <n v="180.87299999999999"/>
        <n v="104.83199999999999"/>
        <n v="313.572"/>
        <n v="167.58"/>
        <n v="26.7225"/>
        <n v="71.158500000000004"/>
        <n v="250.27799999999999"/>
        <n v="244.23"/>
        <n v="921.18600000000004"/>
        <n v="734.70600000000002"/>
        <n v="708.31949999999995"/>
        <n v="334.47750000000002"/>
        <n v="30.995999999999999"/>
        <n v="520.79999999999995"/>
        <n v="864.57"/>
        <n v="633.10799999999995"/>
        <n v="296.94"/>
        <n v="804.3"/>
        <n v="121.863"/>
        <n v="183.64500000000001"/>
        <n v="63.997500000000002"/>
        <n v="42.3675"/>
        <n v="1022.49"/>
        <n v="33.432000000000002"/>
        <n v="69.111000000000004"/>
        <n v="649.29899999999998"/>
        <m/>
      </sharedItems>
    </cacheField>
    <cacheField name="Date" numFmtId="165">
      <sharedItems containsDate="1" containsBlank="1" containsMixedTypes="1" minDate="2019-01-01T00:00:00" maxDate="2019-12-04T00:00:00"/>
    </cacheField>
    <cacheField name="Time" numFmtId="164">
      <sharedItems containsNonDate="0" containsDate="1" containsString="0" containsBlank="1" minDate="1899-12-30T10:00:00" maxDate="1899-12-30T20:59:00"/>
    </cacheField>
    <cacheField name="Payment" numFmtId="0">
      <sharedItems containsBlank="1"/>
    </cacheField>
    <cacheField name="cogs" numFmtId="2">
      <sharedItems containsString="0" containsBlank="1" containsNumber="1" minValue="10.17" maxValue="993"/>
    </cacheField>
    <cacheField name="gross margin percentage" numFmtId="2">
      <sharedItems containsString="0" containsBlank="1" containsNumber="1" minValue="4.7619047620000003" maxValue="4.7619047620000003"/>
    </cacheField>
    <cacheField name="gross income" numFmtId="2">
      <sharedItems containsString="0" containsBlank="1" containsNumber="1" minValue="0.50849999999999995" maxValue="49.65"/>
    </cacheField>
    <cacheField name="Rating" numFmtId="0">
      <sharedItems containsString="0" containsBlank="1" containsNumber="1" minValue="4" maxValue="10"/>
    </cacheField>
    <cacheField name="Date FIXED" numFmtId="166">
      <sharedItems containsNonDate="0" containsDate="1" containsString="0" containsBlank="1" minDate="2019-01-01T00:00:00" maxDate="2019-06-03T00:00:00"/>
    </cacheField>
    <cacheField name="Bulan" numFmtId="0">
      <sharedItems containsString="0" containsBlank="1" containsNumber="1" containsInteger="1" minValue="1" maxValue="6"/>
    </cacheField>
    <cacheField name="Jam" numFmtId="0">
      <sharedItems containsString="0" containsBlank="1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754.462543402777" createdVersion="8" refreshedVersion="8" minRefreshableVersion="3" recordCount="1000" xr:uid="{0842AB47-FF32-490E-959A-A75A04297A90}">
  <cacheSource type="worksheet">
    <worksheetSource ref="A1:T1001" sheet="supermarket_sales_CSV"/>
  </cacheSource>
  <cacheFields count="20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 count="3">
        <s v="Yangon"/>
        <s v="Naypyitaw"/>
        <s v="Mandalay"/>
      </sharedItems>
    </cacheField>
    <cacheField name="Customer type" numFmtId="0">
      <sharedItems count="2">
        <s v="Member"/>
        <s v="Normal"/>
      </sharedItems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2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65">
      <sharedItems containsDate="1" containsMixedTypes="1" minDate="2019-01-01T00:00:00" maxDate="2019-12-04T00:00:00"/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2">
      <sharedItems containsSemiMixedTypes="0" containsString="0" containsNumber="1" minValue="10.17" maxValue="993"/>
    </cacheField>
    <cacheField name="gross margin percentage" numFmtId="2">
      <sharedItems containsSemiMixedTypes="0" containsString="0" containsNumber="1" minValue="4.7619047620000003" maxValue="4.7619047620000003"/>
    </cacheField>
    <cacheField name="gross income" numFmtId="2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te FIXED" numFmtId="166">
      <sharedItems containsSemiMixedTypes="0" containsNonDate="0" containsDate="1" containsString="0" minDate="2019-01-01T00:00:00" maxDate="2019-06-03T00:00:00"/>
    </cacheField>
    <cacheField name="Bulan" numFmtId="0">
      <sharedItems containsSemiMixedTypes="0" containsString="0" containsNumber="1" containsInteger="1" minValue="1" maxValue="6" count="4">
        <n v="1"/>
        <n v="3"/>
        <n v="2"/>
        <n v="6"/>
      </sharedItems>
    </cacheField>
    <cacheField name="Jam" numFmtId="0">
      <sharedItems containsSemiMixedTypes="0" containsString="0" containsNumber="1" containsInteger="1" minValue="10" maxValue="20" count="11">
        <n v="13"/>
        <n v="10"/>
        <n v="20"/>
        <n v="18"/>
        <n v="14"/>
        <n v="11"/>
        <n v="17"/>
        <n v="16"/>
        <n v="19"/>
        <n v="15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754.477406712962" createdVersion="8" refreshedVersion="8" minRefreshableVersion="3" recordCount="1000" xr:uid="{15D0F722-1BBC-4590-B047-DCCF922C01ED}">
  <cacheSource type="worksheet">
    <worksheetSource ref="A1:U1001" sheet="supermarket_sales_CSV"/>
  </cacheSource>
  <cacheFields count="21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 count="2">
        <s v="Member"/>
        <s v="Normal"/>
      </sharedItems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2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65">
      <sharedItems containsDate="1" containsMixedTypes="1" minDate="2019-01-01T00:00:00" maxDate="2019-12-04T00:00:00"/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2">
      <sharedItems containsSemiMixedTypes="0" containsString="0" containsNumber="1" minValue="10.17" maxValue="993"/>
    </cacheField>
    <cacheField name="gross margin percentage" numFmtId="2">
      <sharedItems containsSemiMixedTypes="0" containsString="0" containsNumber="1" minValue="4.7619047620000003" maxValue="4.7619047620000003"/>
    </cacheField>
    <cacheField name="gross income" numFmtId="2">
      <sharedItems containsSemiMixedTypes="0" containsString="0" containsNumber="1" minValue="0.50849999999999995" maxValue="49.65" count="990">
        <n v="26.141500000000001"/>
        <n v="3.82"/>
        <n v="16.215499999999999"/>
        <n v="23.288"/>
        <n v="30.208500000000001"/>
        <n v="29.886500000000002"/>
        <n v="20.652000000000001"/>
        <n v="36.78"/>
        <n v="3.6259999999999999"/>
        <n v="8.2260000000000009"/>
        <n v="2.8959999999999999"/>
        <n v="5.1020000000000003"/>
        <n v="11.737500000000001"/>
        <n v="21.594999999999999"/>
        <n v="35.69"/>
        <n v="28.116"/>
        <n v="24.125499999999999"/>
        <n v="21.783000000000001"/>
        <n v="8.2004999999999999"/>
        <n v="4.03"/>
        <n v="21.51"/>
        <n v="13.196999999999999"/>
        <n v="3.32"/>
        <n v="8.64"/>
        <n v="13.294499999999999"/>
        <n v="21.036000000000001"/>
        <n v="1.6759999999999999"/>
        <n v="8.7669999999999995"/>
        <n v="22.09"/>
        <n v="11.2005"/>
        <n v="23.532499999999999"/>
        <n v="35.131500000000003"/>
        <n v="33.512"/>
        <n v="9.6579999999999995"/>
        <n v="19.884"/>
        <n v="3.4060000000000001"/>
        <n v="15.654999999999999"/>
        <n v="27.396000000000001"/>
        <n v="21.968"/>
        <n v="12.048"/>
        <n v="4.3360000000000003"/>
        <n v="5.6109999999999998"/>
        <n v="20.736000000000001"/>
        <n v="39.479999999999997"/>
        <n v="1.5369999999999999"/>
        <n v="18.792000000000002"/>
        <n v="25.5105"/>
        <n v="9.0045000000000002"/>
        <n v="5.6790000000000003"/>
        <n v="41.314999999999998"/>
        <n v="31.99"/>
        <n v="11.147500000000001"/>
        <n v="3.5739999999999998"/>
        <n v="0.77149999999999996"/>
        <n v="1.6160000000000001"/>
        <n v="34.392000000000003"/>
        <n v="4.4340000000000002"/>
        <n v="35.840000000000003"/>
        <n v="36.174999999999997"/>
        <n v="9.1829999999999998"/>
        <n v="3.7109999999999999"/>
        <n v="16.719000000000001"/>
        <n v="24.781500000000001"/>
        <n v="7.9050000000000002"/>
        <n v="15.148"/>
        <n v="7.9349999999999996"/>
        <n v="3.347"/>
        <n v="29.283000000000001"/>
        <n v="39.384999999999998"/>
        <n v="0.91649999999999998"/>
        <n v="44.74"/>
        <n v="31.06"/>
        <n v="7.2779999999999996"/>
        <n v="22.773"/>
        <n v="33.601500000000001"/>
        <n v="20.824999999999999"/>
        <n v="22.068000000000001"/>
        <n v="39.155000000000001"/>
        <n v="5.0949999999999998"/>
        <n v="29.757000000000001"/>
        <n v="14.502000000000001"/>
        <n v="7.7"/>
        <n v="16.071999999999999"/>
        <n v="12.227499999999999"/>
        <n v="29.071000000000002"/>
        <n v="19.13"/>
        <n v="17.283000000000001"/>
        <n v="2.1234999999999999"/>
        <n v="23.097000000000001"/>
        <n v="9.4760000000000009"/>
        <n v="22.43"/>
        <n v="7.6929999999999996"/>
        <n v="28.962"/>
        <n v="4.4874999999999998"/>
        <n v="4.8579999999999997"/>
        <n v="43.935000000000002"/>
        <n v="3.7349999999999999"/>
        <n v="7.9124999999999996"/>
        <n v="24.81"/>
        <n v="2.4355000000000002"/>
        <n v="35.347499999999997"/>
        <n v="10.381500000000001"/>
        <n v="17.478000000000002"/>
        <n v="10.6225"/>
        <n v="44.335000000000001"/>
        <n v="8.2140000000000004"/>
        <n v="18.638999999999999"/>
        <n v="15.291"/>
        <n v="40.984999999999999"/>
        <n v="1.649"/>
        <n v="14.7315"/>
        <n v="25.494"/>
        <n v="26.131499999999999"/>
        <n v="36.355499999999999"/>
        <n v="4.0529999999999999"/>
        <n v="5.4850000000000003"/>
        <n v="2.5680000000000001"/>
        <n v="5.48"/>
        <n v="5.3440000000000003"/>
        <n v="39.823999999999998"/>
        <n v="19.992000000000001"/>
        <n v="44.981999999999999"/>
        <n v="25.564"/>
        <n v="22.588000000000001"/>
        <n v="32.791499999999999"/>
        <n v="8.0625"/>
        <n v="14.278499999999999"/>
        <n v="27.416"/>
        <n v="40.625999999999998"/>
        <n v="13.867000000000001"/>
        <n v="27.638999999999999"/>
        <n v="6.968"/>
        <n v="26.234999999999999"/>
        <n v="24.39"/>
        <n v="13.532999999999999"/>
        <n v="6.5774999999999997"/>
        <n v="10.326000000000001"/>
        <n v="25.954999999999998"/>
        <n v="29"/>
        <n v="44.9"/>
        <n v="45.25"/>
        <n v="34.299999999999997"/>
        <n v="1.5205"/>
        <n v="23.385000000000002"/>
        <n v="13.878"/>
        <n v="15.07"/>
        <n v="13.228"/>
        <n v="28.744"/>
        <n v="12.984"/>
        <n v="18.308"/>
        <n v="12.096"/>
        <n v="37.457999999999998"/>
        <n v="4.944"/>
        <n v="32.387999999999998"/>
        <n v="23.072500000000002"/>
        <n v="3.6084999999999998"/>
        <n v="12.57"/>
        <n v="43.749000000000002"/>
        <n v="28.016999999999999"/>
        <n v="17.271999999999998"/>
        <n v="3.1844999999999999"/>
        <n v="16.026499999999999"/>
        <n v="7.64"/>
        <n v="19.95"/>
        <n v="17.027999999999999"/>
        <n v="47.79"/>
        <n v="49.49"/>
        <n v="15.384"/>
        <n v="24.332000000000001"/>
        <n v="17.502500000000001"/>
        <n v="20.012499999999999"/>
        <n v="8.34"/>
        <n v="15.867000000000001"/>
        <n v="7.9160000000000004"/>
        <n v="15.228"/>
        <n v="8.8680000000000003"/>
        <n v="7.8784999999999998"/>
        <n v="22.164000000000001"/>
        <n v="13.02"/>
        <n v="22.491"/>
        <n v="15.388"/>
        <n v="7.75"/>
        <n v="13.724"/>
        <n v="4.319"/>
        <n v="2.7120000000000002"/>
        <n v="37.795999999999999"/>
        <n v="9.2940000000000005"/>
        <n v="3.7035"/>
        <n v="13.962"/>
        <n v="11.555999999999999"/>
        <n v="7.3520000000000003"/>
        <n v="39.51"/>
        <n v="5.1100000000000003"/>
        <n v="8.1775000000000002"/>
        <n v="3.7145000000000001"/>
        <n v="4.37"/>
        <n v="1.2645"/>
        <n v="8.3000000000000007"/>
        <n v="17.8475"/>
        <n v="5.7450000000000001"/>
        <n v="11.497999999999999"/>
        <n v="21.493500000000001"/>
        <n v="12.95"/>
        <n v="4.4424999999999999"/>
        <n v="10.3635"/>
        <n v="29.9925"/>
        <n v="14.265000000000001"/>
        <n v="4.5555000000000003"/>
        <n v="44.878500000000003"/>
        <n v="11.8035"/>
        <n v="41.966999999999999"/>
        <n v="23.09"/>
        <n v="6.9630000000000001"/>
        <n v="0.91400000000000003"/>
        <n v="6.1924999999999999"/>
        <n v="14.196"/>
        <n v="37.948"/>
        <n v="8.6010000000000009"/>
        <n v="13.605"/>
        <n v="21.728000000000002"/>
        <n v="2.9525000000000001"/>
        <n v="0.627"/>
        <n v="4.3250000000000002"/>
        <n v="8.7159999999999993"/>
        <n v="31.2165"/>
        <n v="7.4119999999999999"/>
        <n v="27.21"/>
        <n v="25.367999999999999"/>
        <n v="8.1370000000000005"/>
        <n v="1.5885"/>
        <n v="37.840499999999999"/>
        <n v="14.763999999999999"/>
        <n v="25.97"/>
        <n v="9.3140000000000001"/>
        <n v="4.3525"/>
        <n v="11.055"/>
        <n v="3.3050000000000002"/>
        <n v="4.4844999999999997"/>
        <n v="11.223000000000001"/>
        <n v="5.9770000000000003"/>
        <n v="9.32"/>
        <n v="12.53"/>
        <n v="37.548000000000002"/>
        <n v="19.036000000000001"/>
        <n v="12.21"/>
        <n v="4.4850000000000003"/>
        <n v="15.544"/>
        <n v="25.571000000000002"/>
        <n v="20.947500000000002"/>
        <n v="17.594999999999999"/>
        <n v="1.4390000000000001"/>
        <n v="4.75"/>
        <n v="23.56"/>
        <n v="6.524"/>
        <n v="3.3174999999999999"/>
        <n v="7.7729999999999997"/>
        <n v="6.45"/>
        <n v="13.188000000000001"/>
        <n v="33.777000000000001"/>
        <n v="3.29"/>
        <n v="7.66"/>
        <n v="11.12"/>
        <n v="2.7225000000000001"/>
        <n v="34.44"/>
        <n v="7.0940000000000003"/>
        <n v="37.299999999999997"/>
        <n v="14.148"/>
        <n v="17.77"/>
        <n v="16.857500000000002"/>
        <n v="2.1120000000000001"/>
        <n v="9.6929999999999996"/>
        <n v="1.2030000000000001"/>
        <n v="29.913"/>
        <n v="16.7895"/>
        <n v="10.91"/>
        <n v="19.084"/>
        <n v="35.494999999999997"/>
        <n v="22.01"/>
        <n v="27.984000000000002"/>
        <n v="1.85"/>
        <n v="0.76700000000000002"/>
        <n v="29.949000000000002"/>
        <n v="9.5340000000000007"/>
        <n v="16.670000000000002"/>
        <n v="3.7429999999999999"/>
        <n v="10.6875"/>
        <n v="16.9785"/>
        <n v="33.207999999999998"/>
        <n v="20.149999999999999"/>
        <n v="9.7475000000000005"/>
        <n v="3.1240000000000001"/>
        <n v="3.6360000000000001"/>
        <n v="9.0549999999999997"/>
        <n v="12.98"/>
        <n v="5.7679999999999998"/>
        <n v="23.513999999999999"/>
        <n v="12.002000000000001"/>
        <n v="4.4305000000000003"/>
        <n v="9.9819999999999993"/>
        <n v="1.9504999999999999"/>
        <n v="2.4304999999999999"/>
        <n v="10.238"/>
        <n v="5.984"/>
        <n v="25.27"/>
        <n v="14.080500000000001"/>
        <n v="35.515999999999998"/>
        <n v="3.972"/>
        <n v="8.1910000000000007"/>
        <n v="23.978999999999999"/>
        <n v="6.9329999999999998"/>
        <n v="3.5575000000000001"/>
        <n v="6.9974999999999996"/>
        <n v="39.064999999999998"/>
        <n v="9.9369999999999994"/>
        <n v="3.1619999999999999"/>
        <n v="18.697500000000002"/>
        <n v="10.384499999999999"/>
        <n v="8.8140000000000001"/>
        <n v="10.3185"/>
        <n v="1.9710000000000001"/>
        <n v="4.5780000000000003"/>
        <n v="15.442500000000001"/>
        <n v="6.4560000000000004"/>
        <n v="19.547999999999998"/>
        <n v="24.945"/>
        <n v="18.852"/>
        <n v="10.226000000000001"/>
        <n v="7.2720000000000002"/>
        <n v="9.9090000000000007"/>
        <n v="4.9349999999999996"/>
        <n v="19.254999999999999"/>
        <n v="2.3479999999999999"/>
        <n v="3.6749999999999998"/>
        <n v="7.1124999999999998"/>
        <n v="34.380000000000003"/>
        <n v="17.385000000000002"/>
        <n v="7.1475"/>
        <n v="19.268999999999998"/>
        <n v="7.2134999999999998"/>
        <n v="19.589500000000001"/>
        <n v="26.914999999999999"/>
        <n v="24.2575"/>
        <n v="6.6974999999999998"/>
        <n v="35.0685"/>
        <n v="3.5975000000000001"/>
        <n v="35.700000000000003"/>
        <n v="9.1069999999999993"/>
        <n v="6.75"/>
        <n v="49.65"/>
        <n v="18.0915"/>
        <n v="19.1555"/>
        <n v="12.15"/>
        <n v="1.512"/>
        <n v="17.827999999999999"/>
        <n v="18.774999999999999"/>
        <n v="47.72"/>
        <n v="4.125"/>
        <n v="3.7484999999999999"/>
        <n v="32.384"/>
        <n v="37.787999999999997"/>
        <n v="9.9789999999999992"/>
        <n v="21.966000000000001"/>
        <n v="8.2479999999999993"/>
        <n v="16.335999999999999"/>
        <n v="23.094000000000001"/>
        <n v="7.18"/>
        <n v="9.6750000000000007"/>
        <n v="9.1910000000000007"/>
        <n v="6.0960000000000001"/>
        <n v="21.033000000000001"/>
        <n v="12.624000000000001"/>
        <n v="16.772500000000001"/>
        <n v="24.175000000000001"/>
        <n v="15.920999999999999"/>
        <n v="33.421500000000002"/>
        <n v="19.396000000000001"/>
        <n v="4.7300000000000004"/>
        <n v="16.466000000000001"/>
        <n v="2.661"/>
        <n v="24.922499999999999"/>
        <n v="14.978"/>
        <n v="10.234999999999999"/>
        <n v="3.7909999999999999"/>
        <n v="14.031000000000001"/>
        <n v="16.16"/>
        <n v="24.331499999999998"/>
        <n v="6.3769999999999998"/>
        <n v="12.071999999999999"/>
        <n v="18.975000000000001"/>
        <n v="3.8410000000000002"/>
        <n v="26.13"/>
        <n v="3.9870000000000001"/>
        <n v="19.375"/>
        <n v="13.567500000000001"/>
        <n v="6.1154999999999999"/>
        <n v="12.318"/>
        <n v="8.6579999999999995"/>
        <n v="11.829000000000001"/>
        <n v="9.2439999999999998"/>
        <n v="0.69899999999999995"/>
        <n v="9.9375"/>
        <n v="34.226500000000001"/>
        <n v="13.452"/>
        <n v="3.4474999999999998"/>
        <n v="13.742000000000001"/>
        <n v="11.305999999999999"/>
        <n v="5.9550000000000001"/>
        <n v="17.105"/>
        <n v="2.1869999999999998"/>
        <n v="5.2424999999999997"/>
        <n v="3.8759999999999999"/>
        <n v="20.372"/>
        <n v="4.8055000000000003"/>
        <n v="9.0760000000000005"/>
        <n v="4.0754999999999999"/>
        <n v="5.7220000000000004"/>
        <n v="8.827"/>
        <n v="5.79"/>
        <n v="12.6075"/>
        <n v="48.604999999999997"/>
        <n v="10.167999999999999"/>
        <n v="0.81399999999999995"/>
        <n v="18.2745"/>
        <n v="18.609500000000001"/>
        <n v="3.1305000000000001"/>
        <n v="16.817499999999999"/>
        <n v="45.325000000000003"/>
        <n v="6.9080000000000004"/>
        <n v="4.327"/>
        <n v="7.0380000000000003"/>
        <n v="33.439"/>
        <n v="2.3719999999999999"/>
        <n v="44.658000000000001"/>
        <n v="16.585999999999999"/>
        <n v="10.196999999999999"/>
        <n v="3.4079999999999999"/>
        <n v="16.344000000000001"/>
        <n v="4.3600000000000003"/>
        <n v="35.372"/>
        <n v="40.144500000000001"/>
        <n v="0.63900000000000001"/>
        <n v="6.6849999999999996"/>
        <n v="0.95750000000000002"/>
        <n v="13.83"/>
        <n v="6.8609999999999998"/>
        <n v="1.3534999999999999"/>
        <n v="1.956"/>
        <n v="22.413"/>
        <n v="6.6029999999999998"/>
        <n v="15.9025"/>
        <n v="1.25"/>
        <n v="4.1539999999999999"/>
        <n v="7.39"/>
        <n v="34.83"/>
        <n v="39.695"/>
        <n v="23.285"/>
        <n v="1.7945"/>
        <n v="10.130000000000001"/>
        <n v="36.524999999999999"/>
        <n v="14.79"/>
        <n v="1.131"/>
        <n v="12.835000000000001"/>
        <n v="27.274999999999999"/>
        <n v="13.0025"/>
        <n v="11.106"/>
        <n v="1.079"/>
        <n v="4.9420000000000002"/>
        <n v="25.131"/>
        <n v="8.01"/>
        <n v="21.565000000000001"/>
        <n v="29.027999999999999"/>
        <n v="16.11"/>
        <n v="9.7769999999999992"/>
        <n v="8.3149999999999995"/>
        <n v="16.814"/>
        <n v="17.184999999999999"/>
        <n v="1.93"/>
        <n v="26.388000000000002"/>
        <n v="16.399999999999999"/>
        <n v="9.2850000000000001"/>
        <n v="30.19"/>
        <n v="18.489999999999998"/>
        <n v="9.8979999999999997"/>
        <n v="20.545000000000002"/>
        <n v="7.43"/>
        <n v="1.1479999999999999"/>
        <n v="34.956000000000003"/>
        <n v="3.47"/>
        <n v="9.83"/>
        <n v="10.128"/>
        <n v="6.06"/>
        <n v="9.9890000000000008"/>
        <n v="30.367999999999999"/>
        <n v="6.3220000000000001"/>
        <n v="27.071999999999999"/>
        <n v="4.9065000000000003"/>
        <n v="20.608000000000001"/>
        <n v="3.6985000000000001"/>
        <n v="1.595"/>
        <n v="6.94"/>
        <n v="9.3309999999999995"/>
        <n v="4.4225000000000003"/>
        <n v="9.6720000000000006"/>
        <n v="7.2750000000000004"/>
        <n v="25.215"/>
        <n v="15.3225"/>
        <n v="4.7850000000000001"/>
        <n v="31.759"/>
        <n v="10.727499999999999"/>
        <n v="18.998000000000001"/>
        <n v="34.842500000000001"/>
        <n v="20.436499999999999"/>
        <n v="2.5735000000000001"/>
        <n v="13.715"/>
        <n v="9.8475000000000001"/>
        <n v="3.4729999999999999"/>
        <n v="17.98"/>
        <n v="6.8564999999999996"/>
        <n v="24.951000000000001"/>
        <n v="11.231999999999999"/>
        <n v="6.2869999999999999"/>
        <n v="24.513000000000002"/>
        <n v="22.852499999999999"/>
        <n v="7.8419999999999996"/>
        <n v="5.9859999999999998"/>
        <n v="27.18"/>
        <n v="44.140500000000003"/>
        <n v="7.6289999999999996"/>
        <n v="34.671999999999997"/>
        <n v="11.475"/>
        <n v="7.3395000000000001"/>
        <n v="7.08"/>
        <n v="5.8345000000000002"/>
        <n v="3.698"/>
        <n v="4.8970000000000002"/>
        <n v="14.61"/>
        <n v="26.244"/>
        <n v="4.6020000000000003"/>
        <n v="3.794"/>
        <n v="4.0359999999999996"/>
        <n v="5.6310000000000002"/>
        <n v="3.56"/>
        <n v="7.7619999999999996"/>
        <n v="14.71"/>
        <n v="27.427499999999998"/>
        <n v="12.885"/>
        <n v="19.818000000000001"/>
        <n v="8.5905000000000005"/>
        <n v="24.439499999999999"/>
        <n v="26.207999999999998"/>
        <n v="6.6630000000000003"/>
        <n v="6.7619999999999996"/>
        <n v="5.6219999999999999"/>
        <n v="7.2039999999999997"/>
        <n v="49.26"/>
        <n v="12.497999999999999"/>
        <n v="10.863"/>
        <n v="9.7110000000000003"/>
        <n v="44.6"/>
        <n v="16.968"/>
        <n v="22.353000000000002"/>
        <n v="9.9250000000000007"/>
        <n v="40.604999999999997"/>
        <n v="24.664999999999999"/>
        <n v="29.582999999999998"/>
        <n v="27.951000000000001"/>
        <n v="25.893000000000001"/>
        <n v="20.51"/>
        <n v="13.335000000000001"/>
        <n v="3.5455000000000001"/>
        <n v="7.2389999999999999"/>
        <n v="21.477499999999999"/>
        <n v="28.458500000000001"/>
        <n v="12.06"/>
        <n v="6.3540000000000001"/>
        <n v="12.853999999999999"/>
        <n v="6.9509999999999996"/>
        <n v="4.0830000000000002"/>
        <n v="15.536"/>
        <n v="9.298"/>
        <n v="3.6160000000000001"/>
        <n v="9.4589999999999996"/>
        <n v="10.342000000000001"/>
        <n v="7.851"/>
        <n v="10.765000000000001"/>
        <n v="29.805"/>
        <n v="3.6549999999999998"/>
        <n v="13.959"/>
        <n v="8.484"/>
        <n v="2.2789999999999999"/>
        <n v="11.28"/>
        <n v="14.52"/>
        <n v="2.2229999999999999"/>
        <n v="7.83"/>
        <n v="20.997"/>
        <n v="9.2125000000000004"/>
        <n v="7.032"/>
        <n v="3.2494999999999998"/>
        <n v="38.78"/>
        <n v="16.353000000000002"/>
        <n v="18.1615"/>
        <n v="6.35"/>
        <n v="18.7775"/>
        <n v="9.9580000000000002"/>
        <n v="1.5305"/>
        <n v="5.7889999999999997"/>
        <n v="1.448"/>
        <n v="44.536499999999997"/>
        <n v="13.983000000000001"/>
        <n v="4.0465"/>
        <n v="33.725000000000001"/>
        <n v="17.423999999999999"/>
        <n v="21.78"/>
        <n v="21.977499999999999"/>
        <n v="29.559000000000001"/>
        <n v="13.038"/>
        <n v="10.752000000000001"/>
        <n v="4.5804999999999998"/>
        <n v="33.106499999999997"/>
        <n v="41.625"/>
        <n v="4.5674999999999999"/>
        <n v="7.8879999999999999"/>
        <n v="6.0869999999999997"/>
        <n v="41.29"/>
        <n v="7.9950000000000001"/>
        <n v="0.60450000000000004"/>
        <n v="32.094999999999999"/>
        <n v="11.746499999999999"/>
        <n v="8.3770000000000007"/>
        <n v="14.955"/>
        <n v="11.986499999999999"/>
        <n v="33.234999999999999"/>
        <n v="10.1325"/>
        <n v="2.31"/>
        <n v="4.4074999999999998"/>
        <n v="7.8630000000000004"/>
        <n v="14.8185"/>
        <n v="35.42"/>
        <n v="5.5670000000000002"/>
        <n v="29.007999999999999"/>
        <n v="3.0125000000000002"/>
        <n v="8.7119999999999997"/>
        <n v="21.062999999999999"/>
        <n v="1.6815"/>
        <n v="1.5489999999999999"/>
        <n v="12.37"/>
        <n v="18.914999999999999"/>
        <n v="16.742999999999999"/>
        <n v="36.39"/>
        <n v="16.794"/>
        <n v="12.036"/>
        <n v="2.3534999999999999"/>
        <n v="4.9844999999999997"/>
        <n v="13.2225"/>
        <n v="6.9824999999999999"/>
        <n v="2.7725"/>
        <n v="6.4455"/>
        <n v="5.9989999999999997"/>
        <n v="17.625"/>
        <n v="43.55"/>
        <n v="9.8800000000000008"/>
        <n v="9.7260000000000009"/>
        <n v="8.6609999999999996"/>
        <n v="3.5939999999999999"/>
        <n v="14.313000000000001"/>
        <n v="4.0620000000000003"/>
        <n v="28.02"/>
        <n v="9.34"/>
        <n v="11.0115"/>
        <n v="13.456"/>
        <n v="22.74"/>
        <n v="22.428000000000001"/>
        <n v="14.694000000000001"/>
        <n v="29.475000000000001"/>
        <n v="14.55"/>
        <n v="1.974"/>
        <n v="1.7404999999999999"/>
        <n v="14.795999999999999"/>
        <n v="2.1480000000000001"/>
        <n v="6.9240000000000004"/>
        <n v="4.91"/>
        <n v="6.4829999999999997"/>
        <n v="31.78"/>
        <n v="7.2880000000000003"/>
        <n v="10.065"/>
        <n v="31.5855"/>
        <n v="19.263999999999999"/>
        <n v="24.315000000000001"/>
        <n v="25.683"/>
        <n v="23.67"/>
        <n v="21.842500000000001"/>
        <n v="5.4080000000000004"/>
        <n v="12.438000000000001"/>
        <n v="31.311"/>
        <n v="48.75"/>
        <n v="24.164000000000001"/>
        <n v="4.8479999999999999"/>
        <n v="9.8849999999999998"/>
        <n v="36.211500000000001"/>
        <n v="39.775500000000001"/>
        <n v="25.119499999999999"/>
        <n v="8.6"/>
        <n v="3.4489999999999998"/>
        <n v="6.2480000000000002"/>
        <n v="3.855"/>
        <n v="24.186"/>
        <n v="15.106"/>
        <n v="34.933500000000002"/>
        <n v="6.2324999999999999"/>
        <n v="8.92"/>
        <n v="25.010999999999999"/>
        <n v="1.7909999999999999"/>
        <n v="6.8070000000000004"/>
        <n v="5.2439999999999998"/>
        <n v="8.9459999999999997"/>
        <n v="40.783499999999997"/>
        <n v="6.6180000000000003"/>
        <n v="12.8695"/>
        <n v="4.6680000000000001"/>
        <n v="11.4"/>
        <n v="8.3354999999999997"/>
        <n v="34.869999999999997"/>
        <n v="19.452000000000002"/>
        <n v="18.263000000000002"/>
        <n v="4.4640000000000004"/>
        <n v="8.4"/>
        <n v="0.98499999999999999"/>
        <n v="26.558"/>
        <n v="2.6859999999999999"/>
        <n v="40.975000000000001"/>
        <n v="28.42"/>
        <n v="29.38"/>
        <n v="36.624000000000002"/>
        <n v="42.281999999999996"/>
        <n v="19.4635"/>
        <n v="4.2415000000000003"/>
        <n v="7.1630000000000003"/>
        <n v="3.7690000000000001"/>
        <n v="12.667999999999999"/>
        <n v="1.921"/>
        <n v="32.615000000000002"/>
        <n v="2.6324999999999998"/>
        <n v="5.5305"/>
        <n v="28.430499999999999"/>
        <n v="6.82"/>
        <n v="8.7100000000000009"/>
        <n v="18.32"/>
        <n v="12.730499999999999"/>
        <n v="38.915999999999997"/>
        <n v="14.295999999999999"/>
        <n v="28.956"/>
        <n v="9.4250000000000007"/>
        <n v="11.077999999999999"/>
        <n v="38.6"/>
        <n v="36.064999999999998"/>
        <n v="25.552"/>
        <n v="2.6724999999999999"/>
        <n v="11.1"/>
        <n v="38.183999999999997"/>
        <n v="11.409000000000001"/>
        <n v="4.1070000000000002"/>
        <n v="19.128"/>
        <n v="3.4289999999999998"/>
        <n v="19.108000000000001"/>
        <n v="30.054500000000001"/>
        <n v="23.796500000000002"/>
        <n v="2.621"/>
        <n v="6.5650000000000004"/>
        <n v="7.2149999999999999"/>
        <n v="22.858499999999999"/>
        <n v="4.6689999999999996"/>
        <n v="6.3125"/>
        <n v="39.541499999999999"/>
        <n v="8.7200000000000006"/>
        <n v="18.952000000000002"/>
        <n v="1.5309999999999999"/>
        <n v="17.603999999999999"/>
        <n v="2.54"/>
        <n v="26.103000000000002"/>
        <n v="28.756"/>
        <n v="2.7475000000000001"/>
        <n v="9.0704999999999991"/>
        <n v="20.618500000000001"/>
        <n v="2.3205"/>
        <n v="13.71"/>
        <n v="48.685000000000002"/>
        <n v="32.409999999999997"/>
        <n v="4.6609999999999996"/>
        <n v="2.718"/>
        <n v="3.0434999999999999"/>
        <n v="12.244999999999999"/>
        <n v="4.6390000000000002"/>
        <n v="21.672499999999999"/>
        <n v="6.9029999999999996"/>
        <n v="12.08"/>
        <n v="23.586500000000001"/>
        <n v="22.032"/>
        <n v="34.015500000000003"/>
        <n v="15.494"/>
        <n v="9.3179999999999996"/>
        <n v="10.045999999999999"/>
        <n v="0.88749999999999996"/>
        <n v="31.09"/>
        <n v="4.3"/>
        <n v="20.13"/>
        <n v="16.2425"/>
        <n v="4.7575000000000003"/>
        <n v="19.448"/>
        <n v="21.283999999999999"/>
        <n v="15.904"/>
        <n v="13.552"/>
        <n v="19.231999999999999"/>
        <n v="11.79"/>
        <n v="10.577999999999999"/>
        <n v="4.7679999999999998"/>
        <n v="0.50849999999999995"/>
        <n v="10.3065"/>
        <n v="21.027999999999999"/>
        <n v="4.4020000000000001"/>
        <n v="32.4495"/>
        <n v="6.1920000000000002"/>
        <n v="32.475000000000001"/>
        <n v="37.11"/>
        <n v="4.2240000000000002"/>
        <n v="12.513999999999999"/>
        <n v="4.74"/>
        <n v="4.5650000000000004"/>
        <n v="14.2555"/>
        <n v="2.6190000000000002"/>
        <n v="9.6349999999999998"/>
        <n v="13.388999999999999"/>
        <n v="27.934999999999999"/>
        <n v="8.766"/>
        <n v="7.7910000000000004"/>
        <n v="3.0150000000000001"/>
        <n v="3.9470000000000001"/>
        <n v="1.4870000000000001"/>
        <n v="1.0660000000000001"/>
        <n v="14.067"/>
        <n v="3.6629999999999998"/>
        <n v="1.119"/>
        <n v="32.795999999999999"/>
        <n v="29.73"/>
        <n v="3.7050000000000001"/>
        <n v="9.8480000000000008"/>
        <n v="18.616499999999998"/>
        <n v="26.395"/>
        <n v="23.987500000000001"/>
        <n v="16.429500000000001"/>
        <n v="8.4480000000000004"/>
        <n v="5.6619999999999999"/>
        <n v="17.277000000000001"/>
        <n v="21.433499999999999"/>
        <n v="4.3135000000000003"/>
        <n v="1.276"/>
        <n v="5.0759999999999996"/>
        <n v="17.874500000000001"/>
        <n v="11.938499999999999"/>
        <n v="5.0715000000000003"/>
        <n v="36.212000000000003"/>
        <n v="6.282"/>
        <n v="3.6465000000000001"/>
        <n v="12.917999999999999"/>
        <n v="8.6869999999999994"/>
        <n v="2.8250000000000002"/>
        <n v="10.715"/>
        <n v="26.718"/>
        <n v="4.6580000000000004"/>
        <n v="26.103999999999999"/>
        <n v="2.6175000000000002"/>
        <n v="1.9875"/>
        <n v="36.008000000000003"/>
        <n v="4.84"/>
        <n v="16.605"/>
        <n v="4.0720000000000001"/>
        <n v="15.994999999999999"/>
        <n v="8.3339999999999996"/>
        <n v="15.952999999999999"/>
        <n v="4.3949999999999996"/>
        <n v="36.734999999999999"/>
        <n v="4.8760000000000003"/>
        <n v="38.46"/>
        <n v="20.914999999999999"/>
        <n v="23.164000000000001"/>
        <n v="23.122499999999999"/>
        <n v="7.0949999999999998"/>
        <n v="15.135"/>
        <n v="39.664000000000001"/>
        <n v="21.259"/>
        <n v="14.180999999999999"/>
        <n v="29.96"/>
        <n v="15.768000000000001"/>
        <n v="20.178000000000001"/>
        <n v="9.1940000000000008"/>
        <n v="6.9325000000000001"/>
        <n v="4.0354999999999999"/>
        <n v="5.8319999999999999"/>
        <n v="15.676"/>
        <n v="42.305"/>
        <n v="20.72"/>
        <n v="7.9539999999999997"/>
        <n v="24.504999999999999"/>
        <n v="4.3724999999999996"/>
        <n v="11.226000000000001"/>
        <n v="37.247999999999998"/>
        <n v="20.536000000000001"/>
        <n v="14.94"/>
        <n v="10.647"/>
        <n v="2.1425000000000001"/>
        <n v="18.934000000000001"/>
        <n v="10.345499999999999"/>
        <n v="3.9390000000000001"/>
        <n v="16.105499999999999"/>
        <n v="4.9109999999999996"/>
        <n v="1.2729999999999999"/>
        <n v="29.099"/>
        <n v="10.566000000000001"/>
        <n v="2.7559999999999998"/>
        <n v="4.4154999999999998"/>
        <n v="17.829000000000001"/>
        <n v="39.712499999999999"/>
        <n v="2.5310000000000001"/>
        <n v="29.975999999999999"/>
        <n v="8.3350000000000009"/>
        <n v="37.22"/>
        <n v="18.945"/>
        <n v="12.858000000000001"/>
        <n v="27.611499999999999"/>
        <n v="22.37"/>
        <n v="13.813499999999999"/>
        <n v="17.187000000000001"/>
        <n v="13.304"/>
        <n v="44.918999999999997"/>
        <n v="22.84"/>
        <n v="12.6975"/>
        <n v="3.528"/>
        <n v="32.857999999999997"/>
        <n v="8.4250000000000007"/>
        <n v="2.6890000000000001"/>
        <n v="8.9525000000000006"/>
        <n v="10.571999999999999"/>
        <n v="5.9865000000000004"/>
        <n v="3.2850000000000001"/>
        <n v="4.2080000000000002"/>
        <n v="19.773"/>
        <n v="14.8995"/>
        <n v="22.720500000000001"/>
        <n v="13.805999999999999"/>
        <n v="7.9"/>
        <n v="44.396999999999998"/>
        <n v="4.5990000000000002"/>
        <n v="2.089"/>
        <n v="0.77500000000000002"/>
        <n v="14.523"/>
        <n v="3.3330000000000002"/>
        <n v="3.827"/>
        <n v="14.984999999999999"/>
        <n v="12.1515"/>
        <n v="2.37"/>
        <n v="8.6225000000000005"/>
        <n v="42.314999999999998"/>
        <n v="12.9185"/>
        <n v="30.478000000000002"/>
        <n v="12.012"/>
        <n v="8.6129999999999995"/>
        <n v="4.992"/>
        <n v="14.932"/>
        <n v="7.98"/>
        <n v="1.2725"/>
        <n v="3.3885000000000001"/>
        <n v="11.917999999999999"/>
        <n v="11.63"/>
        <n v="43.866"/>
        <n v="34.985999999999997"/>
        <n v="33.729500000000002"/>
        <n v="15.9275"/>
        <n v="1.476"/>
        <n v="24.8"/>
        <n v="41.17"/>
        <n v="30.148"/>
        <n v="14.14"/>
        <n v="38.299999999999997"/>
        <n v="5.8029999999999999"/>
        <n v="8.7449999999999992"/>
        <n v="3.0474999999999999"/>
        <n v="2.0175000000000001"/>
        <n v="48.69"/>
        <n v="1.5920000000000001"/>
        <n v="3.2909999999999999"/>
        <n v="30.919"/>
      </sharedItems>
    </cacheField>
    <cacheField name="Rating" numFmtId="0">
      <sharedItems containsSemiMixedTypes="0" containsString="0" containsNumber="1" minValue="4" maxValue="10"/>
    </cacheField>
    <cacheField name="Date FIXED" numFmtId="166">
      <sharedItems containsSemiMixedTypes="0" containsNonDate="0" containsDate="1" containsString="0" minDate="2019-01-01T00:00:00" maxDate="2019-06-03T00:00:00"/>
    </cacheField>
    <cacheField name="Bulan" numFmtId="0">
      <sharedItems containsSemiMixedTypes="0" containsString="0" containsNumber="1" containsInteger="1" minValue="1" maxValue="6"/>
    </cacheField>
    <cacheField name="Jam" numFmtId="0">
      <sharedItems containsSemiMixedTypes="0" containsString="0" containsNumber="1" containsInteger="1" minValue="10" maxValue="20"/>
    </cacheField>
    <cacheField name="Hari" numFmtId="0">
      <sharedItems containsSemiMixedTypes="0" containsString="0" containsNumber="1" containsInteger="1" minValue="1" maxValue="31" count="31">
        <n v="5"/>
        <n v="8"/>
        <n v="3"/>
        <n v="27"/>
        <n v="25"/>
        <n v="24"/>
        <n v="10"/>
        <n v="20"/>
        <n v="2"/>
        <n v="9"/>
        <n v="12"/>
        <n v="7"/>
        <n v="29"/>
        <n v="15"/>
        <n v="11"/>
        <n v="1"/>
        <n v="21"/>
        <n v="17"/>
        <n v="22"/>
        <n v="28"/>
        <n v="6"/>
        <n v="23"/>
        <n v="4"/>
        <n v="16"/>
        <n v="19"/>
        <n v="14"/>
        <n v="13"/>
        <n v="26"/>
        <n v="18"/>
        <n v="30"/>
        <n v="3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5756.458648611107" createdVersion="8" refreshedVersion="8" minRefreshableVersion="3" recordCount="1000" xr:uid="{AE241BCA-EADA-4612-A7B3-61D3F2443B2E}">
  <cacheSource type="worksheet">
    <worksheetSource ref="A1:V1001" sheet="supermarket_sales_CSV"/>
  </cacheSource>
  <cacheFields count="22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/>
    </cacheField>
    <cacheField name="Gender" numFmtId="0">
      <sharedItems/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0">
      <sharedItems containsSemiMixedTypes="0" containsString="0" containsNumber="1" containsInteger="1" minValue="1" maxValue="10"/>
    </cacheField>
    <cacheField name="Tax 5%" numFmtId="2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65">
      <sharedItems containsDate="1" containsMixedTypes="1" minDate="2019-01-01T00:00:00" maxDate="2019-12-04T00:00:00"/>
    </cacheField>
    <cacheField name="Time" numFmtId="164">
      <sharedItems containsSemiMixedTypes="0" containsNonDate="0" containsDate="1" containsString="0" minDate="1899-12-30T10:00:00" maxDate="1899-12-30T20:59:00"/>
    </cacheField>
    <cacheField name="Payment" numFmtId="0">
      <sharedItems/>
    </cacheField>
    <cacheField name="cogs" numFmtId="2">
      <sharedItems containsSemiMixedTypes="0" containsString="0" containsNumber="1" minValue="10.17" maxValue="993"/>
    </cacheField>
    <cacheField name="gross margin percentage" numFmtId="2">
      <sharedItems containsSemiMixedTypes="0" containsString="0" containsNumber="1" minValue="4.7619047620000003" maxValue="4.7619047620000003"/>
    </cacheField>
    <cacheField name="gross income" numFmtId="2">
      <sharedItems containsSemiMixedTypes="0" containsString="0" containsNumber="1" minValue="0.50849999999999995" maxValue="49.65"/>
    </cacheField>
    <cacheField name="Rating" numFmtId="0">
      <sharedItems containsSemiMixedTypes="0" containsString="0" containsNumber="1" minValue="4" maxValue="10"/>
    </cacheField>
    <cacheField name="Date FIXED" numFmtId="167">
      <sharedItems containsSemiMixedTypes="0" containsNonDate="0" containsDate="1" containsString="0" minDate="2019-01-01T00:00:00" maxDate="2019-06-03T00:00:00"/>
    </cacheField>
    <cacheField name="Bulan" numFmtId="0">
      <sharedItems containsSemiMixedTypes="0" containsString="0" containsNumber="1" containsInteger="1" minValue="1" maxValue="6" count="4">
        <n v="1"/>
        <n v="3"/>
        <n v="2"/>
        <n v="6"/>
      </sharedItems>
    </cacheField>
    <cacheField name="Jam" numFmtId="0">
      <sharedItems containsSemiMixedTypes="0" containsString="0" containsNumber="1" containsInteger="1" minValue="10" maxValue="20" count="11">
        <n v="13"/>
        <n v="10"/>
        <n v="20"/>
        <n v="18"/>
        <n v="14"/>
        <n v="11"/>
        <n v="17"/>
        <n v="16"/>
        <n v="19"/>
        <n v="15"/>
        <n v="12"/>
      </sharedItems>
    </cacheField>
    <cacheField name="Hari" numFmtId="0">
      <sharedItems containsSemiMixedTypes="0" containsString="0" containsNumber="1" containsInteger="1" minValue="1" maxValue="31" count="31">
        <n v="5"/>
        <n v="8"/>
        <n v="3"/>
        <n v="27"/>
        <n v="25"/>
        <n v="24"/>
        <n v="10"/>
        <n v="20"/>
        <n v="2"/>
        <n v="9"/>
        <n v="12"/>
        <n v="7"/>
        <n v="29"/>
        <n v="15"/>
        <n v="11"/>
        <n v="1"/>
        <n v="21"/>
        <n v="17"/>
        <n v="22"/>
        <n v="28"/>
        <n v="6"/>
        <n v="23"/>
        <n v="4"/>
        <n v="16"/>
        <n v="19"/>
        <n v="14"/>
        <n v="13"/>
        <n v="26"/>
        <n v="18"/>
        <n v="30"/>
        <n v="31"/>
      </sharedItems>
    </cacheField>
    <cacheField name="Day" numFmtId="167">
      <sharedItems count="7">
        <s v="Saturday"/>
        <s v="Friday"/>
        <s v="Sunday"/>
        <s v="Monday"/>
        <s v="Thursday"/>
        <s v="Tuesday"/>
        <s v="Wednes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750-67-8428"/>
    <x v="0"/>
    <s v="Yangon"/>
    <s v="Member"/>
    <s v="Female"/>
    <s v="Health and beauty"/>
    <n v="74.69"/>
    <n v="7"/>
    <n v="26.141500000000001"/>
    <x v="0"/>
    <d v="2019-05-01T00:00:00"/>
    <d v="1899-12-30T13:08:00"/>
    <s v="Ewallet"/>
    <n v="522.83000000000004"/>
    <n v="4.7619047620000003"/>
    <n v="26.141500000000001"/>
    <n v="9.1"/>
    <d v="2019-01-05T00:00:00"/>
    <n v="1"/>
    <n v="13"/>
  </r>
  <r>
    <s v="226-31-3081"/>
    <x v="1"/>
    <s v="Naypyitaw"/>
    <s v="Normal"/>
    <s v="Female"/>
    <s v="Electronic accessories"/>
    <n v="15.28"/>
    <n v="5"/>
    <n v="3.82"/>
    <x v="1"/>
    <d v="2019-08-03T00:00:00"/>
    <d v="1899-12-30T10:29:00"/>
    <s v="Cash"/>
    <n v="76.400000000000006"/>
    <n v="4.7619047620000003"/>
    <n v="3.82"/>
    <n v="9.6"/>
    <d v="2019-03-08T00:00:00"/>
    <n v="3"/>
    <n v="10"/>
  </r>
  <r>
    <s v="631-41-3108"/>
    <x v="0"/>
    <s v="Yangon"/>
    <s v="Normal"/>
    <s v="Male"/>
    <s v="Home and lifestyle"/>
    <n v="46.33"/>
    <n v="7"/>
    <n v="16.215499999999999"/>
    <x v="2"/>
    <d v="2019-03-03T00:00:00"/>
    <d v="1899-12-30T13:23:00"/>
    <s v="Credit card"/>
    <n v="324.31"/>
    <n v="4.7619047620000003"/>
    <n v="16.215499999999999"/>
    <n v="7.4"/>
    <d v="2019-03-03T00:00:00"/>
    <n v="3"/>
    <n v="13"/>
  </r>
  <r>
    <s v="123-19-1176"/>
    <x v="0"/>
    <s v="Yangon"/>
    <s v="Member"/>
    <s v="Male"/>
    <s v="Health and beauty"/>
    <n v="58.22"/>
    <n v="8"/>
    <n v="23.288"/>
    <x v="3"/>
    <d v="2019-01-27T00:00:00"/>
    <d v="1899-12-30T20:33:00"/>
    <s v="Ewallet"/>
    <n v="465.76"/>
    <n v="4.7619047620000003"/>
    <n v="23.288"/>
    <n v="8.4"/>
    <d v="2019-01-27T00:00:00"/>
    <n v="1"/>
    <n v="20"/>
  </r>
  <r>
    <s v="373-73-7910"/>
    <x v="0"/>
    <s v="Yangon"/>
    <s v="Normal"/>
    <s v="Male"/>
    <s v="Sports and travel"/>
    <n v="86.31"/>
    <n v="7"/>
    <n v="30.208500000000001"/>
    <x v="4"/>
    <d v="2019-08-02T00:00:00"/>
    <d v="1899-12-30T10:37:00"/>
    <s v="Ewallet"/>
    <n v="604.16999999999996"/>
    <n v="4.7619047620000003"/>
    <n v="30.208500000000001"/>
    <n v="5.3"/>
    <d v="2019-02-08T00:00:00"/>
    <n v="2"/>
    <n v="10"/>
  </r>
  <r>
    <s v="699-14-3026"/>
    <x v="1"/>
    <s v="Naypyitaw"/>
    <s v="Normal"/>
    <s v="Male"/>
    <s v="Electronic accessories"/>
    <n v="85.39"/>
    <n v="7"/>
    <n v="29.886500000000002"/>
    <x v="5"/>
    <d v="2019-03-25T00:00:00"/>
    <d v="1899-12-30T18:30:00"/>
    <s v="Ewallet"/>
    <n v="597.73"/>
    <n v="4.7619047620000003"/>
    <n v="29.886500000000002"/>
    <n v="4.0999999999999996"/>
    <d v="2019-03-25T00:00:00"/>
    <n v="3"/>
    <n v="18"/>
  </r>
  <r>
    <s v="355-53-5943"/>
    <x v="0"/>
    <s v="Yangon"/>
    <s v="Member"/>
    <s v="Female"/>
    <s v="Electronic accessories"/>
    <n v="68.84"/>
    <n v="6"/>
    <n v="20.652000000000001"/>
    <x v="6"/>
    <d v="2019-02-25T00:00:00"/>
    <d v="1899-12-30T14:36:00"/>
    <s v="Ewallet"/>
    <n v="413.04"/>
    <n v="4.7619047620000003"/>
    <n v="20.652000000000001"/>
    <n v="5.8"/>
    <d v="2019-02-25T00:00:00"/>
    <n v="2"/>
    <n v="14"/>
  </r>
  <r>
    <s v="315-22-5665"/>
    <x v="1"/>
    <s v="Naypyitaw"/>
    <s v="Normal"/>
    <s v="Female"/>
    <s v="Home and lifestyle"/>
    <n v="73.56"/>
    <n v="10"/>
    <n v="36.78"/>
    <x v="7"/>
    <d v="2019-02-24T00:00:00"/>
    <d v="1899-12-30T11:38:00"/>
    <s v="Ewallet"/>
    <n v="735.6"/>
    <n v="4.7619047620000003"/>
    <n v="36.78"/>
    <n v="8"/>
    <d v="2019-02-24T00:00:00"/>
    <n v="2"/>
    <n v="11"/>
  </r>
  <r>
    <s v="665-32-9167"/>
    <x v="0"/>
    <s v="Yangon"/>
    <s v="Member"/>
    <s v="Female"/>
    <s v="Health and beauty"/>
    <n v="36.26"/>
    <n v="2"/>
    <n v="3.6259999999999999"/>
    <x v="8"/>
    <d v="2019-10-01T00:00:00"/>
    <d v="1899-12-30T17:15:00"/>
    <s v="Credit card"/>
    <n v="72.52"/>
    <n v="4.7619047620000003"/>
    <n v="3.6259999999999999"/>
    <n v="7.2"/>
    <d v="2019-01-10T00:00:00"/>
    <n v="1"/>
    <n v="17"/>
  </r>
  <r>
    <s v="692-92-5582"/>
    <x v="2"/>
    <s v="Mandalay"/>
    <s v="Member"/>
    <s v="Female"/>
    <s v="Food and beverages"/>
    <n v="54.84"/>
    <n v="3"/>
    <n v="8.2260000000000009"/>
    <x v="9"/>
    <d v="2019-01-20T00:00:00"/>
    <d v="1899-12-30T13:27:00"/>
    <s v="Credit card"/>
    <n v="164.52"/>
    <n v="4.7619047620000003"/>
    <n v="8.2260000000000009"/>
    <n v="5.9"/>
    <d v="2019-01-20T00:00:00"/>
    <n v="1"/>
    <n v="13"/>
  </r>
  <r>
    <s v="351-62-0822"/>
    <x v="2"/>
    <s v="Mandalay"/>
    <s v="Member"/>
    <s v="Female"/>
    <s v="Fashion accessories"/>
    <n v="14.48"/>
    <n v="4"/>
    <n v="2.8959999999999999"/>
    <x v="10"/>
    <d v="2019-02-06T00:00:00"/>
    <d v="1899-12-30T18:07:00"/>
    <s v="Ewallet"/>
    <n v="57.92"/>
    <n v="4.7619047620000003"/>
    <n v="2.8959999999999999"/>
    <n v="4.5"/>
    <d v="2019-06-02T00:00:00"/>
    <n v="6"/>
    <n v="18"/>
  </r>
  <r>
    <s v="529-56-3974"/>
    <x v="2"/>
    <s v="Mandalay"/>
    <s v="Member"/>
    <s v="Male"/>
    <s v="Electronic accessories"/>
    <n v="25.51"/>
    <n v="4"/>
    <n v="5.1020000000000003"/>
    <x v="11"/>
    <d v="2019-09-03T00:00:00"/>
    <d v="1899-12-30T17:03:00"/>
    <s v="Cash"/>
    <n v="102.04"/>
    <n v="4.7619047620000003"/>
    <n v="5.1020000000000003"/>
    <n v="6.8"/>
    <d v="2019-03-09T00:00:00"/>
    <n v="3"/>
    <n v="17"/>
  </r>
  <r>
    <s v="365-64-0515"/>
    <x v="0"/>
    <s v="Yangon"/>
    <s v="Normal"/>
    <s v="Female"/>
    <s v="Electronic accessories"/>
    <n v="46.95"/>
    <n v="5"/>
    <n v="11.737500000000001"/>
    <x v="12"/>
    <d v="2019-12-02T00:00:00"/>
    <d v="1899-12-30T10:25:00"/>
    <s v="Ewallet"/>
    <n v="234.75"/>
    <n v="4.7619047620000003"/>
    <n v="11.737500000000001"/>
    <n v="7.1"/>
    <d v="2019-02-12T00:00:00"/>
    <n v="2"/>
    <n v="10"/>
  </r>
  <r>
    <s v="252-56-2699"/>
    <x v="0"/>
    <s v="Yangon"/>
    <s v="Normal"/>
    <s v="Male"/>
    <s v="Food and beverages"/>
    <n v="43.19"/>
    <n v="10"/>
    <n v="21.594999999999999"/>
    <x v="13"/>
    <d v="2019-07-02T00:00:00"/>
    <d v="1899-12-30T16:48:00"/>
    <s v="Ewallet"/>
    <n v="431.9"/>
    <n v="4.7619047620000003"/>
    <n v="21.594999999999999"/>
    <n v="8.1999999999999993"/>
    <d v="2019-02-07T00:00:00"/>
    <n v="2"/>
    <n v="16"/>
  </r>
  <r>
    <s v="829-34-3910"/>
    <x v="0"/>
    <s v="Yangon"/>
    <s v="Normal"/>
    <s v="Female"/>
    <s v="Health and beauty"/>
    <n v="71.38"/>
    <n v="10"/>
    <n v="35.69"/>
    <x v="14"/>
    <s v="3/29/2019"/>
    <d v="1899-12-30T19:21:00"/>
    <s v="Cash"/>
    <n v="713.8"/>
    <n v="4.7619047620000003"/>
    <n v="35.69"/>
    <n v="5.7"/>
    <d v="2019-03-29T00:00:00"/>
    <n v="3"/>
    <n v="19"/>
  </r>
  <r>
    <s v="299-46-1805"/>
    <x v="2"/>
    <s v="Mandalay"/>
    <s v="Member"/>
    <s v="Female"/>
    <s v="Sports and travel"/>
    <n v="93.72"/>
    <n v="6"/>
    <n v="28.116"/>
    <x v="15"/>
    <s v="1/15/2019"/>
    <d v="1899-12-30T16:19:00"/>
    <s v="Cash"/>
    <n v="562.32000000000005"/>
    <n v="4.7619047620000003"/>
    <n v="28.116"/>
    <n v="4.5"/>
    <d v="2019-01-15T00:00:00"/>
    <n v="1"/>
    <n v="16"/>
  </r>
  <r>
    <s v="656-95-9349"/>
    <x v="0"/>
    <s v="Yangon"/>
    <s v="Member"/>
    <s v="Female"/>
    <s v="Health and beauty"/>
    <n v="68.930000000000007"/>
    <n v="7"/>
    <n v="24.125499999999999"/>
    <x v="16"/>
    <d v="2019-11-03T00:00:00"/>
    <d v="1899-12-30T11:03:00"/>
    <s v="Credit card"/>
    <n v="482.51"/>
    <n v="4.7619047620000003"/>
    <n v="24.125499999999999"/>
    <n v="4.5999999999999996"/>
    <d v="2019-03-11T00:00:00"/>
    <n v="3"/>
    <n v="11"/>
  </r>
  <r>
    <s v="765-26-6951"/>
    <x v="0"/>
    <s v="Yangon"/>
    <s v="Normal"/>
    <s v="Male"/>
    <s v="Sports and travel"/>
    <n v="72.61"/>
    <n v="6"/>
    <n v="21.783000000000001"/>
    <x v="17"/>
    <d v="2019-01-01T00:00:00"/>
    <d v="1899-12-30T10:39:00"/>
    <s v="Credit card"/>
    <n v="435.66"/>
    <n v="4.7619047620000003"/>
    <n v="21.783000000000001"/>
    <n v="6.9"/>
    <d v="2019-01-01T00:00:00"/>
    <n v="1"/>
    <n v="10"/>
  </r>
  <r>
    <s v="329-62-1586"/>
    <x v="0"/>
    <s v="Yangon"/>
    <s v="Normal"/>
    <s v="Male"/>
    <s v="Food and beverages"/>
    <n v="54.67"/>
    <n v="3"/>
    <n v="8.2004999999999999"/>
    <x v="18"/>
    <s v="1/21/2019"/>
    <d v="1899-12-30T18:00:00"/>
    <s v="Credit card"/>
    <n v="164.01"/>
    <n v="4.7619047620000003"/>
    <n v="8.2004999999999999"/>
    <n v="8.6"/>
    <d v="2019-01-21T00:00:00"/>
    <n v="1"/>
    <n v="18"/>
  </r>
  <r>
    <s v="319-50-3348"/>
    <x v="2"/>
    <s v="Mandalay"/>
    <s v="Normal"/>
    <s v="Female"/>
    <s v="Home and lifestyle"/>
    <n v="40.299999999999997"/>
    <n v="2"/>
    <n v="4.03"/>
    <x v="19"/>
    <d v="2019-11-03T00:00:00"/>
    <d v="1899-12-30T15:30:00"/>
    <s v="Ewallet"/>
    <n v="80.599999999999994"/>
    <n v="4.7619047620000003"/>
    <n v="4.03"/>
    <n v="4.4000000000000004"/>
    <d v="2019-03-11T00:00:00"/>
    <n v="3"/>
    <n v="15"/>
  </r>
  <r>
    <s v="300-71-4605"/>
    <x v="1"/>
    <s v="Naypyitaw"/>
    <s v="Member"/>
    <s v="Male"/>
    <s v="Electronic accessories"/>
    <n v="86.04"/>
    <n v="5"/>
    <n v="21.51"/>
    <x v="20"/>
    <s v="2/25/2019"/>
    <d v="1899-12-30T11:24:00"/>
    <s v="Ewallet"/>
    <n v="430.2"/>
    <n v="4.7619047620000003"/>
    <n v="21.51"/>
    <n v="4.8"/>
    <d v="2019-02-25T00:00:00"/>
    <n v="2"/>
    <n v="11"/>
  </r>
  <r>
    <s v="371-85-5789"/>
    <x v="2"/>
    <s v="Mandalay"/>
    <s v="Normal"/>
    <s v="Male"/>
    <s v="Health and beauty"/>
    <n v="87.98"/>
    <n v="3"/>
    <n v="13.196999999999999"/>
    <x v="21"/>
    <d v="2019-05-03T00:00:00"/>
    <d v="1899-12-30T10:40:00"/>
    <s v="Ewallet"/>
    <n v="263.94"/>
    <n v="4.7619047620000003"/>
    <n v="13.196999999999999"/>
    <n v="5.0999999999999996"/>
    <d v="2019-03-05T00:00:00"/>
    <n v="3"/>
    <n v="10"/>
  </r>
  <r>
    <s v="273-16-6619"/>
    <x v="2"/>
    <s v="Mandalay"/>
    <s v="Normal"/>
    <s v="Male"/>
    <s v="Home and lifestyle"/>
    <n v="33.200000000000003"/>
    <n v="2"/>
    <n v="3.32"/>
    <x v="22"/>
    <s v="3/15/2019"/>
    <d v="1899-12-30T12:20:00"/>
    <s v="Credit card"/>
    <n v="66.400000000000006"/>
    <n v="4.7619047620000003"/>
    <n v="3.32"/>
    <n v="4.4000000000000004"/>
    <d v="2019-03-15T00:00:00"/>
    <n v="3"/>
    <n v="12"/>
  </r>
  <r>
    <s v="636-48-8204"/>
    <x v="0"/>
    <s v="Yangon"/>
    <s v="Normal"/>
    <s v="Male"/>
    <s v="Electronic accessories"/>
    <n v="34.56"/>
    <n v="5"/>
    <n v="8.64"/>
    <x v="23"/>
    <s v="2/17/2019"/>
    <d v="1899-12-30T11:15:00"/>
    <s v="Ewallet"/>
    <n v="172.8"/>
    <n v="4.7619047620000003"/>
    <n v="8.64"/>
    <n v="9.9"/>
    <d v="2019-02-17T00:00:00"/>
    <n v="2"/>
    <n v="11"/>
  </r>
  <r>
    <s v="549-59-1358"/>
    <x v="0"/>
    <s v="Yangon"/>
    <s v="Member"/>
    <s v="Male"/>
    <s v="Sports and travel"/>
    <n v="88.63"/>
    <n v="3"/>
    <n v="13.294499999999999"/>
    <x v="24"/>
    <d v="2019-02-03T00:00:00"/>
    <d v="1899-12-30T17:36:00"/>
    <s v="Ewallet"/>
    <n v="265.89"/>
    <n v="4.7619047620000003"/>
    <n v="13.294499999999999"/>
    <n v="6"/>
    <d v="2019-03-02T00:00:00"/>
    <n v="3"/>
    <n v="17"/>
  </r>
  <r>
    <s v="227-03-5010"/>
    <x v="0"/>
    <s v="Yangon"/>
    <s v="Member"/>
    <s v="Female"/>
    <s v="Home and lifestyle"/>
    <n v="52.59"/>
    <n v="8"/>
    <n v="21.036000000000001"/>
    <x v="25"/>
    <s v="3/22/2019"/>
    <d v="1899-12-30T19:20:00"/>
    <s v="Credit card"/>
    <n v="420.72"/>
    <n v="4.7619047620000003"/>
    <n v="21.036000000000001"/>
    <n v="8.5"/>
    <d v="2019-03-22T00:00:00"/>
    <n v="3"/>
    <n v="19"/>
  </r>
  <r>
    <s v="649-29-6775"/>
    <x v="2"/>
    <s v="Mandalay"/>
    <s v="Normal"/>
    <s v="Male"/>
    <s v="Fashion accessories"/>
    <n v="33.520000000000003"/>
    <n v="1"/>
    <n v="1.6759999999999999"/>
    <x v="26"/>
    <d v="2019-08-02T00:00:00"/>
    <d v="1899-12-30T15:31:00"/>
    <s v="Cash"/>
    <n v="33.520000000000003"/>
    <n v="4.7619047620000003"/>
    <n v="1.6759999999999999"/>
    <n v="6.7"/>
    <d v="2019-02-08T00:00:00"/>
    <n v="2"/>
    <n v="15"/>
  </r>
  <r>
    <s v="189-17-4241"/>
    <x v="0"/>
    <s v="Yangon"/>
    <s v="Normal"/>
    <s v="Female"/>
    <s v="Fashion accessories"/>
    <n v="87.67"/>
    <n v="2"/>
    <n v="8.7669999999999995"/>
    <x v="27"/>
    <d v="2019-10-03T00:00:00"/>
    <d v="1899-12-30T12:17:00"/>
    <s v="Credit card"/>
    <n v="175.34"/>
    <n v="4.7619047620000003"/>
    <n v="8.7669999999999995"/>
    <n v="7.7"/>
    <d v="2019-03-10T00:00:00"/>
    <n v="3"/>
    <n v="12"/>
  </r>
  <r>
    <s v="145-94-9061"/>
    <x v="2"/>
    <s v="Mandalay"/>
    <s v="Normal"/>
    <s v="Female"/>
    <s v="Food and beverages"/>
    <n v="88.36"/>
    <n v="5"/>
    <n v="22.09"/>
    <x v="28"/>
    <s v="1/25/2019"/>
    <d v="1899-12-30T19:48:00"/>
    <s v="Cash"/>
    <n v="441.8"/>
    <n v="4.7619047620000003"/>
    <n v="22.09"/>
    <n v="9.6"/>
    <d v="2019-01-25T00:00:00"/>
    <n v="1"/>
    <n v="19"/>
  </r>
  <r>
    <s v="848-62-7243"/>
    <x v="0"/>
    <s v="Yangon"/>
    <s v="Normal"/>
    <s v="Male"/>
    <s v="Health and beauty"/>
    <n v="24.89"/>
    <n v="9"/>
    <n v="11.2005"/>
    <x v="29"/>
    <s v="3/15/2019"/>
    <d v="1899-12-30T15:36:00"/>
    <s v="Cash"/>
    <n v="224.01"/>
    <n v="4.7619047620000003"/>
    <n v="11.2005"/>
    <n v="7.4"/>
    <d v="2019-03-15T00:00:00"/>
    <n v="3"/>
    <n v="15"/>
  </r>
  <r>
    <s v="871-79-8483"/>
    <x v="2"/>
    <s v="Mandalay"/>
    <s v="Normal"/>
    <s v="Male"/>
    <s v="Fashion accessories"/>
    <n v="94.13"/>
    <n v="5"/>
    <n v="23.532499999999999"/>
    <x v="30"/>
    <s v="2/25/2019"/>
    <d v="1899-12-30T19:39:00"/>
    <s v="Credit card"/>
    <n v="470.65"/>
    <n v="4.7619047620000003"/>
    <n v="23.532499999999999"/>
    <n v="4.8"/>
    <d v="2019-02-25T00:00:00"/>
    <n v="2"/>
    <n v="19"/>
  </r>
  <r>
    <s v="149-71-6266"/>
    <x v="2"/>
    <s v="Mandalay"/>
    <s v="Member"/>
    <s v="Male"/>
    <s v="Sports and travel"/>
    <n v="78.069999999999993"/>
    <n v="9"/>
    <n v="35.131500000000003"/>
    <x v="31"/>
    <s v="1/28/2019"/>
    <d v="1899-12-30T12:43:00"/>
    <s v="Cash"/>
    <n v="702.63"/>
    <n v="4.7619047620000003"/>
    <n v="35.131500000000003"/>
    <n v="4.5"/>
    <d v="2019-01-28T00:00:00"/>
    <n v="1"/>
    <n v="12"/>
  </r>
  <r>
    <s v="640-49-2076"/>
    <x v="2"/>
    <s v="Mandalay"/>
    <s v="Normal"/>
    <s v="Male"/>
    <s v="Sports and travel"/>
    <n v="83.78"/>
    <n v="8"/>
    <n v="33.512"/>
    <x v="32"/>
    <d v="2019-10-01T00:00:00"/>
    <d v="1899-12-30T14:49:00"/>
    <s v="Cash"/>
    <n v="670.24"/>
    <n v="4.7619047620000003"/>
    <n v="33.512"/>
    <n v="5.0999999999999996"/>
    <d v="2019-01-10T00:00:00"/>
    <n v="1"/>
    <n v="14"/>
  </r>
  <r>
    <s v="595-11-5460"/>
    <x v="0"/>
    <s v="Yangon"/>
    <s v="Normal"/>
    <s v="Male"/>
    <s v="Health and beauty"/>
    <n v="96.58"/>
    <n v="2"/>
    <n v="9.6579999999999995"/>
    <x v="33"/>
    <s v="3/15/2019"/>
    <d v="1899-12-30T10:12:00"/>
    <s v="Credit card"/>
    <n v="193.16"/>
    <n v="4.7619047620000003"/>
    <n v="9.6579999999999995"/>
    <n v="5.0999999999999996"/>
    <d v="2019-03-15T00:00:00"/>
    <n v="3"/>
    <n v="10"/>
  </r>
  <r>
    <s v="183-56-6882"/>
    <x v="1"/>
    <s v="Naypyitaw"/>
    <s v="Member"/>
    <s v="Female"/>
    <s v="Food and beverages"/>
    <n v="99.42"/>
    <n v="4"/>
    <n v="19.884"/>
    <x v="34"/>
    <d v="2019-06-02T00:00:00"/>
    <d v="1899-12-30T10:42:00"/>
    <s v="Ewallet"/>
    <n v="397.68"/>
    <n v="4.7619047620000003"/>
    <n v="19.884"/>
    <n v="7.5"/>
    <d v="2019-02-06T00:00:00"/>
    <n v="2"/>
    <n v="10"/>
  </r>
  <r>
    <s v="232-16-2483"/>
    <x v="1"/>
    <s v="Naypyitaw"/>
    <s v="Member"/>
    <s v="Female"/>
    <s v="Sports and travel"/>
    <n v="68.12"/>
    <n v="1"/>
    <n v="3.4060000000000001"/>
    <x v="35"/>
    <d v="2019-07-01T00:00:00"/>
    <d v="1899-12-30T12:28:00"/>
    <s v="Ewallet"/>
    <n v="68.12"/>
    <n v="4.7619047620000003"/>
    <n v="3.4060000000000001"/>
    <n v="6.8"/>
    <d v="2019-01-07T00:00:00"/>
    <n v="1"/>
    <n v="12"/>
  </r>
  <r>
    <s v="129-29-8530"/>
    <x v="0"/>
    <s v="Yangon"/>
    <s v="Member"/>
    <s v="Male"/>
    <s v="Sports and travel"/>
    <n v="62.62"/>
    <n v="5"/>
    <n v="15.654999999999999"/>
    <x v="36"/>
    <d v="2019-10-03T00:00:00"/>
    <d v="1899-12-30T19:15:00"/>
    <s v="Ewallet"/>
    <n v="313.10000000000002"/>
    <n v="4.7619047620000003"/>
    <n v="15.654999999999999"/>
    <n v="7"/>
    <d v="2019-03-10T00:00:00"/>
    <n v="3"/>
    <n v="19"/>
  </r>
  <r>
    <s v="272-65-1806"/>
    <x v="0"/>
    <s v="Yangon"/>
    <s v="Normal"/>
    <s v="Female"/>
    <s v="Electronic accessories"/>
    <n v="60.88"/>
    <n v="9"/>
    <n v="27.396000000000001"/>
    <x v="37"/>
    <s v="1/15/2019"/>
    <d v="1899-12-30T17:17:00"/>
    <s v="Ewallet"/>
    <n v="547.91999999999996"/>
    <n v="4.7619047620000003"/>
    <n v="27.396000000000001"/>
    <n v="4.7"/>
    <d v="2019-01-15T00:00:00"/>
    <n v="1"/>
    <n v="17"/>
  </r>
  <r>
    <s v="333-73-7901"/>
    <x v="1"/>
    <s v="Naypyitaw"/>
    <s v="Normal"/>
    <s v="Female"/>
    <s v="Health and beauty"/>
    <n v="54.92"/>
    <n v="8"/>
    <n v="21.968"/>
    <x v="38"/>
    <s v="3/23/2019"/>
    <d v="1899-12-30T13:24:00"/>
    <s v="Ewallet"/>
    <n v="439.36"/>
    <n v="4.7619047620000003"/>
    <n v="21.968"/>
    <n v="7.6"/>
    <d v="2019-03-23T00:00:00"/>
    <n v="3"/>
    <n v="13"/>
  </r>
  <r>
    <s v="777-82-7220"/>
    <x v="2"/>
    <s v="Mandalay"/>
    <s v="Member"/>
    <s v="Male"/>
    <s v="Home and lifestyle"/>
    <n v="30.12"/>
    <n v="8"/>
    <n v="12.048"/>
    <x v="39"/>
    <d v="2019-03-03T00:00:00"/>
    <d v="1899-12-30T13:01:00"/>
    <s v="Cash"/>
    <n v="240.96"/>
    <n v="4.7619047620000003"/>
    <n v="12.048"/>
    <n v="7.7"/>
    <d v="2019-03-03T00:00:00"/>
    <n v="3"/>
    <n v="13"/>
  </r>
  <r>
    <s v="280-35-5823"/>
    <x v="2"/>
    <s v="Mandalay"/>
    <s v="Member"/>
    <s v="Female"/>
    <s v="Home and lifestyle"/>
    <n v="86.72"/>
    <n v="1"/>
    <n v="4.3360000000000003"/>
    <x v="40"/>
    <s v="1/17/2019"/>
    <d v="1899-12-30T18:45:00"/>
    <s v="Ewallet"/>
    <n v="86.72"/>
    <n v="4.7619047620000003"/>
    <n v="4.3360000000000003"/>
    <n v="7.9"/>
    <d v="2019-01-17T00:00:00"/>
    <n v="1"/>
    <n v="18"/>
  </r>
  <r>
    <s v="554-53-8700"/>
    <x v="1"/>
    <s v="Naypyitaw"/>
    <s v="Member"/>
    <s v="Male"/>
    <s v="Home and lifestyle"/>
    <n v="56.11"/>
    <n v="2"/>
    <n v="5.6109999999999998"/>
    <x v="41"/>
    <d v="2019-02-02T00:00:00"/>
    <d v="1899-12-30T10:11:00"/>
    <s v="Cash"/>
    <n v="112.22"/>
    <n v="4.7619047620000003"/>
    <n v="5.6109999999999998"/>
    <n v="6.3"/>
    <d v="2019-02-02T00:00:00"/>
    <n v="2"/>
    <n v="10"/>
  </r>
  <r>
    <s v="354-25-5821"/>
    <x v="2"/>
    <s v="Mandalay"/>
    <s v="Member"/>
    <s v="Female"/>
    <s v="Sports and travel"/>
    <n v="69.12"/>
    <n v="6"/>
    <n v="20.736000000000001"/>
    <x v="42"/>
    <d v="2019-08-02T00:00:00"/>
    <d v="1899-12-30T13:03:00"/>
    <s v="Cash"/>
    <n v="414.72"/>
    <n v="4.7619047620000003"/>
    <n v="20.736000000000001"/>
    <n v="5.6"/>
    <d v="2019-02-08T00:00:00"/>
    <n v="2"/>
    <n v="13"/>
  </r>
  <r>
    <s v="228-96-1411"/>
    <x v="1"/>
    <s v="Naypyitaw"/>
    <s v="Member"/>
    <s v="Female"/>
    <s v="Food and beverages"/>
    <n v="98.7"/>
    <n v="8"/>
    <n v="39.479999999999997"/>
    <x v="43"/>
    <d v="2019-04-03T00:00:00"/>
    <d v="1899-12-30T20:39:00"/>
    <s v="Cash"/>
    <n v="789.6"/>
    <n v="4.7619047620000003"/>
    <n v="39.479999999999997"/>
    <n v="7.6"/>
    <d v="2019-03-04T00:00:00"/>
    <n v="3"/>
    <n v="20"/>
  </r>
  <r>
    <s v="617-15-4209"/>
    <x v="1"/>
    <s v="Naypyitaw"/>
    <s v="Member"/>
    <s v="Male"/>
    <s v="Health and beauty"/>
    <n v="15.37"/>
    <n v="2"/>
    <n v="1.5369999999999999"/>
    <x v="44"/>
    <s v="3/16/2019"/>
    <d v="1899-12-30T19:47:00"/>
    <s v="Cash"/>
    <n v="30.74"/>
    <n v="4.7619047620000003"/>
    <n v="1.5369999999999999"/>
    <n v="7.2"/>
    <d v="2019-03-16T00:00:00"/>
    <n v="3"/>
    <n v="19"/>
  </r>
  <r>
    <s v="132-32-9879"/>
    <x v="2"/>
    <s v="Mandalay"/>
    <s v="Member"/>
    <s v="Female"/>
    <s v="Electronic accessories"/>
    <n v="93.96"/>
    <n v="4"/>
    <n v="18.792000000000002"/>
    <x v="45"/>
    <d v="2019-09-03T00:00:00"/>
    <d v="1899-12-30T18:00:00"/>
    <s v="Cash"/>
    <n v="375.84"/>
    <n v="4.7619047620000003"/>
    <n v="18.792000000000002"/>
    <n v="9.5"/>
    <d v="2019-03-09T00:00:00"/>
    <n v="3"/>
    <n v="18"/>
  </r>
  <r>
    <s v="370-41-7321"/>
    <x v="2"/>
    <s v="Mandalay"/>
    <s v="Member"/>
    <s v="Male"/>
    <s v="Health and beauty"/>
    <n v="56.69"/>
    <n v="9"/>
    <n v="25.5105"/>
    <x v="46"/>
    <s v="2/27/2019"/>
    <d v="1899-12-30T17:24:00"/>
    <s v="Credit card"/>
    <n v="510.21"/>
    <n v="4.7619047620000003"/>
    <n v="25.5105"/>
    <n v="8.4"/>
    <d v="2019-02-27T00:00:00"/>
    <n v="2"/>
    <n v="17"/>
  </r>
  <r>
    <s v="727-46-3608"/>
    <x v="2"/>
    <s v="Mandalay"/>
    <s v="Member"/>
    <s v="Female"/>
    <s v="Food and beverages"/>
    <n v="20.010000000000002"/>
    <n v="9"/>
    <n v="9.0045000000000002"/>
    <x v="47"/>
    <d v="2019-06-02T00:00:00"/>
    <d v="1899-12-30T15:47:00"/>
    <s v="Ewallet"/>
    <n v="180.09"/>
    <n v="4.7619047620000003"/>
    <n v="9.0045000000000002"/>
    <n v="4.0999999999999996"/>
    <d v="2019-02-06T00:00:00"/>
    <n v="2"/>
    <n v="15"/>
  </r>
  <r>
    <s v="669-54-1719"/>
    <x v="2"/>
    <s v="Mandalay"/>
    <s v="Member"/>
    <s v="Male"/>
    <s v="Electronic accessories"/>
    <n v="18.93"/>
    <n v="6"/>
    <n v="5.6790000000000003"/>
    <x v="48"/>
    <d v="2019-10-02T00:00:00"/>
    <d v="1899-12-30T12:45:00"/>
    <s v="Credit card"/>
    <n v="113.58"/>
    <n v="4.7619047620000003"/>
    <n v="5.6790000000000003"/>
    <n v="8.1"/>
    <d v="2019-02-10T00:00:00"/>
    <n v="2"/>
    <n v="12"/>
  </r>
  <r>
    <s v="574-22-5561"/>
    <x v="1"/>
    <s v="Naypyitaw"/>
    <s v="Member"/>
    <s v="Female"/>
    <s v="Fashion accessories"/>
    <n v="82.63"/>
    <n v="10"/>
    <n v="41.314999999999998"/>
    <x v="49"/>
    <s v="3/19/2019"/>
    <d v="1899-12-30T17:08:00"/>
    <s v="Ewallet"/>
    <n v="826.3"/>
    <n v="4.7619047620000003"/>
    <n v="41.314999999999998"/>
    <n v="7.9"/>
    <d v="2019-03-19T00:00:00"/>
    <n v="3"/>
    <n v="17"/>
  </r>
  <r>
    <s v="326-78-5178"/>
    <x v="1"/>
    <s v="Naypyitaw"/>
    <s v="Member"/>
    <s v="Male"/>
    <s v="Food and beverages"/>
    <n v="91.4"/>
    <n v="7"/>
    <n v="31.99"/>
    <x v="50"/>
    <d v="2019-03-02T00:00:00"/>
    <d v="1899-12-30T10:19:00"/>
    <s v="Cash"/>
    <n v="639.79999999999995"/>
    <n v="4.7619047620000003"/>
    <n v="31.99"/>
    <n v="9.5"/>
    <d v="2019-02-03T00:00:00"/>
    <n v="2"/>
    <n v="10"/>
  </r>
  <r>
    <s v="162-48-8011"/>
    <x v="0"/>
    <s v="Yangon"/>
    <s v="Member"/>
    <s v="Female"/>
    <s v="Food and beverages"/>
    <n v="44.59"/>
    <n v="5"/>
    <n v="11.147500000000001"/>
    <x v="51"/>
    <d v="2019-10-02T00:00:00"/>
    <d v="1899-12-30T15:10:00"/>
    <s v="Cash"/>
    <n v="222.95"/>
    <n v="4.7619047620000003"/>
    <n v="11.147500000000001"/>
    <n v="8.5"/>
    <d v="2019-02-10T00:00:00"/>
    <n v="2"/>
    <n v="15"/>
  </r>
  <r>
    <s v="616-24-2851"/>
    <x v="2"/>
    <s v="Mandalay"/>
    <s v="Member"/>
    <s v="Female"/>
    <s v="Fashion accessories"/>
    <n v="17.87"/>
    <n v="4"/>
    <n v="3.5739999999999998"/>
    <x v="52"/>
    <s v="3/22/2019"/>
    <d v="1899-12-30T14:42:00"/>
    <s v="Ewallet"/>
    <n v="71.48"/>
    <n v="4.7619047620000003"/>
    <n v="3.5739999999999998"/>
    <n v="6.5"/>
    <d v="2019-03-22T00:00:00"/>
    <n v="3"/>
    <n v="14"/>
  </r>
  <r>
    <s v="778-71-5554"/>
    <x v="1"/>
    <s v="Naypyitaw"/>
    <s v="Member"/>
    <s v="Male"/>
    <s v="Fashion accessories"/>
    <n v="15.43"/>
    <n v="1"/>
    <n v="0.77149999999999996"/>
    <x v="53"/>
    <s v="1/25/2019"/>
    <d v="1899-12-30T15:46:00"/>
    <s v="Credit card"/>
    <n v="15.43"/>
    <n v="4.7619047620000003"/>
    <n v="0.77149999999999996"/>
    <n v="6.1"/>
    <d v="2019-01-25T00:00:00"/>
    <n v="1"/>
    <n v="15"/>
  </r>
  <r>
    <s v="242-55-6721"/>
    <x v="2"/>
    <s v="Mandalay"/>
    <s v="Normal"/>
    <s v="Male"/>
    <s v="Home and lifestyle"/>
    <n v="16.16"/>
    <n v="2"/>
    <n v="1.6160000000000001"/>
    <x v="54"/>
    <d v="2019-07-03T00:00:00"/>
    <d v="1899-12-30T11:49:00"/>
    <s v="Ewallet"/>
    <n v="32.32"/>
    <n v="4.7619047620000003"/>
    <n v="1.6160000000000001"/>
    <n v="6.5"/>
    <d v="2019-03-07T00:00:00"/>
    <n v="3"/>
    <n v="11"/>
  </r>
  <r>
    <s v="399-46-5918"/>
    <x v="1"/>
    <s v="Naypyitaw"/>
    <s v="Normal"/>
    <s v="Female"/>
    <s v="Electronic accessories"/>
    <n v="85.98"/>
    <n v="8"/>
    <n v="34.392000000000003"/>
    <x v="55"/>
    <s v="2/28/2019"/>
    <d v="1899-12-30T19:01:00"/>
    <s v="Cash"/>
    <n v="687.84"/>
    <n v="4.7619047620000003"/>
    <n v="34.392000000000003"/>
    <n v="8.1999999999999993"/>
    <d v="2019-02-28T00:00:00"/>
    <n v="2"/>
    <n v="19"/>
  </r>
  <r>
    <s v="106-35-6779"/>
    <x v="0"/>
    <s v="Yangon"/>
    <s v="Member"/>
    <s v="Male"/>
    <s v="Home and lifestyle"/>
    <n v="44.34"/>
    <n v="2"/>
    <n v="4.4340000000000002"/>
    <x v="56"/>
    <s v="3/27/2019"/>
    <d v="1899-12-30T11:26:00"/>
    <s v="Cash"/>
    <n v="88.68"/>
    <n v="4.7619047620000003"/>
    <n v="4.4340000000000002"/>
    <n v="5.8"/>
    <d v="2019-03-27T00:00:00"/>
    <n v="3"/>
    <n v="11"/>
  </r>
  <r>
    <s v="635-40-6220"/>
    <x v="0"/>
    <s v="Yangon"/>
    <s v="Normal"/>
    <s v="Male"/>
    <s v="Health and beauty"/>
    <n v="89.6"/>
    <n v="8"/>
    <n v="35.840000000000003"/>
    <x v="57"/>
    <d v="2019-07-02T00:00:00"/>
    <d v="1899-12-30T11:28:00"/>
    <s v="Ewallet"/>
    <n v="716.8"/>
    <n v="4.7619047620000003"/>
    <n v="35.840000000000003"/>
    <n v="6.6"/>
    <d v="2019-02-07T00:00:00"/>
    <n v="2"/>
    <n v="11"/>
  </r>
  <r>
    <s v="817-48-8732"/>
    <x v="0"/>
    <s v="Yangon"/>
    <s v="Member"/>
    <s v="Female"/>
    <s v="Home and lifestyle"/>
    <n v="72.349999999999994"/>
    <n v="10"/>
    <n v="36.174999999999997"/>
    <x v="58"/>
    <s v="1/20/2019"/>
    <d v="1899-12-30T15:55:00"/>
    <s v="Cash"/>
    <n v="723.5"/>
    <n v="4.7619047620000003"/>
    <n v="36.174999999999997"/>
    <n v="5.4"/>
    <d v="2019-01-20T00:00:00"/>
    <n v="1"/>
    <n v="15"/>
  </r>
  <r>
    <s v="120-06-4233"/>
    <x v="1"/>
    <s v="Naypyitaw"/>
    <s v="Normal"/>
    <s v="Male"/>
    <s v="Electronic accessories"/>
    <n v="30.61"/>
    <n v="6"/>
    <n v="9.1829999999999998"/>
    <x v="59"/>
    <d v="2019-12-03T00:00:00"/>
    <d v="1899-12-30T20:36:00"/>
    <s v="Cash"/>
    <n v="183.66"/>
    <n v="4.7619047620000003"/>
    <n v="9.1829999999999998"/>
    <n v="9.3000000000000007"/>
    <d v="2019-03-12T00:00:00"/>
    <n v="3"/>
    <n v="20"/>
  </r>
  <r>
    <s v="285-68-5083"/>
    <x v="1"/>
    <s v="Naypyitaw"/>
    <s v="Member"/>
    <s v="Female"/>
    <s v="Sports and travel"/>
    <n v="24.74"/>
    <n v="3"/>
    <n v="3.7109999999999999"/>
    <x v="60"/>
    <s v="2/15/2019"/>
    <d v="1899-12-30T17:47:00"/>
    <s v="Credit card"/>
    <n v="74.22"/>
    <n v="4.7619047620000003"/>
    <n v="3.7109999999999999"/>
    <n v="10"/>
    <d v="2019-02-15T00:00:00"/>
    <n v="2"/>
    <n v="17"/>
  </r>
  <r>
    <s v="803-83-5989"/>
    <x v="1"/>
    <s v="Naypyitaw"/>
    <s v="Normal"/>
    <s v="Male"/>
    <s v="Home and lifestyle"/>
    <n v="55.73"/>
    <n v="6"/>
    <n v="16.719000000000001"/>
    <x v="61"/>
    <s v="2/24/2019"/>
    <d v="1899-12-30T10:55:00"/>
    <s v="Ewallet"/>
    <n v="334.38"/>
    <n v="4.7619047620000003"/>
    <n v="16.719000000000001"/>
    <n v="7"/>
    <d v="2019-02-24T00:00:00"/>
    <n v="2"/>
    <n v="10"/>
  </r>
  <r>
    <s v="347-34-2234"/>
    <x v="2"/>
    <s v="Mandalay"/>
    <s v="Member"/>
    <s v="Female"/>
    <s v="Sports and travel"/>
    <n v="55.07"/>
    <n v="9"/>
    <n v="24.781500000000001"/>
    <x v="62"/>
    <d v="2019-03-02T00:00:00"/>
    <d v="1899-12-30T13:40:00"/>
    <s v="Ewallet"/>
    <n v="495.63"/>
    <n v="4.7619047620000003"/>
    <n v="24.781500000000001"/>
    <n v="10"/>
    <d v="2019-02-03T00:00:00"/>
    <n v="2"/>
    <n v="13"/>
  </r>
  <r>
    <s v="199-75-8169"/>
    <x v="0"/>
    <s v="Yangon"/>
    <s v="Member"/>
    <s v="Male"/>
    <s v="Sports and travel"/>
    <n v="15.81"/>
    <n v="10"/>
    <n v="7.9050000000000002"/>
    <x v="63"/>
    <d v="2019-06-03T00:00:00"/>
    <d v="1899-12-30T12:27:00"/>
    <s v="Credit card"/>
    <n v="158.1"/>
    <n v="4.7619047620000003"/>
    <n v="7.9050000000000002"/>
    <n v="8.6"/>
    <d v="2019-03-06T00:00:00"/>
    <n v="3"/>
    <n v="12"/>
  </r>
  <r>
    <s v="853-23-2453"/>
    <x v="2"/>
    <s v="Mandalay"/>
    <s v="Member"/>
    <s v="Male"/>
    <s v="Health and beauty"/>
    <n v="75.739999999999995"/>
    <n v="4"/>
    <n v="15.148"/>
    <x v="64"/>
    <s v="2/14/2019"/>
    <d v="1899-12-30T14:35:00"/>
    <s v="Cash"/>
    <n v="302.95999999999998"/>
    <n v="4.7619047620000003"/>
    <n v="15.148"/>
    <n v="7.6"/>
    <d v="2019-02-14T00:00:00"/>
    <n v="2"/>
    <n v="14"/>
  </r>
  <r>
    <s v="877-22-3308"/>
    <x v="0"/>
    <s v="Yangon"/>
    <s v="Member"/>
    <s v="Male"/>
    <s v="Health and beauty"/>
    <n v="15.87"/>
    <n v="10"/>
    <n v="7.9349999999999996"/>
    <x v="65"/>
    <s v="3/13/2019"/>
    <d v="1899-12-30T16:40:00"/>
    <s v="Cash"/>
    <n v="158.69999999999999"/>
    <n v="4.7619047620000003"/>
    <n v="7.9349999999999996"/>
    <n v="5.8"/>
    <d v="2019-03-13T00:00:00"/>
    <n v="3"/>
    <n v="16"/>
  </r>
  <r>
    <s v="838-78-4295"/>
    <x v="1"/>
    <s v="Naypyitaw"/>
    <s v="Normal"/>
    <s v="Female"/>
    <s v="Health and beauty"/>
    <n v="33.47"/>
    <n v="2"/>
    <n v="3.347"/>
    <x v="66"/>
    <d v="2019-10-02T00:00:00"/>
    <d v="1899-12-30T15:43:00"/>
    <s v="Ewallet"/>
    <n v="66.94"/>
    <n v="4.7619047620000003"/>
    <n v="3.347"/>
    <n v="6.7"/>
    <d v="2019-02-10T00:00:00"/>
    <n v="2"/>
    <n v="15"/>
  </r>
  <r>
    <s v="109-28-2512"/>
    <x v="2"/>
    <s v="Mandalay"/>
    <s v="Member"/>
    <s v="Female"/>
    <s v="Fashion accessories"/>
    <n v="97.61"/>
    <n v="6"/>
    <n v="29.283000000000001"/>
    <x v="67"/>
    <d v="2019-07-01T00:00:00"/>
    <d v="1899-12-30T15:01:00"/>
    <s v="Ewallet"/>
    <n v="585.66"/>
    <n v="4.7619047620000003"/>
    <n v="29.283000000000001"/>
    <n v="9.9"/>
    <d v="2019-01-07T00:00:00"/>
    <n v="1"/>
    <n v="15"/>
  </r>
  <r>
    <s v="232-11-3025"/>
    <x v="0"/>
    <s v="Yangon"/>
    <s v="Normal"/>
    <s v="Male"/>
    <s v="Sports and travel"/>
    <n v="78.77"/>
    <n v="10"/>
    <n v="39.384999999999998"/>
    <x v="68"/>
    <s v="1/24/2019"/>
    <d v="1899-12-30T10:04:00"/>
    <s v="Cash"/>
    <n v="787.7"/>
    <n v="4.7619047620000003"/>
    <n v="39.384999999999998"/>
    <n v="6.4"/>
    <d v="2019-01-24T00:00:00"/>
    <n v="1"/>
    <n v="10"/>
  </r>
  <r>
    <s v="382-03-4532"/>
    <x v="0"/>
    <s v="Yangon"/>
    <s v="Member"/>
    <s v="Female"/>
    <s v="Health and beauty"/>
    <n v="18.329999999999998"/>
    <n v="1"/>
    <n v="0.91649999999999998"/>
    <x v="69"/>
    <d v="2019-02-02T00:00:00"/>
    <d v="1899-12-30T18:50:00"/>
    <s v="Cash"/>
    <n v="18.329999999999998"/>
    <n v="4.7619047620000003"/>
    <n v="0.91649999999999998"/>
    <n v="4.3"/>
    <d v="2019-02-02T00:00:00"/>
    <n v="2"/>
    <n v="18"/>
  </r>
  <r>
    <s v="393-65-2792"/>
    <x v="1"/>
    <s v="Naypyitaw"/>
    <s v="Normal"/>
    <s v="Male"/>
    <s v="Food and beverages"/>
    <n v="89.48"/>
    <n v="10"/>
    <n v="44.74"/>
    <x v="70"/>
    <d v="2019-06-01T00:00:00"/>
    <d v="1899-12-30T12:46:00"/>
    <s v="Credit card"/>
    <n v="894.8"/>
    <n v="4.7619047620000003"/>
    <n v="44.74"/>
    <n v="9.6"/>
    <d v="2019-01-06T00:00:00"/>
    <n v="1"/>
    <n v="12"/>
  </r>
  <r>
    <s v="796-12-2025"/>
    <x v="1"/>
    <s v="Naypyitaw"/>
    <s v="Normal"/>
    <s v="Male"/>
    <s v="Fashion accessories"/>
    <n v="62.12"/>
    <n v="10"/>
    <n v="31.06"/>
    <x v="71"/>
    <d v="2019-11-02T00:00:00"/>
    <d v="1899-12-30T16:19:00"/>
    <s v="Cash"/>
    <n v="621.20000000000005"/>
    <n v="4.7619047620000003"/>
    <n v="31.06"/>
    <n v="5.9"/>
    <d v="2019-02-11T00:00:00"/>
    <n v="2"/>
    <n v="16"/>
  </r>
  <r>
    <s v="510-95-6347"/>
    <x v="2"/>
    <s v="Mandalay"/>
    <s v="Member"/>
    <s v="Female"/>
    <s v="Food and beverages"/>
    <n v="48.52"/>
    <n v="3"/>
    <n v="7.2779999999999996"/>
    <x v="72"/>
    <d v="2019-05-03T00:00:00"/>
    <d v="1899-12-30T18:17:00"/>
    <s v="Ewallet"/>
    <n v="145.56"/>
    <n v="4.7619047620000003"/>
    <n v="7.2779999999999996"/>
    <n v="4"/>
    <d v="2019-03-05T00:00:00"/>
    <n v="3"/>
    <n v="18"/>
  </r>
  <r>
    <s v="841-35-6630"/>
    <x v="1"/>
    <s v="Naypyitaw"/>
    <s v="Normal"/>
    <s v="Female"/>
    <s v="Electronic accessories"/>
    <n v="75.91"/>
    <n v="6"/>
    <n v="22.773"/>
    <x v="73"/>
    <d v="2019-09-03T00:00:00"/>
    <d v="1899-12-30T18:21:00"/>
    <s v="Cash"/>
    <n v="455.46"/>
    <n v="4.7619047620000003"/>
    <n v="22.773"/>
    <n v="8.6999999999999993"/>
    <d v="2019-03-09T00:00:00"/>
    <n v="3"/>
    <n v="18"/>
  </r>
  <r>
    <s v="287-21-9091"/>
    <x v="0"/>
    <s v="Yangon"/>
    <s v="Normal"/>
    <s v="Male"/>
    <s v="Home and lifestyle"/>
    <n v="74.67"/>
    <n v="9"/>
    <n v="33.601500000000001"/>
    <x v="74"/>
    <s v="1/22/2019"/>
    <d v="1899-12-30T10:55:00"/>
    <s v="Ewallet"/>
    <n v="672.03"/>
    <n v="4.7619047620000003"/>
    <n v="33.601500000000001"/>
    <n v="9.4"/>
    <d v="2019-01-22T00:00:00"/>
    <n v="1"/>
    <n v="10"/>
  </r>
  <r>
    <s v="732-94-0499"/>
    <x v="1"/>
    <s v="Naypyitaw"/>
    <s v="Normal"/>
    <s v="Female"/>
    <s v="Electronic accessories"/>
    <n v="41.65"/>
    <n v="10"/>
    <n v="20.824999999999999"/>
    <x v="75"/>
    <s v="1/13/2019"/>
    <d v="1899-12-30T17:04:00"/>
    <s v="Credit card"/>
    <n v="416.5"/>
    <n v="4.7619047620000003"/>
    <n v="20.824999999999999"/>
    <n v="5.4"/>
    <d v="2019-01-13T00:00:00"/>
    <n v="1"/>
    <n v="17"/>
  </r>
  <r>
    <s v="263-10-3913"/>
    <x v="1"/>
    <s v="Naypyitaw"/>
    <s v="Member"/>
    <s v="Male"/>
    <s v="Fashion accessories"/>
    <n v="49.04"/>
    <n v="9"/>
    <n v="22.068000000000001"/>
    <x v="76"/>
    <d v="2019-09-01T00:00:00"/>
    <d v="1899-12-30T14:20:00"/>
    <s v="Credit card"/>
    <n v="441.36"/>
    <n v="4.7619047620000003"/>
    <n v="22.068000000000001"/>
    <n v="8.6"/>
    <d v="2019-01-09T00:00:00"/>
    <n v="1"/>
    <n v="14"/>
  </r>
  <r>
    <s v="381-20-0914"/>
    <x v="0"/>
    <s v="Yangon"/>
    <s v="Member"/>
    <s v="Female"/>
    <s v="Fashion accessories"/>
    <n v="20.010000000000002"/>
    <n v="9"/>
    <n v="9.0045000000000002"/>
    <x v="47"/>
    <d v="2019-12-01T00:00:00"/>
    <d v="1899-12-30T15:48:00"/>
    <s v="Credit card"/>
    <n v="180.09"/>
    <n v="4.7619047620000003"/>
    <n v="9.0045000000000002"/>
    <n v="5.7"/>
    <d v="2019-01-12T00:00:00"/>
    <n v="1"/>
    <n v="15"/>
  </r>
  <r>
    <s v="829-49-1914"/>
    <x v="1"/>
    <s v="Naypyitaw"/>
    <s v="Member"/>
    <s v="Female"/>
    <s v="Food and beverages"/>
    <n v="78.31"/>
    <n v="10"/>
    <n v="39.155000000000001"/>
    <x v="77"/>
    <d v="2019-05-03T00:00:00"/>
    <d v="1899-12-30T16:24:00"/>
    <s v="Ewallet"/>
    <n v="783.1"/>
    <n v="4.7619047620000003"/>
    <n v="39.155000000000001"/>
    <n v="6.6"/>
    <d v="2019-03-05T00:00:00"/>
    <n v="3"/>
    <n v="16"/>
  </r>
  <r>
    <s v="756-01-7507"/>
    <x v="1"/>
    <s v="Naypyitaw"/>
    <s v="Normal"/>
    <s v="Female"/>
    <s v="Health and beauty"/>
    <n v="20.38"/>
    <n v="5"/>
    <n v="5.0949999999999998"/>
    <x v="78"/>
    <s v="1/22/2019"/>
    <d v="1899-12-30T18:56:00"/>
    <s v="Cash"/>
    <n v="101.9"/>
    <n v="4.7619047620000003"/>
    <n v="5.0949999999999998"/>
    <n v="6"/>
    <d v="2019-01-22T00:00:00"/>
    <n v="1"/>
    <n v="18"/>
  </r>
  <r>
    <s v="870-72-4431"/>
    <x v="1"/>
    <s v="Naypyitaw"/>
    <s v="Normal"/>
    <s v="Female"/>
    <s v="Health and beauty"/>
    <n v="99.19"/>
    <n v="6"/>
    <n v="29.757000000000001"/>
    <x v="79"/>
    <s v="1/21/2019"/>
    <d v="1899-12-30T14:42:00"/>
    <s v="Credit card"/>
    <n v="595.14"/>
    <n v="4.7619047620000003"/>
    <n v="29.757000000000001"/>
    <n v="5.5"/>
    <d v="2019-01-21T00:00:00"/>
    <n v="1"/>
    <n v="14"/>
  </r>
  <r>
    <s v="847-38-7188"/>
    <x v="2"/>
    <s v="Mandalay"/>
    <s v="Normal"/>
    <s v="Female"/>
    <s v="Food and beverages"/>
    <n v="96.68"/>
    <n v="3"/>
    <n v="14.502000000000001"/>
    <x v="80"/>
    <s v="1/26/2019"/>
    <d v="1899-12-30T19:56:00"/>
    <s v="Ewallet"/>
    <n v="290.04000000000002"/>
    <n v="4.7619047620000003"/>
    <n v="14.502000000000001"/>
    <n v="6.4"/>
    <d v="2019-01-26T00:00:00"/>
    <n v="1"/>
    <n v="19"/>
  </r>
  <r>
    <s v="480-63-2856"/>
    <x v="1"/>
    <s v="Naypyitaw"/>
    <s v="Normal"/>
    <s v="Male"/>
    <s v="Food and beverages"/>
    <n v="19.25"/>
    <n v="8"/>
    <n v="7.7"/>
    <x v="81"/>
    <s v="1/23/2019"/>
    <d v="1899-12-30T18:37:00"/>
    <s v="Ewallet"/>
    <n v="154"/>
    <n v="4.7619047620000003"/>
    <n v="7.7"/>
    <n v="6.6"/>
    <d v="2019-01-23T00:00:00"/>
    <n v="1"/>
    <n v="18"/>
  </r>
  <r>
    <s v="787-56-0757"/>
    <x v="1"/>
    <s v="Naypyitaw"/>
    <s v="Member"/>
    <s v="Female"/>
    <s v="Food and beverages"/>
    <n v="80.36"/>
    <n v="4"/>
    <n v="16.071999999999999"/>
    <x v="82"/>
    <s v="2/23/2019"/>
    <d v="1899-12-30T18:45:00"/>
    <s v="Credit card"/>
    <n v="321.44"/>
    <n v="4.7619047620000003"/>
    <n v="16.071999999999999"/>
    <n v="8.3000000000000007"/>
    <d v="2019-02-23T00:00:00"/>
    <n v="2"/>
    <n v="18"/>
  </r>
  <r>
    <s v="360-39-5055"/>
    <x v="1"/>
    <s v="Naypyitaw"/>
    <s v="Member"/>
    <s v="Male"/>
    <s v="Sports and travel"/>
    <n v="48.91"/>
    <n v="5"/>
    <n v="12.227499999999999"/>
    <x v="83"/>
    <d v="2019-09-03T00:00:00"/>
    <d v="1899-12-30T10:17:00"/>
    <s v="Cash"/>
    <n v="244.55"/>
    <n v="4.7619047620000003"/>
    <n v="12.227499999999999"/>
    <n v="6.6"/>
    <d v="2019-03-09T00:00:00"/>
    <n v="3"/>
    <n v="10"/>
  </r>
  <r>
    <s v="730-50-9884"/>
    <x v="1"/>
    <s v="Naypyitaw"/>
    <s v="Normal"/>
    <s v="Female"/>
    <s v="Sports and travel"/>
    <n v="83.06"/>
    <n v="7"/>
    <n v="29.071000000000002"/>
    <x v="84"/>
    <d v="2019-05-03T00:00:00"/>
    <d v="1899-12-30T14:31:00"/>
    <s v="Ewallet"/>
    <n v="581.41999999999996"/>
    <n v="4.7619047620000003"/>
    <n v="29.071000000000002"/>
    <n v="4"/>
    <d v="2019-03-05T00:00:00"/>
    <n v="3"/>
    <n v="14"/>
  </r>
  <r>
    <s v="362-58-8315"/>
    <x v="1"/>
    <s v="Naypyitaw"/>
    <s v="Normal"/>
    <s v="Male"/>
    <s v="Fashion accessories"/>
    <n v="76.52"/>
    <n v="5"/>
    <n v="19.13"/>
    <x v="85"/>
    <s v="3/25/2019"/>
    <d v="1899-12-30T10:23:00"/>
    <s v="Cash"/>
    <n v="382.6"/>
    <n v="4.7619047620000003"/>
    <n v="19.13"/>
    <n v="9.9"/>
    <d v="2019-03-25T00:00:00"/>
    <n v="3"/>
    <n v="10"/>
  </r>
  <r>
    <s v="633-44-8566"/>
    <x v="0"/>
    <s v="Yangon"/>
    <s v="Member"/>
    <s v="Male"/>
    <s v="Food and beverages"/>
    <n v="49.38"/>
    <n v="7"/>
    <n v="17.283000000000001"/>
    <x v="86"/>
    <s v="3/27/2019"/>
    <d v="1899-12-30T20:35:00"/>
    <s v="Credit card"/>
    <n v="345.66"/>
    <n v="4.7619047620000003"/>
    <n v="17.283000000000001"/>
    <n v="7.3"/>
    <d v="2019-03-27T00:00:00"/>
    <n v="3"/>
    <n v="20"/>
  </r>
  <r>
    <s v="504-35-8843"/>
    <x v="0"/>
    <s v="Yangon"/>
    <s v="Normal"/>
    <s v="Male"/>
    <s v="Sports and travel"/>
    <n v="42.47"/>
    <n v="1"/>
    <n v="2.1234999999999999"/>
    <x v="87"/>
    <d v="2019-02-01T00:00:00"/>
    <d v="1899-12-30T16:57:00"/>
    <s v="Cash"/>
    <n v="42.47"/>
    <n v="4.7619047620000003"/>
    <n v="2.1234999999999999"/>
    <n v="5.7"/>
    <d v="2019-01-02T00:00:00"/>
    <n v="1"/>
    <n v="16"/>
  </r>
  <r>
    <s v="318-68-5053"/>
    <x v="2"/>
    <s v="Mandalay"/>
    <s v="Normal"/>
    <s v="Female"/>
    <s v="Health and beauty"/>
    <n v="76.989999999999995"/>
    <n v="6"/>
    <n v="23.097000000000001"/>
    <x v="88"/>
    <s v="2/27/2019"/>
    <d v="1899-12-30T17:55:00"/>
    <s v="Cash"/>
    <n v="461.94"/>
    <n v="4.7619047620000003"/>
    <n v="23.097000000000001"/>
    <n v="6.1"/>
    <d v="2019-02-27T00:00:00"/>
    <n v="2"/>
    <n v="17"/>
  </r>
  <r>
    <s v="565-80-5980"/>
    <x v="1"/>
    <s v="Naypyitaw"/>
    <s v="Member"/>
    <s v="Female"/>
    <s v="Home and lifestyle"/>
    <n v="47.38"/>
    <n v="4"/>
    <n v="9.4760000000000009"/>
    <x v="89"/>
    <s v="1/23/2019"/>
    <d v="1899-12-30T10:25:00"/>
    <s v="Cash"/>
    <n v="189.52"/>
    <n v="4.7619047620000003"/>
    <n v="9.4760000000000009"/>
    <n v="7.1"/>
    <d v="2019-01-23T00:00:00"/>
    <n v="1"/>
    <n v="10"/>
  </r>
  <r>
    <s v="225-32-0908"/>
    <x v="1"/>
    <s v="Naypyitaw"/>
    <s v="Normal"/>
    <s v="Female"/>
    <s v="Sports and travel"/>
    <n v="44.86"/>
    <n v="10"/>
    <n v="22.43"/>
    <x v="90"/>
    <s v="1/26/2019"/>
    <d v="1899-12-30T19:54:00"/>
    <s v="Ewallet"/>
    <n v="448.6"/>
    <n v="4.7619047620000003"/>
    <n v="22.43"/>
    <n v="8.1999999999999993"/>
    <d v="2019-01-26T00:00:00"/>
    <n v="1"/>
    <n v="19"/>
  </r>
  <r>
    <s v="873-51-0671"/>
    <x v="0"/>
    <s v="Yangon"/>
    <s v="Member"/>
    <s v="Female"/>
    <s v="Sports and travel"/>
    <n v="21.98"/>
    <n v="7"/>
    <n v="7.6929999999999996"/>
    <x v="91"/>
    <d v="2019-10-01T00:00:00"/>
    <d v="1899-12-30T16:42:00"/>
    <s v="Ewallet"/>
    <n v="153.86000000000001"/>
    <n v="4.7619047620000003"/>
    <n v="7.6929999999999996"/>
    <n v="5.0999999999999996"/>
    <d v="2019-01-10T00:00:00"/>
    <n v="1"/>
    <n v="16"/>
  </r>
  <r>
    <s v="152-08-9985"/>
    <x v="2"/>
    <s v="Mandalay"/>
    <s v="Member"/>
    <s v="Male"/>
    <s v="Health and beauty"/>
    <n v="64.36"/>
    <n v="9"/>
    <n v="28.962"/>
    <x v="92"/>
    <d v="2019-12-03T00:00:00"/>
    <d v="1899-12-30T12:09:00"/>
    <s v="Credit card"/>
    <n v="579.24"/>
    <n v="4.7619047620000003"/>
    <n v="28.962"/>
    <n v="8.6"/>
    <d v="2019-03-12T00:00:00"/>
    <n v="3"/>
    <n v="12"/>
  </r>
  <r>
    <s v="512-91-0811"/>
    <x v="1"/>
    <s v="Naypyitaw"/>
    <s v="Normal"/>
    <s v="Male"/>
    <s v="Health and beauty"/>
    <n v="89.75"/>
    <n v="1"/>
    <n v="4.4874999999999998"/>
    <x v="93"/>
    <d v="2019-06-02T00:00:00"/>
    <d v="1899-12-30T20:05:00"/>
    <s v="Credit card"/>
    <n v="89.75"/>
    <n v="4.7619047620000003"/>
    <n v="4.4874999999999998"/>
    <n v="6.6"/>
    <d v="2019-02-06T00:00:00"/>
    <n v="2"/>
    <n v="20"/>
  </r>
  <r>
    <s v="594-34-4444"/>
    <x v="0"/>
    <s v="Yangon"/>
    <s v="Normal"/>
    <s v="Male"/>
    <s v="Electronic accessories"/>
    <n v="97.16"/>
    <n v="1"/>
    <n v="4.8579999999999997"/>
    <x v="94"/>
    <d v="2019-08-03T00:00:00"/>
    <d v="1899-12-30T20:38:00"/>
    <s v="Ewallet"/>
    <n v="97.16"/>
    <n v="4.7619047620000003"/>
    <n v="4.8579999999999997"/>
    <n v="7.2"/>
    <d v="2019-03-08T00:00:00"/>
    <n v="3"/>
    <n v="20"/>
  </r>
  <r>
    <s v="766-85-7061"/>
    <x v="2"/>
    <s v="Mandalay"/>
    <s v="Normal"/>
    <s v="Male"/>
    <s v="Health and beauty"/>
    <n v="87.87"/>
    <n v="10"/>
    <n v="43.935000000000002"/>
    <x v="95"/>
    <s v="3/29/2019"/>
    <d v="1899-12-30T10:25:00"/>
    <s v="Ewallet"/>
    <n v="878.7"/>
    <n v="4.7619047620000003"/>
    <n v="43.935000000000002"/>
    <n v="5.0999999999999996"/>
    <d v="2019-03-29T00:00:00"/>
    <n v="3"/>
    <n v="10"/>
  </r>
  <r>
    <s v="871-39-9221"/>
    <x v="1"/>
    <s v="Naypyitaw"/>
    <s v="Normal"/>
    <s v="Female"/>
    <s v="Electronic accessories"/>
    <n v="12.45"/>
    <n v="6"/>
    <n v="3.7349999999999999"/>
    <x v="96"/>
    <d v="2019-09-02T00:00:00"/>
    <d v="1899-12-30T13:11:00"/>
    <s v="Cash"/>
    <n v="74.7"/>
    <n v="4.7619047620000003"/>
    <n v="3.7349999999999999"/>
    <n v="4.0999999999999996"/>
    <d v="2019-02-09T00:00:00"/>
    <n v="2"/>
    <n v="13"/>
  </r>
  <r>
    <s v="865-92-6136"/>
    <x v="0"/>
    <s v="Yangon"/>
    <s v="Normal"/>
    <s v="Male"/>
    <s v="Food and beverages"/>
    <n v="52.75"/>
    <n v="3"/>
    <n v="7.9124999999999996"/>
    <x v="97"/>
    <s v="3/23/2019"/>
    <d v="1899-12-30T10:16:00"/>
    <s v="Ewallet"/>
    <n v="158.25"/>
    <n v="4.7619047620000003"/>
    <n v="7.9124999999999996"/>
    <n v="9.3000000000000007"/>
    <d v="2019-03-23T00:00:00"/>
    <n v="3"/>
    <n v="10"/>
  </r>
  <r>
    <s v="733-01-9107"/>
    <x v="2"/>
    <s v="Mandalay"/>
    <s v="Normal"/>
    <s v="Male"/>
    <s v="Home and lifestyle"/>
    <n v="82.7"/>
    <n v="6"/>
    <n v="24.81"/>
    <x v="98"/>
    <d v="2019-05-03T00:00:00"/>
    <d v="1899-12-30T18:14:00"/>
    <s v="Cash"/>
    <n v="496.2"/>
    <n v="4.7619047620000003"/>
    <n v="24.81"/>
    <n v="7.4"/>
    <d v="2019-03-05T00:00:00"/>
    <n v="3"/>
    <n v="18"/>
  </r>
  <r>
    <s v="163-56-7055"/>
    <x v="1"/>
    <s v="Naypyitaw"/>
    <s v="Member"/>
    <s v="Male"/>
    <s v="Fashion accessories"/>
    <n v="48.71"/>
    <n v="1"/>
    <n v="2.4355000000000002"/>
    <x v="99"/>
    <s v="3/26/2019"/>
    <d v="1899-12-30T19:20:00"/>
    <s v="Cash"/>
    <n v="48.71"/>
    <n v="4.7619047620000003"/>
    <n v="2.4355000000000002"/>
    <n v="4.0999999999999996"/>
    <d v="2019-03-26T00:00:00"/>
    <n v="3"/>
    <n v="19"/>
  </r>
  <r>
    <s v="189-98-2939"/>
    <x v="1"/>
    <s v="Naypyitaw"/>
    <s v="Normal"/>
    <s v="Male"/>
    <s v="Fashion accessories"/>
    <n v="78.55"/>
    <n v="9"/>
    <n v="35.347499999999997"/>
    <x v="100"/>
    <d v="2019-01-03T00:00:00"/>
    <d v="1899-12-30T13:22:00"/>
    <s v="Cash"/>
    <n v="706.95"/>
    <n v="4.7619047620000003"/>
    <n v="35.347499999999997"/>
    <n v="7.2"/>
    <d v="2019-03-01T00:00:00"/>
    <n v="3"/>
    <n v="13"/>
  </r>
  <r>
    <s v="551-21-3069"/>
    <x v="1"/>
    <s v="Naypyitaw"/>
    <s v="Normal"/>
    <s v="Female"/>
    <s v="Electronic accessories"/>
    <n v="23.07"/>
    <n v="9"/>
    <n v="10.381500000000001"/>
    <x v="101"/>
    <d v="2019-01-02T00:00:00"/>
    <d v="1899-12-30T11:27:00"/>
    <s v="Cash"/>
    <n v="207.63"/>
    <n v="4.7619047620000003"/>
    <n v="10.381500000000001"/>
    <n v="4.9000000000000004"/>
    <d v="2019-02-01T00:00:00"/>
    <n v="2"/>
    <n v="11"/>
  </r>
  <r>
    <s v="212-62-1842"/>
    <x v="0"/>
    <s v="Yangon"/>
    <s v="Normal"/>
    <s v="Male"/>
    <s v="Food and beverages"/>
    <n v="58.26"/>
    <n v="6"/>
    <n v="17.478000000000002"/>
    <x v="102"/>
    <s v="3/28/2019"/>
    <d v="1899-12-30T16:44:00"/>
    <s v="Cash"/>
    <n v="349.56"/>
    <n v="4.7619047620000003"/>
    <n v="17.478000000000002"/>
    <n v="9.9"/>
    <d v="2019-03-28T00:00:00"/>
    <n v="3"/>
    <n v="16"/>
  </r>
  <r>
    <s v="716-39-1409"/>
    <x v="2"/>
    <s v="Mandalay"/>
    <s v="Normal"/>
    <s v="Male"/>
    <s v="Health and beauty"/>
    <n v="30.35"/>
    <n v="7"/>
    <n v="10.6225"/>
    <x v="103"/>
    <s v="3/19/2019"/>
    <d v="1899-12-30T18:19:00"/>
    <s v="Cash"/>
    <n v="212.45"/>
    <n v="4.7619047620000003"/>
    <n v="10.6225"/>
    <n v="8"/>
    <d v="2019-03-19T00:00:00"/>
    <n v="3"/>
    <n v="18"/>
  </r>
  <r>
    <s v="704-48-3927"/>
    <x v="0"/>
    <s v="Yangon"/>
    <s v="Member"/>
    <s v="Male"/>
    <s v="Electronic accessories"/>
    <n v="88.67"/>
    <n v="10"/>
    <n v="44.335000000000001"/>
    <x v="104"/>
    <d v="2019-12-01T00:00:00"/>
    <d v="1899-12-30T14:50:00"/>
    <s v="Ewallet"/>
    <n v="886.7"/>
    <n v="4.7619047620000003"/>
    <n v="44.335000000000001"/>
    <n v="7.3"/>
    <d v="2019-01-12T00:00:00"/>
    <n v="1"/>
    <n v="14"/>
  </r>
  <r>
    <s v="628-34-3388"/>
    <x v="1"/>
    <s v="Naypyitaw"/>
    <s v="Normal"/>
    <s v="Male"/>
    <s v="Fashion accessories"/>
    <n v="27.38"/>
    <n v="6"/>
    <n v="8.2140000000000004"/>
    <x v="105"/>
    <d v="2019-05-01T00:00:00"/>
    <d v="1899-12-30T20:54:00"/>
    <s v="Credit card"/>
    <n v="164.28"/>
    <n v="4.7619047620000003"/>
    <n v="8.2140000000000004"/>
    <n v="7.9"/>
    <d v="2019-01-05T00:00:00"/>
    <n v="1"/>
    <n v="20"/>
  </r>
  <r>
    <s v="630-74-5166"/>
    <x v="0"/>
    <s v="Yangon"/>
    <s v="Normal"/>
    <s v="Male"/>
    <s v="Sports and travel"/>
    <n v="62.13"/>
    <n v="6"/>
    <n v="18.638999999999999"/>
    <x v="106"/>
    <s v="3/22/2019"/>
    <d v="1899-12-30T20:19:00"/>
    <s v="Cash"/>
    <n v="372.78"/>
    <n v="4.7619047620000003"/>
    <n v="18.638999999999999"/>
    <n v="7.4"/>
    <d v="2019-03-22T00:00:00"/>
    <n v="3"/>
    <n v="20"/>
  </r>
  <r>
    <s v="588-01-7461"/>
    <x v="1"/>
    <s v="Naypyitaw"/>
    <s v="Normal"/>
    <s v="Female"/>
    <s v="Food and beverages"/>
    <n v="33.979999999999997"/>
    <n v="9"/>
    <n v="15.291"/>
    <x v="107"/>
    <s v="3/24/2019"/>
    <d v="1899-12-30T10:43:00"/>
    <s v="Cash"/>
    <n v="305.82"/>
    <n v="4.7619047620000003"/>
    <n v="15.291"/>
    <n v="4.2"/>
    <d v="2019-03-24T00:00:00"/>
    <n v="3"/>
    <n v="10"/>
  </r>
  <r>
    <s v="861-77-0145"/>
    <x v="1"/>
    <s v="Naypyitaw"/>
    <s v="Member"/>
    <s v="Male"/>
    <s v="Electronic accessories"/>
    <n v="81.97"/>
    <n v="10"/>
    <n v="40.984999999999999"/>
    <x v="108"/>
    <d v="2019-03-03T00:00:00"/>
    <d v="1899-12-30T14:30:00"/>
    <s v="Cash"/>
    <n v="819.7"/>
    <n v="4.7619047620000003"/>
    <n v="40.984999999999999"/>
    <n v="9.1999999999999993"/>
    <d v="2019-03-03T00:00:00"/>
    <n v="3"/>
    <n v="14"/>
  </r>
  <r>
    <s v="479-26-8945"/>
    <x v="2"/>
    <s v="Mandalay"/>
    <s v="Member"/>
    <s v="Female"/>
    <s v="Sports and travel"/>
    <n v="16.489999999999998"/>
    <n v="2"/>
    <n v="1.649"/>
    <x v="109"/>
    <d v="2019-05-02T00:00:00"/>
    <d v="1899-12-30T11:32:00"/>
    <s v="Ewallet"/>
    <n v="32.979999999999997"/>
    <n v="4.7619047620000003"/>
    <n v="1.649"/>
    <n v="4.5999999999999996"/>
    <d v="2019-02-05T00:00:00"/>
    <n v="2"/>
    <n v="11"/>
  </r>
  <r>
    <s v="210-67-5886"/>
    <x v="1"/>
    <s v="Naypyitaw"/>
    <s v="Member"/>
    <s v="Female"/>
    <s v="Health and beauty"/>
    <n v="98.21"/>
    <n v="3"/>
    <n v="14.7315"/>
    <x v="110"/>
    <d v="2019-05-02T00:00:00"/>
    <d v="1899-12-30T10:41:00"/>
    <s v="Credit card"/>
    <n v="294.63"/>
    <n v="4.7619047620000003"/>
    <n v="14.7315"/>
    <n v="7.8"/>
    <d v="2019-02-05T00:00:00"/>
    <n v="2"/>
    <n v="10"/>
  </r>
  <r>
    <s v="227-78-1148"/>
    <x v="2"/>
    <s v="Mandalay"/>
    <s v="Normal"/>
    <s v="Female"/>
    <s v="Fashion accessories"/>
    <n v="72.84"/>
    <n v="7"/>
    <n v="25.494"/>
    <x v="111"/>
    <s v="2/15/2019"/>
    <d v="1899-12-30T12:44:00"/>
    <s v="Cash"/>
    <n v="509.88"/>
    <n v="4.7619047620000003"/>
    <n v="25.494"/>
    <n v="8.4"/>
    <d v="2019-02-15T00:00:00"/>
    <n v="2"/>
    <n v="12"/>
  </r>
  <r>
    <s v="645-44-1170"/>
    <x v="0"/>
    <s v="Yangon"/>
    <s v="Member"/>
    <s v="Male"/>
    <s v="Home and lifestyle"/>
    <n v="58.07"/>
    <n v="9"/>
    <n v="26.131499999999999"/>
    <x v="112"/>
    <s v="1/19/2019"/>
    <d v="1899-12-30T20:07:00"/>
    <s v="Ewallet"/>
    <n v="522.63"/>
    <n v="4.7619047620000003"/>
    <n v="26.131499999999999"/>
    <n v="4.3"/>
    <d v="2019-01-19T00:00:00"/>
    <n v="1"/>
    <n v="20"/>
  </r>
  <r>
    <s v="237-01-6122"/>
    <x v="1"/>
    <s v="Naypyitaw"/>
    <s v="Member"/>
    <s v="Female"/>
    <s v="Home and lifestyle"/>
    <n v="80.790000000000006"/>
    <n v="9"/>
    <n v="36.355499999999999"/>
    <x v="113"/>
    <d v="2019-01-02T00:00:00"/>
    <d v="1899-12-30T20:31:00"/>
    <s v="Credit card"/>
    <n v="727.11"/>
    <n v="4.7619047620000003"/>
    <n v="36.355499999999999"/>
    <n v="9.5"/>
    <d v="2019-02-01T00:00:00"/>
    <n v="2"/>
    <n v="20"/>
  </r>
  <r>
    <s v="225-98-1496"/>
    <x v="1"/>
    <s v="Naypyitaw"/>
    <s v="Normal"/>
    <s v="Female"/>
    <s v="Fashion accessories"/>
    <n v="27.02"/>
    <n v="3"/>
    <n v="4.0529999999999999"/>
    <x v="114"/>
    <d v="2019-02-03T00:00:00"/>
    <d v="1899-12-30T13:01:00"/>
    <s v="Credit card"/>
    <n v="81.06"/>
    <n v="4.7619047620000003"/>
    <n v="4.0529999999999999"/>
    <n v="7.1"/>
    <d v="2019-03-02T00:00:00"/>
    <n v="3"/>
    <n v="13"/>
  </r>
  <r>
    <s v="291-32-1427"/>
    <x v="2"/>
    <s v="Mandalay"/>
    <s v="Member"/>
    <s v="Male"/>
    <s v="Fashion accessories"/>
    <n v="21.94"/>
    <n v="5"/>
    <n v="5.4850000000000003"/>
    <x v="115"/>
    <d v="2019-05-03T00:00:00"/>
    <d v="1899-12-30T12:29:00"/>
    <s v="Ewallet"/>
    <n v="109.7"/>
    <n v="4.7619047620000003"/>
    <n v="5.4850000000000003"/>
    <n v="5.3"/>
    <d v="2019-03-05T00:00:00"/>
    <n v="3"/>
    <n v="12"/>
  </r>
  <r>
    <s v="659-65-8956"/>
    <x v="2"/>
    <s v="Mandalay"/>
    <s v="Member"/>
    <s v="Male"/>
    <s v="Fashion accessories"/>
    <n v="51.36"/>
    <n v="1"/>
    <n v="2.5680000000000001"/>
    <x v="116"/>
    <s v="1/16/2019"/>
    <d v="1899-12-30T15:26:00"/>
    <s v="Ewallet"/>
    <n v="51.36"/>
    <n v="4.7619047620000003"/>
    <n v="2.5680000000000001"/>
    <n v="5.2"/>
    <d v="2019-01-16T00:00:00"/>
    <n v="1"/>
    <n v="15"/>
  </r>
  <r>
    <s v="642-32-2990"/>
    <x v="0"/>
    <s v="Yangon"/>
    <s v="Normal"/>
    <s v="Female"/>
    <s v="Food and beverages"/>
    <n v="10.96"/>
    <n v="10"/>
    <n v="5.48"/>
    <x v="117"/>
    <d v="2019-02-02T00:00:00"/>
    <d v="1899-12-30T20:48:00"/>
    <s v="Ewallet"/>
    <n v="109.6"/>
    <n v="4.7619047620000003"/>
    <n v="5.48"/>
    <n v="6"/>
    <d v="2019-02-02T00:00:00"/>
    <n v="2"/>
    <n v="20"/>
  </r>
  <r>
    <s v="378-24-2715"/>
    <x v="2"/>
    <s v="Mandalay"/>
    <s v="Normal"/>
    <s v="Male"/>
    <s v="Home and lifestyle"/>
    <n v="53.44"/>
    <n v="2"/>
    <n v="5.3440000000000003"/>
    <x v="118"/>
    <s v="1/20/2019"/>
    <d v="1899-12-30T20:38:00"/>
    <s v="Ewallet"/>
    <n v="106.88"/>
    <n v="4.7619047620000003"/>
    <n v="5.3440000000000003"/>
    <n v="4.0999999999999996"/>
    <d v="2019-01-20T00:00:00"/>
    <n v="1"/>
    <n v="20"/>
  </r>
  <r>
    <s v="638-60-7125"/>
    <x v="0"/>
    <s v="Yangon"/>
    <s v="Normal"/>
    <s v="Female"/>
    <s v="Electronic accessories"/>
    <n v="99.56"/>
    <n v="8"/>
    <n v="39.823999999999998"/>
    <x v="119"/>
    <s v="2/14/2019"/>
    <d v="1899-12-30T17:03:00"/>
    <s v="Credit card"/>
    <n v="796.48"/>
    <n v="4.7619047620000003"/>
    <n v="39.823999999999998"/>
    <n v="5.2"/>
    <d v="2019-02-14T00:00:00"/>
    <n v="2"/>
    <n v="17"/>
  </r>
  <r>
    <s v="659-36-1684"/>
    <x v="1"/>
    <s v="Naypyitaw"/>
    <s v="Member"/>
    <s v="Male"/>
    <s v="Sports and travel"/>
    <n v="57.12"/>
    <n v="7"/>
    <n v="19.992000000000001"/>
    <x v="120"/>
    <d v="2019-12-01T00:00:00"/>
    <d v="1899-12-30T12:02:00"/>
    <s v="Credit card"/>
    <n v="399.84"/>
    <n v="4.7619047620000003"/>
    <n v="19.992000000000001"/>
    <n v="6.5"/>
    <d v="2019-01-12T00:00:00"/>
    <n v="1"/>
    <n v="12"/>
  </r>
  <r>
    <s v="219-22-9386"/>
    <x v="2"/>
    <s v="Mandalay"/>
    <s v="Member"/>
    <s v="Male"/>
    <s v="Sports and travel"/>
    <n v="99.96"/>
    <n v="9"/>
    <n v="44.981999999999999"/>
    <x v="121"/>
    <d v="2019-09-03T00:00:00"/>
    <d v="1899-12-30T17:26:00"/>
    <s v="Credit card"/>
    <n v="899.64"/>
    <n v="4.7619047620000003"/>
    <n v="44.981999999999999"/>
    <n v="4.2"/>
    <d v="2019-03-09T00:00:00"/>
    <n v="3"/>
    <n v="17"/>
  </r>
  <r>
    <s v="336-78-2147"/>
    <x v="1"/>
    <s v="Naypyitaw"/>
    <s v="Member"/>
    <s v="Male"/>
    <s v="Home and lifestyle"/>
    <n v="63.91"/>
    <n v="8"/>
    <n v="25.564"/>
    <x v="122"/>
    <s v="3/13/2019"/>
    <d v="1899-12-30T19:52:00"/>
    <s v="Credit card"/>
    <n v="511.28"/>
    <n v="4.7619047620000003"/>
    <n v="25.564"/>
    <n v="4.5999999999999996"/>
    <d v="2019-03-13T00:00:00"/>
    <n v="3"/>
    <n v="19"/>
  </r>
  <r>
    <s v="268-27-6179"/>
    <x v="2"/>
    <s v="Mandalay"/>
    <s v="Member"/>
    <s v="Female"/>
    <s v="Fashion accessories"/>
    <n v="56.47"/>
    <n v="8"/>
    <n v="22.588000000000001"/>
    <x v="123"/>
    <d v="2019-09-03T00:00:00"/>
    <d v="1899-12-30T14:57:00"/>
    <s v="Ewallet"/>
    <n v="451.76"/>
    <n v="4.7619047620000003"/>
    <n v="22.588000000000001"/>
    <n v="7.3"/>
    <d v="2019-03-09T00:00:00"/>
    <n v="3"/>
    <n v="14"/>
  </r>
  <r>
    <s v="668-90-8900"/>
    <x v="0"/>
    <s v="Yangon"/>
    <s v="Normal"/>
    <s v="Female"/>
    <s v="Home and lifestyle"/>
    <n v="93.69"/>
    <n v="7"/>
    <n v="32.791499999999999"/>
    <x v="124"/>
    <d v="2019-10-03T00:00:00"/>
    <d v="1899-12-30T18:44:00"/>
    <s v="Credit card"/>
    <n v="655.83"/>
    <n v="4.7619047620000003"/>
    <n v="32.791499999999999"/>
    <n v="4.5"/>
    <d v="2019-03-10T00:00:00"/>
    <n v="3"/>
    <n v="18"/>
  </r>
  <r>
    <s v="870-54-3162"/>
    <x v="0"/>
    <s v="Yangon"/>
    <s v="Normal"/>
    <s v="Female"/>
    <s v="Sports and travel"/>
    <n v="32.25"/>
    <n v="5"/>
    <n v="8.0625"/>
    <x v="125"/>
    <s v="1/27/2019"/>
    <d v="1899-12-30T13:26:00"/>
    <s v="Cash"/>
    <n v="161.25"/>
    <n v="4.7619047620000003"/>
    <n v="8.0625"/>
    <n v="9"/>
    <d v="2019-01-27T00:00:00"/>
    <n v="1"/>
    <n v="13"/>
  </r>
  <r>
    <s v="189-08-9157"/>
    <x v="1"/>
    <s v="Naypyitaw"/>
    <s v="Normal"/>
    <s v="Female"/>
    <s v="Fashion accessories"/>
    <n v="31.73"/>
    <n v="9"/>
    <n v="14.278499999999999"/>
    <x v="126"/>
    <d v="2019-08-01T00:00:00"/>
    <d v="1899-12-30T16:17:00"/>
    <s v="Credit card"/>
    <n v="285.57"/>
    <n v="4.7619047620000003"/>
    <n v="14.278499999999999"/>
    <n v="5.9"/>
    <d v="2019-01-08T00:00:00"/>
    <n v="1"/>
    <n v="16"/>
  </r>
  <r>
    <s v="663-86-9076"/>
    <x v="1"/>
    <s v="Naypyitaw"/>
    <s v="Member"/>
    <s v="Female"/>
    <s v="Food and beverages"/>
    <n v="68.540000000000006"/>
    <n v="8"/>
    <n v="27.416"/>
    <x v="127"/>
    <d v="2019-08-01T00:00:00"/>
    <d v="1899-12-30T15:57:00"/>
    <s v="Ewallet"/>
    <n v="548.32000000000005"/>
    <n v="4.7619047620000003"/>
    <n v="27.416"/>
    <n v="8.5"/>
    <d v="2019-01-08T00:00:00"/>
    <n v="1"/>
    <n v="15"/>
  </r>
  <r>
    <s v="549-84-7482"/>
    <x v="2"/>
    <s v="Mandalay"/>
    <s v="Normal"/>
    <s v="Female"/>
    <s v="Sports and travel"/>
    <n v="90.28"/>
    <n v="9"/>
    <n v="40.625999999999998"/>
    <x v="128"/>
    <d v="2019-08-02T00:00:00"/>
    <d v="1899-12-30T11:15:00"/>
    <s v="Ewallet"/>
    <n v="812.52"/>
    <n v="4.7619047620000003"/>
    <n v="40.625999999999998"/>
    <n v="7.2"/>
    <d v="2019-02-08T00:00:00"/>
    <n v="2"/>
    <n v="11"/>
  </r>
  <r>
    <s v="191-10-6171"/>
    <x v="2"/>
    <s v="Mandalay"/>
    <s v="Normal"/>
    <s v="Female"/>
    <s v="Fashion accessories"/>
    <n v="39.619999999999997"/>
    <n v="7"/>
    <n v="13.867000000000001"/>
    <x v="129"/>
    <s v="1/25/2019"/>
    <d v="1899-12-30T13:18:00"/>
    <s v="Cash"/>
    <n v="277.33999999999997"/>
    <n v="4.7619047620000003"/>
    <n v="13.867000000000001"/>
    <n v="7.5"/>
    <d v="2019-01-25T00:00:00"/>
    <n v="1"/>
    <n v="13"/>
  </r>
  <r>
    <s v="802-70-5316"/>
    <x v="0"/>
    <s v="Yangon"/>
    <s v="Member"/>
    <s v="Female"/>
    <s v="Sports and travel"/>
    <n v="92.13"/>
    <n v="6"/>
    <n v="27.638999999999999"/>
    <x v="130"/>
    <d v="2019-06-03T00:00:00"/>
    <d v="1899-12-30T20:34:00"/>
    <s v="Cash"/>
    <n v="552.78"/>
    <n v="4.7619047620000003"/>
    <n v="27.638999999999999"/>
    <n v="8.3000000000000007"/>
    <d v="2019-03-06T00:00:00"/>
    <n v="3"/>
    <n v="20"/>
  </r>
  <r>
    <s v="695-51-0018"/>
    <x v="2"/>
    <s v="Mandalay"/>
    <s v="Normal"/>
    <s v="Female"/>
    <s v="Sports and travel"/>
    <n v="34.840000000000003"/>
    <n v="4"/>
    <n v="6.968"/>
    <x v="131"/>
    <d v="2019-10-02T00:00:00"/>
    <d v="1899-12-30T18:36:00"/>
    <s v="Cash"/>
    <n v="139.36000000000001"/>
    <n v="4.7619047620000003"/>
    <n v="6.968"/>
    <n v="7.4"/>
    <d v="2019-02-10T00:00:00"/>
    <n v="2"/>
    <n v="18"/>
  </r>
  <r>
    <s v="590-83-4591"/>
    <x v="2"/>
    <s v="Mandalay"/>
    <s v="Member"/>
    <s v="Male"/>
    <s v="Electronic accessories"/>
    <n v="87.45"/>
    <n v="6"/>
    <n v="26.234999999999999"/>
    <x v="132"/>
    <s v="2/17/2019"/>
    <d v="1899-12-30T14:40:00"/>
    <s v="Credit card"/>
    <n v="524.70000000000005"/>
    <n v="4.7619047620000003"/>
    <n v="26.234999999999999"/>
    <n v="8.8000000000000007"/>
    <d v="2019-02-17T00:00:00"/>
    <n v="2"/>
    <n v="14"/>
  </r>
  <r>
    <s v="483-71-1164"/>
    <x v="1"/>
    <s v="Naypyitaw"/>
    <s v="Normal"/>
    <s v="Female"/>
    <s v="Health and beauty"/>
    <n v="81.3"/>
    <n v="6"/>
    <n v="24.39"/>
    <x v="133"/>
    <d v="2019-08-03T00:00:00"/>
    <d v="1899-12-30T16:43:00"/>
    <s v="Ewallet"/>
    <n v="487.8"/>
    <n v="4.7619047620000003"/>
    <n v="24.39"/>
    <n v="5.3"/>
    <d v="2019-03-08T00:00:00"/>
    <n v="3"/>
    <n v="16"/>
  </r>
  <r>
    <s v="597-78-7908"/>
    <x v="1"/>
    <s v="Naypyitaw"/>
    <s v="Normal"/>
    <s v="Male"/>
    <s v="Fashion accessories"/>
    <n v="90.22"/>
    <n v="3"/>
    <n v="13.532999999999999"/>
    <x v="134"/>
    <s v="2/18/2019"/>
    <d v="1899-12-30T19:39:00"/>
    <s v="Cash"/>
    <n v="270.66000000000003"/>
    <n v="4.7619047620000003"/>
    <n v="13.532999999999999"/>
    <n v="6.2"/>
    <d v="2019-02-18T00:00:00"/>
    <n v="2"/>
    <n v="19"/>
  </r>
  <r>
    <s v="700-81-1757"/>
    <x v="0"/>
    <s v="Yangon"/>
    <s v="Normal"/>
    <s v="Female"/>
    <s v="Electronic accessories"/>
    <n v="26.31"/>
    <n v="5"/>
    <n v="6.5774999999999997"/>
    <x v="135"/>
    <s v="1/18/2019"/>
    <d v="1899-12-30T20:59:00"/>
    <s v="Credit card"/>
    <n v="131.55000000000001"/>
    <n v="4.7619047620000003"/>
    <n v="6.5774999999999997"/>
    <n v="8.8000000000000007"/>
    <d v="2019-01-18T00:00:00"/>
    <n v="1"/>
    <n v="20"/>
  </r>
  <r>
    <s v="354-39-5160"/>
    <x v="0"/>
    <s v="Yangon"/>
    <s v="Member"/>
    <s v="Female"/>
    <s v="Home and lifestyle"/>
    <n v="34.42"/>
    <n v="6"/>
    <n v="10.326000000000001"/>
    <x v="136"/>
    <s v="2/18/2019"/>
    <d v="1899-12-30T15:39:00"/>
    <s v="Cash"/>
    <n v="206.52"/>
    <n v="4.7619047620000003"/>
    <n v="10.326000000000001"/>
    <n v="9.8000000000000007"/>
    <d v="2019-02-18T00:00:00"/>
    <n v="2"/>
    <n v="15"/>
  </r>
  <r>
    <s v="241-72-9525"/>
    <x v="2"/>
    <s v="Mandalay"/>
    <s v="Normal"/>
    <s v="Male"/>
    <s v="Sports and travel"/>
    <n v="51.91"/>
    <n v="10"/>
    <n v="25.954999999999998"/>
    <x v="137"/>
    <s v="2/16/2019"/>
    <d v="1899-12-30T12:21:00"/>
    <s v="Cash"/>
    <n v="519.1"/>
    <n v="4.7619047620000003"/>
    <n v="25.954999999999998"/>
    <n v="8.1999999999999993"/>
    <d v="2019-02-16T00:00:00"/>
    <n v="2"/>
    <n v="12"/>
  </r>
  <r>
    <s v="575-30-8091"/>
    <x v="0"/>
    <s v="Yangon"/>
    <s v="Normal"/>
    <s v="Male"/>
    <s v="Sports and travel"/>
    <n v="72.5"/>
    <n v="8"/>
    <n v="29"/>
    <x v="138"/>
    <s v="3/16/2019"/>
    <d v="1899-12-30T19:25:00"/>
    <s v="Ewallet"/>
    <n v="580"/>
    <n v="4.7619047620000003"/>
    <n v="29"/>
    <n v="9.1999999999999993"/>
    <d v="2019-03-16T00:00:00"/>
    <n v="3"/>
    <n v="19"/>
  </r>
  <r>
    <s v="731-81-9469"/>
    <x v="1"/>
    <s v="Naypyitaw"/>
    <s v="Member"/>
    <s v="Female"/>
    <s v="Sports and travel"/>
    <n v="89.8"/>
    <n v="10"/>
    <n v="44.9"/>
    <x v="139"/>
    <s v="1/23/2019"/>
    <d v="1899-12-30T13:00:00"/>
    <s v="Credit card"/>
    <n v="898"/>
    <n v="4.7619047620000003"/>
    <n v="44.9"/>
    <n v="5.4"/>
    <d v="2019-01-23T00:00:00"/>
    <n v="1"/>
    <n v="13"/>
  </r>
  <r>
    <s v="280-17-4359"/>
    <x v="1"/>
    <s v="Naypyitaw"/>
    <s v="Member"/>
    <s v="Male"/>
    <s v="Health and beauty"/>
    <n v="90.5"/>
    <n v="10"/>
    <n v="45.25"/>
    <x v="140"/>
    <s v="1/25/2019"/>
    <d v="1899-12-30T13:48:00"/>
    <s v="Cash"/>
    <n v="905"/>
    <n v="4.7619047620000003"/>
    <n v="45.25"/>
    <n v="8.1"/>
    <d v="2019-01-25T00:00:00"/>
    <n v="1"/>
    <n v="13"/>
  </r>
  <r>
    <s v="338-65-2210"/>
    <x v="1"/>
    <s v="Naypyitaw"/>
    <s v="Member"/>
    <s v="Female"/>
    <s v="Health and beauty"/>
    <n v="68.599999999999994"/>
    <n v="10"/>
    <n v="34.299999999999997"/>
    <x v="141"/>
    <d v="2019-05-02T00:00:00"/>
    <d v="1899-12-30T19:57:00"/>
    <s v="Cash"/>
    <n v="686"/>
    <n v="4.7619047620000003"/>
    <n v="34.299999999999997"/>
    <n v="9.1"/>
    <d v="2019-02-05T00:00:00"/>
    <n v="2"/>
    <n v="19"/>
  </r>
  <r>
    <s v="488-25-4221"/>
    <x v="1"/>
    <s v="Naypyitaw"/>
    <s v="Member"/>
    <s v="Female"/>
    <s v="Food and beverages"/>
    <n v="30.41"/>
    <n v="1"/>
    <n v="1.5205"/>
    <x v="142"/>
    <s v="2/22/2019"/>
    <d v="1899-12-30T10:36:00"/>
    <s v="Credit card"/>
    <n v="30.41"/>
    <n v="4.7619047620000003"/>
    <n v="1.5205"/>
    <n v="8.4"/>
    <d v="2019-02-22T00:00:00"/>
    <n v="2"/>
    <n v="10"/>
  </r>
  <r>
    <s v="239-10-7476"/>
    <x v="0"/>
    <s v="Yangon"/>
    <s v="Normal"/>
    <s v="Female"/>
    <s v="Home and lifestyle"/>
    <n v="77.95"/>
    <n v="6"/>
    <n v="23.385000000000002"/>
    <x v="143"/>
    <s v="1/21/2019"/>
    <d v="1899-12-30T16:37:00"/>
    <s v="Ewallet"/>
    <n v="467.7"/>
    <n v="4.7619047620000003"/>
    <n v="23.385000000000002"/>
    <n v="8"/>
    <d v="2019-01-21T00:00:00"/>
    <n v="1"/>
    <n v="16"/>
  </r>
  <r>
    <s v="458-41-1477"/>
    <x v="1"/>
    <s v="Naypyitaw"/>
    <s v="Normal"/>
    <s v="Female"/>
    <s v="Health and beauty"/>
    <n v="46.26"/>
    <n v="6"/>
    <n v="13.878"/>
    <x v="144"/>
    <d v="2019-08-03T00:00:00"/>
    <d v="1899-12-30T17:11:00"/>
    <s v="Credit card"/>
    <n v="277.56"/>
    <n v="4.7619047620000003"/>
    <n v="13.878"/>
    <n v="9.5"/>
    <d v="2019-03-08T00:00:00"/>
    <n v="3"/>
    <n v="17"/>
  </r>
  <r>
    <s v="685-64-1609"/>
    <x v="0"/>
    <s v="Yangon"/>
    <s v="Member"/>
    <s v="Female"/>
    <s v="Fashion accessories"/>
    <n v="30.14"/>
    <n v="10"/>
    <n v="15.07"/>
    <x v="145"/>
    <d v="2019-10-02T00:00:00"/>
    <d v="1899-12-30T12:28:00"/>
    <s v="Ewallet"/>
    <n v="301.39999999999998"/>
    <n v="4.7619047620000003"/>
    <n v="15.07"/>
    <n v="9.1999999999999993"/>
    <d v="2019-02-10T00:00:00"/>
    <n v="2"/>
    <n v="12"/>
  </r>
  <r>
    <s v="568-90-5112"/>
    <x v="1"/>
    <s v="Naypyitaw"/>
    <s v="Normal"/>
    <s v="Male"/>
    <s v="Health and beauty"/>
    <n v="66.14"/>
    <n v="4"/>
    <n v="13.228"/>
    <x v="146"/>
    <s v="3/19/2019"/>
    <d v="1899-12-30T12:46:00"/>
    <s v="Credit card"/>
    <n v="264.56"/>
    <n v="4.7619047620000003"/>
    <n v="13.228"/>
    <n v="5.6"/>
    <d v="2019-03-19T00:00:00"/>
    <n v="3"/>
    <n v="12"/>
  </r>
  <r>
    <s v="262-47-2794"/>
    <x v="2"/>
    <s v="Mandalay"/>
    <s v="Member"/>
    <s v="Male"/>
    <s v="Home and lifestyle"/>
    <n v="71.86"/>
    <n v="8"/>
    <n v="28.744"/>
    <x v="147"/>
    <d v="2019-06-03T00:00:00"/>
    <d v="1899-12-30T15:07:00"/>
    <s v="Credit card"/>
    <n v="574.88"/>
    <n v="4.7619047620000003"/>
    <n v="28.744"/>
    <n v="6.2"/>
    <d v="2019-03-06T00:00:00"/>
    <n v="3"/>
    <n v="15"/>
  </r>
  <r>
    <s v="238-49-0436"/>
    <x v="0"/>
    <s v="Yangon"/>
    <s v="Normal"/>
    <s v="Male"/>
    <s v="Health and beauty"/>
    <n v="32.46"/>
    <n v="8"/>
    <n v="12.984"/>
    <x v="148"/>
    <s v="3/27/2019"/>
    <d v="1899-12-30T13:48:00"/>
    <s v="Credit card"/>
    <n v="259.68"/>
    <n v="4.7619047620000003"/>
    <n v="12.984"/>
    <n v="4.9000000000000004"/>
    <d v="2019-03-27T00:00:00"/>
    <n v="3"/>
    <n v="13"/>
  </r>
  <r>
    <s v="608-96-3517"/>
    <x v="2"/>
    <s v="Mandalay"/>
    <s v="Member"/>
    <s v="Female"/>
    <s v="Fashion accessories"/>
    <n v="91.54"/>
    <n v="4"/>
    <n v="18.308"/>
    <x v="149"/>
    <s v="3/23/2019"/>
    <d v="1899-12-30T19:20:00"/>
    <s v="Credit card"/>
    <n v="366.16"/>
    <n v="4.7619047620000003"/>
    <n v="18.308"/>
    <n v="4.8"/>
    <d v="2019-03-23T00:00:00"/>
    <n v="3"/>
    <n v="19"/>
  </r>
  <r>
    <s v="584-86-7256"/>
    <x v="1"/>
    <s v="Naypyitaw"/>
    <s v="Member"/>
    <s v="Male"/>
    <s v="Sports and travel"/>
    <n v="34.56"/>
    <n v="7"/>
    <n v="12.096"/>
    <x v="150"/>
    <d v="2019-11-03T00:00:00"/>
    <d v="1899-12-30T16:07:00"/>
    <s v="Credit card"/>
    <n v="241.92"/>
    <n v="4.7619047620000003"/>
    <n v="12.096"/>
    <n v="7.3"/>
    <d v="2019-03-11T00:00:00"/>
    <n v="3"/>
    <n v="16"/>
  </r>
  <r>
    <s v="746-94-0204"/>
    <x v="0"/>
    <s v="Yangon"/>
    <s v="Normal"/>
    <s v="Male"/>
    <s v="Fashion accessories"/>
    <n v="83.24"/>
    <n v="9"/>
    <n v="37.457999999999998"/>
    <x v="151"/>
    <s v="1/29/2019"/>
    <d v="1899-12-30T11:56:00"/>
    <s v="Credit card"/>
    <n v="749.16"/>
    <n v="4.7619047620000003"/>
    <n v="37.457999999999998"/>
    <n v="7.4"/>
    <d v="2019-01-29T00:00:00"/>
    <n v="1"/>
    <n v="11"/>
  </r>
  <r>
    <s v="214-17-6927"/>
    <x v="1"/>
    <s v="Naypyitaw"/>
    <s v="Normal"/>
    <s v="Female"/>
    <s v="Food and beverages"/>
    <n v="16.48"/>
    <n v="6"/>
    <n v="4.944"/>
    <x v="152"/>
    <d v="2019-07-02T00:00:00"/>
    <d v="1899-12-30T18:23:00"/>
    <s v="Ewallet"/>
    <n v="98.88"/>
    <n v="4.7619047620000003"/>
    <n v="4.944"/>
    <n v="9.9"/>
    <d v="2019-02-07T00:00:00"/>
    <n v="2"/>
    <n v="18"/>
  </r>
  <r>
    <s v="400-89-4171"/>
    <x v="1"/>
    <s v="Naypyitaw"/>
    <s v="Normal"/>
    <s v="Female"/>
    <s v="Sports and travel"/>
    <n v="80.97"/>
    <n v="8"/>
    <n v="32.387999999999998"/>
    <x v="153"/>
    <s v="1/28/2019"/>
    <d v="1899-12-30T13:05:00"/>
    <s v="Cash"/>
    <n v="647.76"/>
    <n v="4.7619047620000003"/>
    <n v="32.387999999999998"/>
    <n v="9.3000000000000007"/>
    <d v="2019-01-28T00:00:00"/>
    <n v="1"/>
    <n v="13"/>
  </r>
  <r>
    <s v="782-95-9291"/>
    <x v="0"/>
    <s v="Yangon"/>
    <s v="Member"/>
    <s v="Male"/>
    <s v="Food and beverages"/>
    <n v="92.29"/>
    <n v="5"/>
    <n v="23.072500000000002"/>
    <x v="154"/>
    <s v="2/20/2019"/>
    <d v="1899-12-30T15:55:00"/>
    <s v="Credit card"/>
    <n v="461.45"/>
    <n v="4.7619047620000003"/>
    <n v="23.072500000000002"/>
    <n v="9"/>
    <d v="2019-02-20T00:00:00"/>
    <n v="2"/>
    <n v="15"/>
  </r>
  <r>
    <s v="279-74-2924"/>
    <x v="2"/>
    <s v="Mandalay"/>
    <s v="Member"/>
    <s v="Male"/>
    <s v="Electronic accessories"/>
    <n v="72.17"/>
    <n v="1"/>
    <n v="3.6084999999999998"/>
    <x v="155"/>
    <d v="2019-04-01T00:00:00"/>
    <d v="1899-12-30T19:40:00"/>
    <s v="Cash"/>
    <n v="72.17"/>
    <n v="4.7619047620000003"/>
    <n v="3.6084999999999998"/>
    <n v="6.1"/>
    <d v="2019-01-04T00:00:00"/>
    <n v="1"/>
    <n v="19"/>
  </r>
  <r>
    <s v="307-85-2293"/>
    <x v="2"/>
    <s v="Mandalay"/>
    <s v="Normal"/>
    <s v="Male"/>
    <s v="Home and lifestyle"/>
    <n v="50.28"/>
    <n v="5"/>
    <n v="12.57"/>
    <x v="156"/>
    <d v="2019-07-03T00:00:00"/>
    <d v="1899-12-30T13:58:00"/>
    <s v="Ewallet"/>
    <n v="251.4"/>
    <n v="4.7619047620000003"/>
    <n v="12.57"/>
    <n v="9.6999999999999993"/>
    <d v="2019-03-07T00:00:00"/>
    <n v="3"/>
    <n v="13"/>
  </r>
  <r>
    <s v="743-04-1105"/>
    <x v="2"/>
    <s v="Mandalay"/>
    <s v="Member"/>
    <s v="Male"/>
    <s v="Health and beauty"/>
    <n v="97.22"/>
    <n v="9"/>
    <n v="43.749000000000002"/>
    <x v="157"/>
    <s v="3/30/2019"/>
    <d v="1899-12-30T14:43:00"/>
    <s v="Ewallet"/>
    <n v="874.98"/>
    <n v="4.7619047620000003"/>
    <n v="43.749000000000002"/>
    <n v="6"/>
    <d v="2019-03-30T00:00:00"/>
    <n v="3"/>
    <n v="14"/>
  </r>
  <r>
    <s v="423-57-2993"/>
    <x v="2"/>
    <s v="Mandalay"/>
    <s v="Normal"/>
    <s v="Male"/>
    <s v="Sports and travel"/>
    <n v="93.39"/>
    <n v="6"/>
    <n v="28.016999999999999"/>
    <x v="158"/>
    <s v="3/27/2019"/>
    <d v="1899-12-30T19:18:00"/>
    <s v="Ewallet"/>
    <n v="560.34"/>
    <n v="4.7619047620000003"/>
    <n v="28.016999999999999"/>
    <n v="10"/>
    <d v="2019-03-27T00:00:00"/>
    <n v="3"/>
    <n v="19"/>
  </r>
  <r>
    <s v="894-41-5205"/>
    <x v="1"/>
    <s v="Naypyitaw"/>
    <s v="Normal"/>
    <s v="Female"/>
    <s v="Food and beverages"/>
    <n v="43.18"/>
    <n v="8"/>
    <n v="17.271999999999998"/>
    <x v="159"/>
    <s v="1/19/2019"/>
    <d v="1899-12-30T19:39:00"/>
    <s v="Credit card"/>
    <n v="345.44"/>
    <n v="4.7619047620000003"/>
    <n v="17.271999999999998"/>
    <n v="8.3000000000000007"/>
    <d v="2019-01-19T00:00:00"/>
    <n v="1"/>
    <n v="19"/>
  </r>
  <r>
    <s v="275-28-0149"/>
    <x v="0"/>
    <s v="Yangon"/>
    <s v="Normal"/>
    <s v="Male"/>
    <s v="Sports and travel"/>
    <n v="63.69"/>
    <n v="1"/>
    <n v="3.1844999999999999"/>
    <x v="160"/>
    <s v="2/25/2019"/>
    <d v="1899-12-30T16:21:00"/>
    <s v="Cash"/>
    <n v="63.69"/>
    <n v="4.7619047620000003"/>
    <n v="3.1844999999999999"/>
    <n v="6"/>
    <d v="2019-02-25T00:00:00"/>
    <n v="2"/>
    <n v="16"/>
  </r>
  <r>
    <s v="101-17-6199"/>
    <x v="0"/>
    <s v="Yangon"/>
    <s v="Normal"/>
    <s v="Male"/>
    <s v="Food and beverages"/>
    <n v="45.79"/>
    <n v="7"/>
    <n v="16.026499999999999"/>
    <x v="161"/>
    <s v="3/13/2019"/>
    <d v="1899-12-30T19:44:00"/>
    <s v="Credit card"/>
    <n v="320.52999999999997"/>
    <n v="4.7619047620000003"/>
    <n v="16.026499999999999"/>
    <n v="7"/>
    <d v="2019-03-13T00:00:00"/>
    <n v="3"/>
    <n v="19"/>
  </r>
  <r>
    <s v="423-80-0988"/>
    <x v="1"/>
    <s v="Naypyitaw"/>
    <s v="Normal"/>
    <s v="Male"/>
    <s v="Sports and travel"/>
    <n v="76.400000000000006"/>
    <n v="2"/>
    <n v="7.64"/>
    <x v="162"/>
    <s v="1/30/2019"/>
    <d v="1899-12-30T19:42:00"/>
    <s v="Ewallet"/>
    <n v="152.80000000000001"/>
    <n v="4.7619047620000003"/>
    <n v="7.64"/>
    <n v="6.5"/>
    <d v="2019-01-30T00:00:00"/>
    <n v="1"/>
    <n v="19"/>
  </r>
  <r>
    <s v="548-46-9322"/>
    <x v="2"/>
    <s v="Mandalay"/>
    <s v="Normal"/>
    <s v="Male"/>
    <s v="Food and beverages"/>
    <n v="39.9"/>
    <n v="10"/>
    <n v="19.95"/>
    <x v="163"/>
    <s v="2/20/2019"/>
    <d v="1899-12-30T15:24:00"/>
    <s v="Credit card"/>
    <n v="399"/>
    <n v="4.7619047620000003"/>
    <n v="19.95"/>
    <n v="5.9"/>
    <d v="2019-02-20T00:00:00"/>
    <n v="2"/>
    <n v="15"/>
  </r>
  <r>
    <s v="505-02-0892"/>
    <x v="2"/>
    <s v="Mandalay"/>
    <s v="Member"/>
    <s v="Male"/>
    <s v="Health and beauty"/>
    <n v="42.57"/>
    <n v="8"/>
    <n v="17.027999999999999"/>
    <x v="164"/>
    <s v="2/25/2019"/>
    <d v="1899-12-30T14:12:00"/>
    <s v="Ewallet"/>
    <n v="340.56"/>
    <n v="4.7619047620000003"/>
    <n v="17.027999999999999"/>
    <n v="5.6"/>
    <d v="2019-02-25T00:00:00"/>
    <n v="2"/>
    <n v="14"/>
  </r>
  <r>
    <s v="234-65-2137"/>
    <x v="1"/>
    <s v="Naypyitaw"/>
    <s v="Normal"/>
    <s v="Male"/>
    <s v="Home and lifestyle"/>
    <n v="95.58"/>
    <n v="10"/>
    <n v="47.79"/>
    <x v="165"/>
    <s v="1/16/2019"/>
    <d v="1899-12-30T13:32:00"/>
    <s v="Cash"/>
    <n v="955.8"/>
    <n v="4.7619047620000003"/>
    <n v="47.79"/>
    <n v="4.8"/>
    <d v="2019-01-16T00:00:00"/>
    <n v="1"/>
    <n v="13"/>
  </r>
  <r>
    <s v="687-47-8271"/>
    <x v="0"/>
    <s v="Yangon"/>
    <s v="Normal"/>
    <s v="Male"/>
    <s v="Fashion accessories"/>
    <n v="98.98"/>
    <n v="10"/>
    <n v="49.49"/>
    <x v="166"/>
    <d v="2019-08-02T00:00:00"/>
    <d v="1899-12-30T16:20:00"/>
    <s v="Credit card"/>
    <n v="989.8"/>
    <n v="4.7619047620000003"/>
    <n v="49.49"/>
    <n v="8.6999999999999993"/>
    <d v="2019-02-08T00:00:00"/>
    <n v="2"/>
    <n v="16"/>
  </r>
  <r>
    <s v="796-32-9050"/>
    <x v="0"/>
    <s v="Yangon"/>
    <s v="Normal"/>
    <s v="Male"/>
    <s v="Food and beverages"/>
    <n v="51.28"/>
    <n v="6"/>
    <n v="15.384"/>
    <x v="167"/>
    <s v="1/19/2019"/>
    <d v="1899-12-30T16:31:00"/>
    <s v="Cash"/>
    <n v="307.68"/>
    <n v="4.7619047620000003"/>
    <n v="15.384"/>
    <n v="6.5"/>
    <d v="2019-01-19T00:00:00"/>
    <n v="1"/>
    <n v="16"/>
  </r>
  <r>
    <s v="105-31-1824"/>
    <x v="0"/>
    <s v="Yangon"/>
    <s v="Member"/>
    <s v="Male"/>
    <s v="Sports and travel"/>
    <n v="69.52"/>
    <n v="7"/>
    <n v="24.332000000000001"/>
    <x v="168"/>
    <d v="2019-01-02T00:00:00"/>
    <d v="1899-12-30T15:10:00"/>
    <s v="Credit card"/>
    <n v="486.64"/>
    <n v="4.7619047620000003"/>
    <n v="24.332000000000001"/>
    <n v="8.5"/>
    <d v="2019-02-01T00:00:00"/>
    <n v="2"/>
    <n v="15"/>
  </r>
  <r>
    <s v="249-42-3782"/>
    <x v="0"/>
    <s v="Yangon"/>
    <s v="Normal"/>
    <s v="Male"/>
    <s v="Health and beauty"/>
    <n v="70.010000000000005"/>
    <n v="5"/>
    <n v="17.502500000000001"/>
    <x v="169"/>
    <d v="2019-03-01T00:00:00"/>
    <d v="1899-12-30T11:36:00"/>
    <s v="Ewallet"/>
    <n v="350.05"/>
    <n v="4.7619047620000003"/>
    <n v="17.502500000000001"/>
    <n v="5.5"/>
    <d v="2019-01-03T00:00:00"/>
    <n v="1"/>
    <n v="11"/>
  </r>
  <r>
    <s v="316-55-4634"/>
    <x v="2"/>
    <s v="Mandalay"/>
    <s v="Member"/>
    <s v="Male"/>
    <s v="Food and beverages"/>
    <n v="80.05"/>
    <n v="5"/>
    <n v="20.012499999999999"/>
    <x v="170"/>
    <s v="1/26/2019"/>
    <d v="1899-12-30T12:45:00"/>
    <s v="Credit card"/>
    <n v="400.25"/>
    <n v="4.7619047620000003"/>
    <n v="20.012499999999999"/>
    <n v="9.4"/>
    <d v="2019-01-26T00:00:00"/>
    <n v="1"/>
    <n v="12"/>
  </r>
  <r>
    <s v="733-33-4967"/>
    <x v="1"/>
    <s v="Naypyitaw"/>
    <s v="Normal"/>
    <s v="Male"/>
    <s v="Electronic accessories"/>
    <n v="20.85"/>
    <n v="8"/>
    <n v="8.34"/>
    <x v="171"/>
    <d v="2019-03-03T00:00:00"/>
    <d v="1899-12-30T19:17:00"/>
    <s v="Cash"/>
    <n v="166.8"/>
    <n v="4.7619047620000003"/>
    <n v="8.34"/>
    <n v="6.3"/>
    <d v="2019-03-03T00:00:00"/>
    <n v="3"/>
    <n v="19"/>
  </r>
  <r>
    <s v="608-27-6295"/>
    <x v="2"/>
    <s v="Mandalay"/>
    <s v="Member"/>
    <s v="Male"/>
    <s v="Electronic accessories"/>
    <n v="52.89"/>
    <n v="6"/>
    <n v="15.867000000000001"/>
    <x v="172"/>
    <s v="1/19/2019"/>
    <d v="1899-12-30T17:34:00"/>
    <s v="Credit card"/>
    <n v="317.33999999999997"/>
    <n v="4.7619047620000003"/>
    <n v="15.867000000000001"/>
    <n v="9.8000000000000007"/>
    <d v="2019-01-19T00:00:00"/>
    <n v="1"/>
    <n v="17"/>
  </r>
  <r>
    <s v="414-12-7047"/>
    <x v="2"/>
    <s v="Mandalay"/>
    <s v="Normal"/>
    <s v="Male"/>
    <s v="Food and beverages"/>
    <n v="19.79"/>
    <n v="8"/>
    <n v="7.9160000000000004"/>
    <x v="173"/>
    <s v="1/18/2019"/>
    <d v="1899-12-30T12:04:00"/>
    <s v="Ewallet"/>
    <n v="158.32"/>
    <n v="4.7619047620000003"/>
    <n v="7.9160000000000004"/>
    <n v="8.6999999999999993"/>
    <d v="2019-01-18T00:00:00"/>
    <n v="1"/>
    <n v="12"/>
  </r>
  <r>
    <s v="827-26-2100"/>
    <x v="0"/>
    <s v="Yangon"/>
    <s v="Member"/>
    <s v="Male"/>
    <s v="Home and lifestyle"/>
    <n v="33.840000000000003"/>
    <n v="9"/>
    <n v="15.228"/>
    <x v="174"/>
    <s v="3/21/2019"/>
    <d v="1899-12-30T16:21:00"/>
    <s v="Ewallet"/>
    <n v="304.56"/>
    <n v="4.7619047620000003"/>
    <n v="15.228"/>
    <n v="8.8000000000000007"/>
    <d v="2019-03-21T00:00:00"/>
    <n v="3"/>
    <n v="16"/>
  </r>
  <r>
    <s v="175-54-2529"/>
    <x v="0"/>
    <s v="Yangon"/>
    <s v="Member"/>
    <s v="Male"/>
    <s v="Food and beverages"/>
    <n v="22.17"/>
    <n v="8"/>
    <n v="8.8680000000000003"/>
    <x v="175"/>
    <d v="2019-03-03T00:00:00"/>
    <d v="1899-12-30T17:01:00"/>
    <s v="Credit card"/>
    <n v="177.36"/>
    <n v="4.7619047620000003"/>
    <n v="8.8680000000000003"/>
    <n v="9.6"/>
    <d v="2019-03-03T00:00:00"/>
    <n v="3"/>
    <n v="17"/>
  </r>
  <r>
    <s v="139-52-2867"/>
    <x v="1"/>
    <s v="Naypyitaw"/>
    <s v="Normal"/>
    <s v="Female"/>
    <s v="Fashion accessories"/>
    <n v="22.51"/>
    <n v="7"/>
    <n v="7.8784999999999998"/>
    <x v="176"/>
    <s v="2/13/2019"/>
    <d v="1899-12-30T10:50:00"/>
    <s v="Credit card"/>
    <n v="157.57"/>
    <n v="4.7619047620000003"/>
    <n v="7.8784999999999998"/>
    <n v="4.8"/>
    <d v="2019-02-13T00:00:00"/>
    <n v="2"/>
    <n v="10"/>
  </r>
  <r>
    <s v="407-63-8975"/>
    <x v="0"/>
    <s v="Yangon"/>
    <s v="Normal"/>
    <s v="Male"/>
    <s v="Food and beverages"/>
    <n v="73.88"/>
    <n v="6"/>
    <n v="22.164000000000001"/>
    <x v="177"/>
    <s v="3/23/2019"/>
    <d v="1899-12-30T19:16:00"/>
    <s v="Ewallet"/>
    <n v="443.28"/>
    <n v="4.7619047620000003"/>
    <n v="22.164000000000001"/>
    <n v="4.4000000000000004"/>
    <d v="2019-03-23T00:00:00"/>
    <n v="3"/>
    <n v="19"/>
  </r>
  <r>
    <s v="342-65-4817"/>
    <x v="1"/>
    <s v="Naypyitaw"/>
    <s v="Member"/>
    <s v="Male"/>
    <s v="Health and beauty"/>
    <n v="86.8"/>
    <n v="3"/>
    <n v="13.02"/>
    <x v="178"/>
    <s v="1/28/2019"/>
    <d v="1899-12-30T16:47:00"/>
    <s v="Ewallet"/>
    <n v="260.39999999999998"/>
    <n v="4.7619047620000003"/>
    <n v="13.02"/>
    <n v="9.9"/>
    <d v="2019-01-28T00:00:00"/>
    <n v="1"/>
    <n v="16"/>
  </r>
  <r>
    <s v="130-98-8941"/>
    <x v="1"/>
    <s v="Naypyitaw"/>
    <s v="Normal"/>
    <s v="Male"/>
    <s v="Fashion accessories"/>
    <n v="64.260000000000005"/>
    <n v="7"/>
    <n v="22.491"/>
    <x v="179"/>
    <d v="2019-09-02T00:00:00"/>
    <d v="1899-12-30T10:00:00"/>
    <s v="Cash"/>
    <n v="449.82"/>
    <n v="4.7619047620000003"/>
    <n v="22.491"/>
    <n v="5.7"/>
    <d v="2019-02-09T00:00:00"/>
    <n v="2"/>
    <n v="10"/>
  </r>
  <r>
    <s v="434-83-9547"/>
    <x v="1"/>
    <s v="Naypyitaw"/>
    <s v="Member"/>
    <s v="Male"/>
    <s v="Food and beverages"/>
    <n v="38.47"/>
    <n v="8"/>
    <n v="15.388"/>
    <x v="180"/>
    <s v="1/23/2019"/>
    <d v="1899-12-30T11:51:00"/>
    <s v="Cash"/>
    <n v="307.76"/>
    <n v="4.7619047620000003"/>
    <n v="15.388"/>
    <n v="7.7"/>
    <d v="2019-01-23T00:00:00"/>
    <n v="1"/>
    <n v="11"/>
  </r>
  <r>
    <s v="851-28-6367"/>
    <x v="0"/>
    <s v="Yangon"/>
    <s v="Member"/>
    <s v="Male"/>
    <s v="Sports and travel"/>
    <n v="15.5"/>
    <n v="10"/>
    <n v="7.75"/>
    <x v="181"/>
    <s v="3/23/2019"/>
    <d v="1899-12-30T10:55:00"/>
    <s v="Ewallet"/>
    <n v="155"/>
    <n v="4.7619047620000003"/>
    <n v="7.75"/>
    <n v="8"/>
    <d v="2019-03-23T00:00:00"/>
    <n v="3"/>
    <n v="10"/>
  </r>
  <r>
    <s v="824-88-3614"/>
    <x v="1"/>
    <s v="Naypyitaw"/>
    <s v="Normal"/>
    <s v="Male"/>
    <s v="Health and beauty"/>
    <n v="34.31"/>
    <n v="8"/>
    <n v="13.724"/>
    <x v="182"/>
    <s v="1/25/2019"/>
    <d v="1899-12-30T15:00:00"/>
    <s v="Ewallet"/>
    <n v="274.48"/>
    <n v="4.7619047620000003"/>
    <n v="13.724"/>
    <n v="5.7"/>
    <d v="2019-01-25T00:00:00"/>
    <n v="1"/>
    <n v="15"/>
  </r>
  <r>
    <s v="586-25-0848"/>
    <x v="0"/>
    <s v="Yangon"/>
    <s v="Normal"/>
    <s v="Female"/>
    <s v="Sports and travel"/>
    <n v="12.34"/>
    <n v="7"/>
    <n v="4.319"/>
    <x v="183"/>
    <d v="2019-04-03T00:00:00"/>
    <d v="1899-12-30T11:19:00"/>
    <s v="Credit card"/>
    <n v="86.38"/>
    <n v="4.7619047620000003"/>
    <n v="4.319"/>
    <n v="6.7"/>
    <d v="2019-03-04T00:00:00"/>
    <n v="3"/>
    <n v="11"/>
  </r>
  <r>
    <s v="895-66-0685"/>
    <x v="2"/>
    <s v="Mandalay"/>
    <s v="Member"/>
    <s v="Male"/>
    <s v="Food and beverages"/>
    <n v="18.079999999999998"/>
    <n v="3"/>
    <n v="2.7120000000000002"/>
    <x v="184"/>
    <d v="2019-05-03T00:00:00"/>
    <d v="1899-12-30T19:46:00"/>
    <s v="Ewallet"/>
    <n v="54.24"/>
    <n v="4.7619047620000003"/>
    <n v="2.7120000000000002"/>
    <n v="8"/>
    <d v="2019-03-05T00:00:00"/>
    <n v="3"/>
    <n v="19"/>
  </r>
  <r>
    <s v="305-14-0245"/>
    <x v="2"/>
    <s v="Mandalay"/>
    <s v="Member"/>
    <s v="Female"/>
    <s v="Home and lifestyle"/>
    <n v="94.49"/>
    <n v="8"/>
    <n v="37.795999999999999"/>
    <x v="185"/>
    <d v="2019-03-03T00:00:00"/>
    <d v="1899-12-30T19:00:00"/>
    <s v="Ewallet"/>
    <n v="755.92"/>
    <n v="4.7619047620000003"/>
    <n v="37.795999999999999"/>
    <n v="7.5"/>
    <d v="2019-03-03T00:00:00"/>
    <n v="3"/>
    <n v="19"/>
  </r>
  <r>
    <s v="732-04-5373"/>
    <x v="2"/>
    <s v="Mandalay"/>
    <s v="Member"/>
    <s v="Male"/>
    <s v="Home and lifestyle"/>
    <n v="46.47"/>
    <n v="4"/>
    <n v="9.2940000000000005"/>
    <x v="186"/>
    <d v="2019-08-02T00:00:00"/>
    <d v="1899-12-30T10:53:00"/>
    <s v="Cash"/>
    <n v="185.88"/>
    <n v="4.7619047620000003"/>
    <n v="9.2940000000000005"/>
    <n v="7"/>
    <d v="2019-02-08T00:00:00"/>
    <n v="2"/>
    <n v="10"/>
  </r>
  <r>
    <s v="400-60-7251"/>
    <x v="0"/>
    <s v="Yangon"/>
    <s v="Normal"/>
    <s v="Male"/>
    <s v="Home and lifestyle"/>
    <n v="74.069999999999993"/>
    <n v="1"/>
    <n v="3.7035"/>
    <x v="187"/>
    <d v="2019-10-02T00:00:00"/>
    <d v="1899-12-30T12:50:00"/>
    <s v="Ewallet"/>
    <n v="74.069999999999993"/>
    <n v="4.7619047620000003"/>
    <n v="3.7035"/>
    <n v="9.9"/>
    <d v="2019-02-10T00:00:00"/>
    <n v="2"/>
    <n v="12"/>
  </r>
  <r>
    <s v="593-65-1552"/>
    <x v="1"/>
    <s v="Naypyitaw"/>
    <s v="Normal"/>
    <s v="Female"/>
    <s v="Home and lifestyle"/>
    <n v="69.81"/>
    <n v="4"/>
    <n v="13.962"/>
    <x v="188"/>
    <s v="1/28/2019"/>
    <d v="1899-12-30T20:50:00"/>
    <s v="Credit card"/>
    <n v="279.24"/>
    <n v="4.7619047620000003"/>
    <n v="13.962"/>
    <n v="5.9"/>
    <d v="2019-01-28T00:00:00"/>
    <n v="1"/>
    <n v="20"/>
  </r>
  <r>
    <s v="284-34-9626"/>
    <x v="2"/>
    <s v="Mandalay"/>
    <s v="Normal"/>
    <s v="Female"/>
    <s v="Home and lifestyle"/>
    <n v="77.040000000000006"/>
    <n v="3"/>
    <n v="11.555999999999999"/>
    <x v="189"/>
    <d v="2019-11-02T00:00:00"/>
    <d v="1899-12-30T10:39:00"/>
    <s v="Credit card"/>
    <n v="231.12"/>
    <n v="4.7619047620000003"/>
    <n v="11.555999999999999"/>
    <n v="7.2"/>
    <d v="2019-02-11T00:00:00"/>
    <n v="2"/>
    <n v="10"/>
  </r>
  <r>
    <s v="437-58-8131"/>
    <x v="2"/>
    <s v="Mandalay"/>
    <s v="Normal"/>
    <s v="Female"/>
    <s v="Fashion accessories"/>
    <n v="73.52"/>
    <n v="2"/>
    <n v="7.3520000000000003"/>
    <x v="190"/>
    <s v="1/15/2019"/>
    <d v="1899-12-30T13:41:00"/>
    <s v="Ewallet"/>
    <n v="147.04"/>
    <n v="4.7619047620000003"/>
    <n v="7.3520000000000003"/>
    <n v="4.5999999999999996"/>
    <d v="2019-01-15T00:00:00"/>
    <n v="1"/>
    <n v="13"/>
  </r>
  <r>
    <s v="286-43-6208"/>
    <x v="1"/>
    <s v="Naypyitaw"/>
    <s v="Normal"/>
    <s v="Female"/>
    <s v="Food and beverages"/>
    <n v="87.8"/>
    <n v="9"/>
    <n v="39.51"/>
    <x v="191"/>
    <s v="3/16/2019"/>
    <d v="1899-12-30T19:08:00"/>
    <s v="Cash"/>
    <n v="790.2"/>
    <n v="4.7619047620000003"/>
    <n v="39.51"/>
    <n v="9.1999999999999993"/>
    <d v="2019-03-16T00:00:00"/>
    <n v="3"/>
    <n v="19"/>
  </r>
  <r>
    <s v="641-43-2399"/>
    <x v="2"/>
    <s v="Mandalay"/>
    <s v="Normal"/>
    <s v="Male"/>
    <s v="Home and lifestyle"/>
    <n v="25.55"/>
    <n v="4"/>
    <n v="5.1100000000000003"/>
    <x v="192"/>
    <s v="1/26/2019"/>
    <d v="1899-12-30T20:23:00"/>
    <s v="Ewallet"/>
    <n v="102.2"/>
    <n v="4.7619047620000003"/>
    <n v="5.1100000000000003"/>
    <n v="5.7"/>
    <d v="2019-01-26T00:00:00"/>
    <n v="1"/>
    <n v="20"/>
  </r>
  <r>
    <s v="831-07-6050"/>
    <x v="0"/>
    <s v="Yangon"/>
    <s v="Normal"/>
    <s v="Male"/>
    <s v="Electronic accessories"/>
    <n v="32.71"/>
    <n v="5"/>
    <n v="8.1775000000000002"/>
    <x v="193"/>
    <s v="3/19/2019"/>
    <d v="1899-12-30T11:30:00"/>
    <s v="Credit card"/>
    <n v="163.55000000000001"/>
    <n v="4.7619047620000003"/>
    <n v="8.1775000000000002"/>
    <n v="9.9"/>
    <d v="2019-03-19T00:00:00"/>
    <n v="3"/>
    <n v="11"/>
  </r>
  <r>
    <s v="556-86-3144"/>
    <x v="1"/>
    <s v="Naypyitaw"/>
    <s v="Member"/>
    <s v="Female"/>
    <s v="Fashion accessories"/>
    <n v="74.290000000000006"/>
    <n v="1"/>
    <n v="3.7145000000000001"/>
    <x v="194"/>
    <s v="1/13/2019"/>
    <d v="1899-12-30T19:30:00"/>
    <s v="Cash"/>
    <n v="74.290000000000006"/>
    <n v="4.7619047620000003"/>
    <n v="3.7145000000000001"/>
    <n v="5"/>
    <d v="2019-01-13T00:00:00"/>
    <n v="1"/>
    <n v="19"/>
  </r>
  <r>
    <s v="848-24-9445"/>
    <x v="1"/>
    <s v="Naypyitaw"/>
    <s v="Member"/>
    <s v="Male"/>
    <s v="Health and beauty"/>
    <n v="43.7"/>
    <n v="2"/>
    <n v="4.37"/>
    <x v="195"/>
    <s v="3/26/2019"/>
    <d v="1899-12-30T18:03:00"/>
    <s v="Cash"/>
    <n v="87.4"/>
    <n v="4.7619047620000003"/>
    <n v="4.37"/>
    <n v="4.9000000000000004"/>
    <d v="2019-03-26T00:00:00"/>
    <n v="3"/>
    <n v="18"/>
  </r>
  <r>
    <s v="856-22-8149"/>
    <x v="0"/>
    <s v="Yangon"/>
    <s v="Normal"/>
    <s v="Female"/>
    <s v="Home and lifestyle"/>
    <n v="25.29"/>
    <n v="1"/>
    <n v="1.2645"/>
    <x v="196"/>
    <s v="3/23/2019"/>
    <d v="1899-12-30T10:13:00"/>
    <s v="Ewallet"/>
    <n v="25.29"/>
    <n v="4.7619047620000003"/>
    <n v="1.2645"/>
    <n v="6.1"/>
    <d v="2019-03-23T00:00:00"/>
    <n v="3"/>
    <n v="10"/>
  </r>
  <r>
    <s v="699-01-4164"/>
    <x v="1"/>
    <s v="Naypyitaw"/>
    <s v="Normal"/>
    <s v="Male"/>
    <s v="Health and beauty"/>
    <n v="41.5"/>
    <n v="4"/>
    <n v="8.3000000000000007"/>
    <x v="197"/>
    <d v="2019-12-03T00:00:00"/>
    <d v="1899-12-30T19:58:00"/>
    <s v="Credit card"/>
    <n v="166"/>
    <n v="4.7619047620000003"/>
    <n v="8.3000000000000007"/>
    <n v="8.1999999999999993"/>
    <d v="2019-03-12T00:00:00"/>
    <n v="3"/>
    <n v="19"/>
  </r>
  <r>
    <s v="420-11-4919"/>
    <x v="1"/>
    <s v="Naypyitaw"/>
    <s v="Member"/>
    <s v="Female"/>
    <s v="Food and beverages"/>
    <n v="71.39"/>
    <n v="5"/>
    <n v="17.8475"/>
    <x v="198"/>
    <s v="2/17/2019"/>
    <d v="1899-12-30T19:57:00"/>
    <s v="Credit card"/>
    <n v="356.95"/>
    <n v="4.7619047620000003"/>
    <n v="17.8475"/>
    <n v="5.5"/>
    <d v="2019-02-17T00:00:00"/>
    <n v="2"/>
    <n v="19"/>
  </r>
  <r>
    <s v="606-80-4905"/>
    <x v="1"/>
    <s v="Naypyitaw"/>
    <s v="Member"/>
    <s v="Female"/>
    <s v="Sports and travel"/>
    <n v="19.149999999999999"/>
    <n v="6"/>
    <n v="5.7450000000000001"/>
    <x v="199"/>
    <s v="1/29/2019"/>
    <d v="1899-12-30T10:01:00"/>
    <s v="Credit card"/>
    <n v="114.9"/>
    <n v="4.7619047620000003"/>
    <n v="5.7450000000000001"/>
    <n v="6.8"/>
    <d v="2019-01-29T00:00:00"/>
    <n v="1"/>
    <n v="10"/>
  </r>
  <r>
    <s v="542-41-0513"/>
    <x v="2"/>
    <s v="Mandalay"/>
    <s v="Member"/>
    <s v="Female"/>
    <s v="Electronic accessories"/>
    <n v="57.49"/>
    <n v="4"/>
    <n v="11.497999999999999"/>
    <x v="200"/>
    <s v="3/15/2019"/>
    <d v="1899-12-30T11:57:00"/>
    <s v="Cash"/>
    <n v="229.96"/>
    <n v="4.7619047620000003"/>
    <n v="11.497999999999999"/>
    <n v="6.6"/>
    <d v="2019-03-15T00:00:00"/>
    <n v="3"/>
    <n v="11"/>
  </r>
  <r>
    <s v="426-39-2418"/>
    <x v="1"/>
    <s v="Naypyitaw"/>
    <s v="Normal"/>
    <s v="Male"/>
    <s v="Electronic accessories"/>
    <n v="61.41"/>
    <n v="7"/>
    <n v="21.493500000000001"/>
    <x v="201"/>
    <s v="1/14/2019"/>
    <d v="1899-12-30T10:02:00"/>
    <s v="Cash"/>
    <n v="429.87"/>
    <n v="4.7619047620000003"/>
    <n v="21.493500000000001"/>
    <n v="9.8000000000000007"/>
    <d v="2019-01-14T00:00:00"/>
    <n v="1"/>
    <n v="10"/>
  </r>
  <r>
    <s v="875-46-5808"/>
    <x v="2"/>
    <s v="Mandalay"/>
    <s v="Member"/>
    <s v="Male"/>
    <s v="Health and beauty"/>
    <n v="25.9"/>
    <n v="10"/>
    <n v="12.95"/>
    <x v="202"/>
    <d v="2019-06-02T00:00:00"/>
    <d v="1899-12-30T14:51:00"/>
    <s v="Ewallet"/>
    <n v="259"/>
    <n v="4.7619047620000003"/>
    <n v="12.95"/>
    <n v="8.6999999999999993"/>
    <d v="2019-02-06T00:00:00"/>
    <n v="2"/>
    <n v="14"/>
  </r>
  <r>
    <s v="394-43-4238"/>
    <x v="2"/>
    <s v="Mandalay"/>
    <s v="Member"/>
    <s v="Male"/>
    <s v="Home and lifestyle"/>
    <n v="17.77"/>
    <n v="5"/>
    <n v="4.4424999999999999"/>
    <x v="203"/>
    <s v="2/15/2019"/>
    <d v="1899-12-30T12:42:00"/>
    <s v="Credit card"/>
    <n v="88.85"/>
    <n v="4.7619047620000003"/>
    <n v="4.4424999999999999"/>
    <n v="5.4"/>
    <d v="2019-02-15T00:00:00"/>
    <n v="2"/>
    <n v="12"/>
  </r>
  <r>
    <s v="749-24-1565"/>
    <x v="0"/>
    <s v="Yangon"/>
    <s v="Normal"/>
    <s v="Female"/>
    <s v="Health and beauty"/>
    <n v="23.03"/>
    <n v="9"/>
    <n v="10.3635"/>
    <x v="204"/>
    <d v="2019-03-01T00:00:00"/>
    <d v="1899-12-30T12:02:00"/>
    <s v="Ewallet"/>
    <n v="207.27"/>
    <n v="4.7619047620000003"/>
    <n v="10.3635"/>
    <n v="7.9"/>
    <d v="2019-01-03T00:00:00"/>
    <n v="1"/>
    <n v="12"/>
  </r>
  <r>
    <s v="672-51-8681"/>
    <x v="1"/>
    <s v="Naypyitaw"/>
    <s v="Member"/>
    <s v="Female"/>
    <s v="Electronic accessories"/>
    <n v="66.650000000000006"/>
    <n v="9"/>
    <n v="29.9925"/>
    <x v="205"/>
    <d v="2019-04-01T00:00:00"/>
    <d v="1899-12-30T18:19:00"/>
    <s v="Credit card"/>
    <n v="599.85"/>
    <n v="4.7619047620000003"/>
    <n v="29.9925"/>
    <n v="9.6999999999999993"/>
    <d v="2019-01-04T00:00:00"/>
    <n v="1"/>
    <n v="18"/>
  </r>
  <r>
    <s v="263-87-5680"/>
    <x v="1"/>
    <s v="Naypyitaw"/>
    <s v="Member"/>
    <s v="Female"/>
    <s v="Home and lifestyle"/>
    <n v="28.53"/>
    <n v="10"/>
    <n v="14.265000000000001"/>
    <x v="206"/>
    <s v="3/18/2019"/>
    <d v="1899-12-30T17:38:00"/>
    <s v="Ewallet"/>
    <n v="285.3"/>
    <n v="4.7619047620000003"/>
    <n v="14.265000000000001"/>
    <n v="7.8"/>
    <d v="2019-03-18T00:00:00"/>
    <n v="3"/>
    <n v="17"/>
  </r>
  <r>
    <s v="573-58-9734"/>
    <x v="2"/>
    <s v="Mandalay"/>
    <s v="Normal"/>
    <s v="Female"/>
    <s v="Fashion accessories"/>
    <n v="30.37"/>
    <n v="3"/>
    <n v="4.5555000000000003"/>
    <x v="207"/>
    <s v="3/28/2019"/>
    <d v="1899-12-30T13:41:00"/>
    <s v="Ewallet"/>
    <n v="91.11"/>
    <n v="4.7619047620000003"/>
    <n v="4.5555000000000003"/>
    <n v="5.0999999999999996"/>
    <d v="2019-03-28T00:00:00"/>
    <n v="3"/>
    <n v="13"/>
  </r>
  <r>
    <s v="817-69-8206"/>
    <x v="2"/>
    <s v="Mandalay"/>
    <s v="Normal"/>
    <s v="Female"/>
    <s v="Electronic accessories"/>
    <n v="99.73"/>
    <n v="9"/>
    <n v="44.878500000000003"/>
    <x v="208"/>
    <d v="2019-02-03T00:00:00"/>
    <d v="1899-12-30T19:42:00"/>
    <s v="Credit card"/>
    <n v="897.57"/>
    <n v="4.7619047620000003"/>
    <n v="44.878500000000003"/>
    <n v="6.5"/>
    <d v="2019-03-02T00:00:00"/>
    <n v="3"/>
    <n v="19"/>
  </r>
  <r>
    <s v="888-02-0338"/>
    <x v="0"/>
    <s v="Yangon"/>
    <s v="Normal"/>
    <s v="Male"/>
    <s v="Electronic accessories"/>
    <n v="26.23"/>
    <n v="9"/>
    <n v="11.8035"/>
    <x v="209"/>
    <s v="1/25/2019"/>
    <d v="1899-12-30T20:24:00"/>
    <s v="Ewallet"/>
    <n v="236.07"/>
    <n v="4.7619047620000003"/>
    <n v="11.8035"/>
    <n v="5.9"/>
    <d v="2019-01-25T00:00:00"/>
    <n v="1"/>
    <n v="20"/>
  </r>
  <r>
    <s v="677-11-0152"/>
    <x v="1"/>
    <s v="Naypyitaw"/>
    <s v="Normal"/>
    <s v="Female"/>
    <s v="Food and beverages"/>
    <n v="93.26"/>
    <n v="9"/>
    <n v="41.966999999999999"/>
    <x v="210"/>
    <s v="1/16/2019"/>
    <d v="1899-12-30T18:08:00"/>
    <s v="Cash"/>
    <n v="839.34"/>
    <n v="4.7619047620000003"/>
    <n v="41.966999999999999"/>
    <n v="8.8000000000000007"/>
    <d v="2019-01-16T00:00:00"/>
    <n v="1"/>
    <n v="18"/>
  </r>
  <r>
    <s v="142-63-6033"/>
    <x v="2"/>
    <s v="Mandalay"/>
    <s v="Normal"/>
    <s v="Male"/>
    <s v="Home and lifestyle"/>
    <n v="92.36"/>
    <n v="5"/>
    <n v="23.09"/>
    <x v="211"/>
    <s v="3/20/2019"/>
    <d v="1899-12-30T19:17:00"/>
    <s v="Ewallet"/>
    <n v="461.8"/>
    <n v="4.7619047620000003"/>
    <n v="23.09"/>
    <n v="4.9000000000000004"/>
    <d v="2019-03-20T00:00:00"/>
    <n v="3"/>
    <n v="19"/>
  </r>
  <r>
    <s v="656-16-1063"/>
    <x v="2"/>
    <s v="Mandalay"/>
    <s v="Normal"/>
    <s v="Male"/>
    <s v="Sports and travel"/>
    <n v="46.42"/>
    <n v="3"/>
    <n v="6.9630000000000001"/>
    <x v="212"/>
    <d v="2019-04-01T00:00:00"/>
    <d v="1899-12-30T13:24:00"/>
    <s v="Credit card"/>
    <n v="139.26"/>
    <n v="4.7619047620000003"/>
    <n v="6.9630000000000001"/>
    <n v="4.4000000000000004"/>
    <d v="2019-01-04T00:00:00"/>
    <n v="1"/>
    <n v="13"/>
  </r>
  <r>
    <s v="891-58-8335"/>
    <x v="2"/>
    <s v="Mandalay"/>
    <s v="Member"/>
    <s v="Female"/>
    <s v="Sports and travel"/>
    <n v="29.61"/>
    <n v="7"/>
    <n v="10.3635"/>
    <x v="204"/>
    <d v="2019-11-03T00:00:00"/>
    <d v="1899-12-30T15:53:00"/>
    <s v="Cash"/>
    <n v="207.27"/>
    <n v="4.7619047620000003"/>
    <n v="10.3635"/>
    <n v="6.5"/>
    <d v="2019-03-11T00:00:00"/>
    <n v="3"/>
    <n v="15"/>
  </r>
  <r>
    <s v="802-43-8934"/>
    <x v="0"/>
    <s v="Yangon"/>
    <s v="Normal"/>
    <s v="Male"/>
    <s v="Home and lifestyle"/>
    <n v="18.28"/>
    <n v="1"/>
    <n v="0.91400000000000003"/>
    <x v="213"/>
    <s v="3/22/2019"/>
    <d v="1899-12-30T15:05:00"/>
    <s v="Credit card"/>
    <n v="18.28"/>
    <n v="4.7619047620000003"/>
    <n v="0.91400000000000003"/>
    <n v="8.3000000000000007"/>
    <d v="2019-03-22T00:00:00"/>
    <n v="3"/>
    <n v="15"/>
  </r>
  <r>
    <s v="560-30-5617"/>
    <x v="2"/>
    <s v="Mandalay"/>
    <s v="Normal"/>
    <s v="Female"/>
    <s v="Sports and travel"/>
    <n v="24.77"/>
    <n v="5"/>
    <n v="6.1924999999999999"/>
    <x v="214"/>
    <s v="3/24/2019"/>
    <d v="1899-12-30T18:27:00"/>
    <s v="Cash"/>
    <n v="123.85"/>
    <n v="4.7619047620000003"/>
    <n v="6.1924999999999999"/>
    <n v="8.5"/>
    <d v="2019-03-24T00:00:00"/>
    <n v="3"/>
    <n v="18"/>
  </r>
  <r>
    <s v="319-74-2561"/>
    <x v="0"/>
    <s v="Yangon"/>
    <s v="Member"/>
    <s v="Female"/>
    <s v="Electronic accessories"/>
    <n v="94.64"/>
    <n v="3"/>
    <n v="14.196"/>
    <x v="215"/>
    <s v="2/21/2019"/>
    <d v="1899-12-30T16:55:00"/>
    <s v="Cash"/>
    <n v="283.92"/>
    <n v="4.7619047620000003"/>
    <n v="14.196"/>
    <n v="5.5"/>
    <d v="2019-02-21T00:00:00"/>
    <n v="2"/>
    <n v="16"/>
  </r>
  <r>
    <s v="549-03-9315"/>
    <x v="2"/>
    <s v="Mandalay"/>
    <s v="Normal"/>
    <s v="Male"/>
    <s v="Fashion accessories"/>
    <n v="94.87"/>
    <n v="8"/>
    <n v="37.948"/>
    <x v="216"/>
    <d v="2019-12-02T00:00:00"/>
    <d v="1899-12-30T12:58:00"/>
    <s v="Ewallet"/>
    <n v="758.96"/>
    <n v="4.7619047620000003"/>
    <n v="37.948"/>
    <n v="8.6999999999999993"/>
    <d v="2019-02-12T00:00:00"/>
    <n v="2"/>
    <n v="12"/>
  </r>
  <r>
    <s v="790-29-1172"/>
    <x v="2"/>
    <s v="Mandalay"/>
    <s v="Normal"/>
    <s v="Female"/>
    <s v="Food and beverages"/>
    <n v="57.34"/>
    <n v="3"/>
    <n v="8.6010000000000009"/>
    <x v="217"/>
    <d v="2019-10-03T00:00:00"/>
    <d v="1899-12-30T18:59:00"/>
    <s v="Credit card"/>
    <n v="172.02"/>
    <n v="4.7619047620000003"/>
    <n v="8.6010000000000009"/>
    <n v="7.9"/>
    <d v="2019-03-10T00:00:00"/>
    <n v="3"/>
    <n v="18"/>
  </r>
  <r>
    <s v="239-36-3640"/>
    <x v="2"/>
    <s v="Mandalay"/>
    <s v="Normal"/>
    <s v="Male"/>
    <s v="Electronic accessories"/>
    <n v="45.35"/>
    <n v="6"/>
    <n v="13.605"/>
    <x v="218"/>
    <s v="1/31/2019"/>
    <d v="1899-12-30T13:44:00"/>
    <s v="Ewallet"/>
    <n v="272.10000000000002"/>
    <n v="4.7619047620000003"/>
    <n v="13.605"/>
    <n v="6.1"/>
    <d v="2019-01-31T00:00:00"/>
    <n v="1"/>
    <n v="13"/>
  </r>
  <r>
    <s v="468-01-2051"/>
    <x v="2"/>
    <s v="Mandalay"/>
    <s v="Normal"/>
    <s v="Male"/>
    <s v="Food and beverages"/>
    <n v="62.08"/>
    <n v="7"/>
    <n v="21.728000000000002"/>
    <x v="219"/>
    <d v="2019-06-03T00:00:00"/>
    <d v="1899-12-30T13:46:00"/>
    <s v="Ewallet"/>
    <n v="434.56"/>
    <n v="4.7619047620000003"/>
    <n v="21.728000000000002"/>
    <n v="5.4"/>
    <d v="2019-03-06T00:00:00"/>
    <n v="3"/>
    <n v="13"/>
  </r>
  <r>
    <s v="389-25-3394"/>
    <x v="1"/>
    <s v="Naypyitaw"/>
    <s v="Normal"/>
    <s v="Male"/>
    <s v="Electronic accessories"/>
    <n v="11.81"/>
    <n v="5"/>
    <n v="2.9525000000000001"/>
    <x v="220"/>
    <s v="2/17/2019"/>
    <d v="1899-12-30T18:06:00"/>
    <s v="Cash"/>
    <n v="59.05"/>
    <n v="4.7619047620000003"/>
    <n v="2.9525000000000001"/>
    <n v="9.4"/>
    <d v="2019-02-17T00:00:00"/>
    <n v="2"/>
    <n v="18"/>
  </r>
  <r>
    <s v="279-62-1445"/>
    <x v="1"/>
    <s v="Naypyitaw"/>
    <s v="Member"/>
    <s v="Female"/>
    <s v="Fashion accessories"/>
    <n v="12.54"/>
    <n v="1"/>
    <n v="0.627"/>
    <x v="221"/>
    <s v="2/21/2019"/>
    <d v="1899-12-30T12:38:00"/>
    <s v="Cash"/>
    <n v="12.54"/>
    <n v="4.7619047620000003"/>
    <n v="0.627"/>
    <n v="8.1999999999999993"/>
    <d v="2019-02-21T00:00:00"/>
    <n v="2"/>
    <n v="12"/>
  </r>
  <r>
    <s v="213-72-6612"/>
    <x v="0"/>
    <s v="Yangon"/>
    <s v="Normal"/>
    <s v="Male"/>
    <s v="Food and beverages"/>
    <n v="43.25"/>
    <n v="2"/>
    <n v="4.3250000000000002"/>
    <x v="222"/>
    <s v="3/20/2019"/>
    <d v="1899-12-30T15:56:00"/>
    <s v="Cash"/>
    <n v="86.5"/>
    <n v="4.7619047620000003"/>
    <n v="4.3250000000000002"/>
    <n v="6.2"/>
    <d v="2019-03-20T00:00:00"/>
    <n v="3"/>
    <n v="15"/>
  </r>
  <r>
    <s v="746-68-6593"/>
    <x v="1"/>
    <s v="Naypyitaw"/>
    <s v="Member"/>
    <s v="Female"/>
    <s v="Sports and travel"/>
    <n v="87.16"/>
    <n v="2"/>
    <n v="8.7159999999999993"/>
    <x v="223"/>
    <d v="2019-11-01T00:00:00"/>
    <d v="1899-12-30T14:29:00"/>
    <s v="Credit card"/>
    <n v="174.32"/>
    <n v="4.7619047620000003"/>
    <n v="8.7159999999999993"/>
    <n v="9.6999999999999993"/>
    <d v="2019-01-11T00:00:00"/>
    <n v="1"/>
    <n v="14"/>
  </r>
  <r>
    <s v="836-82-5858"/>
    <x v="2"/>
    <s v="Mandalay"/>
    <s v="Member"/>
    <s v="Male"/>
    <s v="Health and beauty"/>
    <n v="69.37"/>
    <n v="9"/>
    <n v="31.2165"/>
    <x v="224"/>
    <s v="1/26/2019"/>
    <d v="1899-12-30T19:14:00"/>
    <s v="Ewallet"/>
    <n v="624.33000000000004"/>
    <n v="4.7619047620000003"/>
    <n v="31.2165"/>
    <n v="4"/>
    <d v="2019-01-26T00:00:00"/>
    <n v="1"/>
    <n v="19"/>
  </r>
  <r>
    <s v="583-72-1480"/>
    <x v="1"/>
    <s v="Naypyitaw"/>
    <s v="Member"/>
    <s v="Male"/>
    <s v="Electronic accessories"/>
    <n v="37.06"/>
    <n v="4"/>
    <n v="7.4119999999999999"/>
    <x v="225"/>
    <s v="1/31/2019"/>
    <d v="1899-12-30T16:24:00"/>
    <s v="Ewallet"/>
    <n v="148.24"/>
    <n v="4.7619047620000003"/>
    <n v="7.4119999999999999"/>
    <n v="9.6999999999999993"/>
    <d v="2019-01-31T00:00:00"/>
    <n v="1"/>
    <n v="16"/>
  </r>
  <r>
    <s v="466-61-5506"/>
    <x v="2"/>
    <s v="Mandalay"/>
    <s v="Member"/>
    <s v="Female"/>
    <s v="Electronic accessories"/>
    <n v="90.7"/>
    <n v="6"/>
    <n v="27.21"/>
    <x v="226"/>
    <s v="2/26/2019"/>
    <d v="1899-12-30T10:52:00"/>
    <s v="Cash"/>
    <n v="544.20000000000005"/>
    <n v="4.7619047620000003"/>
    <n v="27.21"/>
    <n v="5.3"/>
    <d v="2019-02-26T00:00:00"/>
    <n v="2"/>
    <n v="10"/>
  </r>
  <r>
    <s v="721-86-6247"/>
    <x v="0"/>
    <s v="Yangon"/>
    <s v="Normal"/>
    <s v="Female"/>
    <s v="Home and lifestyle"/>
    <n v="63.42"/>
    <n v="8"/>
    <n v="25.367999999999999"/>
    <x v="227"/>
    <d v="2019-11-03T00:00:00"/>
    <d v="1899-12-30T12:55:00"/>
    <s v="Ewallet"/>
    <n v="507.36"/>
    <n v="4.7619047620000003"/>
    <n v="25.367999999999999"/>
    <n v="7.4"/>
    <d v="2019-03-11T00:00:00"/>
    <n v="3"/>
    <n v="12"/>
  </r>
  <r>
    <s v="289-65-5721"/>
    <x v="2"/>
    <s v="Mandalay"/>
    <s v="Normal"/>
    <s v="Female"/>
    <s v="Fashion accessories"/>
    <n v="81.37"/>
    <n v="2"/>
    <n v="8.1370000000000005"/>
    <x v="228"/>
    <s v="1/26/2019"/>
    <d v="1899-12-30T19:28:00"/>
    <s v="Cash"/>
    <n v="162.74"/>
    <n v="4.7619047620000003"/>
    <n v="8.1370000000000005"/>
    <n v="6.5"/>
    <d v="2019-01-26T00:00:00"/>
    <n v="1"/>
    <n v="19"/>
  </r>
  <r>
    <s v="545-46-3100"/>
    <x v="2"/>
    <s v="Mandalay"/>
    <s v="Member"/>
    <s v="Female"/>
    <s v="Electronic accessories"/>
    <n v="10.59"/>
    <n v="3"/>
    <n v="1.5885"/>
    <x v="229"/>
    <d v="2019-12-03T00:00:00"/>
    <d v="1899-12-30T13:52:00"/>
    <s v="Credit card"/>
    <n v="31.77"/>
    <n v="4.7619047620000003"/>
    <n v="1.5885"/>
    <n v="8.6999999999999993"/>
    <d v="2019-03-12T00:00:00"/>
    <n v="3"/>
    <n v="13"/>
  </r>
  <r>
    <s v="418-02-5978"/>
    <x v="2"/>
    <s v="Mandalay"/>
    <s v="Normal"/>
    <s v="Female"/>
    <s v="Health and beauty"/>
    <n v="84.09"/>
    <n v="9"/>
    <n v="37.840499999999999"/>
    <x v="230"/>
    <d v="2019-11-02T00:00:00"/>
    <d v="1899-12-30T10:54:00"/>
    <s v="Cash"/>
    <n v="756.81"/>
    <n v="4.7619047620000003"/>
    <n v="37.840499999999999"/>
    <n v="8"/>
    <d v="2019-02-11T00:00:00"/>
    <n v="2"/>
    <n v="10"/>
  </r>
  <r>
    <s v="269-04-5750"/>
    <x v="2"/>
    <s v="Mandalay"/>
    <s v="Member"/>
    <s v="Male"/>
    <s v="Fashion accessories"/>
    <n v="73.819999999999993"/>
    <n v="4"/>
    <n v="14.763999999999999"/>
    <x v="231"/>
    <s v="2/21/2019"/>
    <d v="1899-12-30T18:31:00"/>
    <s v="Cash"/>
    <n v="295.27999999999997"/>
    <n v="4.7619047620000003"/>
    <n v="14.763999999999999"/>
    <n v="6.7"/>
    <d v="2019-02-21T00:00:00"/>
    <n v="2"/>
    <n v="18"/>
  </r>
  <r>
    <s v="157-13-5295"/>
    <x v="0"/>
    <s v="Yangon"/>
    <s v="Member"/>
    <s v="Male"/>
    <s v="Health and beauty"/>
    <n v="51.94"/>
    <n v="10"/>
    <n v="25.97"/>
    <x v="232"/>
    <d v="2019-09-03T00:00:00"/>
    <d v="1899-12-30T18:24:00"/>
    <s v="Ewallet"/>
    <n v="519.4"/>
    <n v="4.7619047620000003"/>
    <n v="25.97"/>
    <n v="6.5"/>
    <d v="2019-03-09T00:00:00"/>
    <n v="3"/>
    <n v="18"/>
  </r>
  <r>
    <s v="645-78-8093"/>
    <x v="0"/>
    <s v="Yangon"/>
    <s v="Normal"/>
    <s v="Female"/>
    <s v="Sports and travel"/>
    <n v="93.14"/>
    <n v="2"/>
    <n v="9.3140000000000001"/>
    <x v="233"/>
    <s v="1/20/2019"/>
    <d v="1899-12-30T18:09:00"/>
    <s v="Ewallet"/>
    <n v="186.28"/>
    <n v="4.7619047620000003"/>
    <n v="9.3140000000000001"/>
    <n v="4.0999999999999996"/>
    <d v="2019-01-20T00:00:00"/>
    <n v="1"/>
    <n v="18"/>
  </r>
  <r>
    <s v="211-30-9270"/>
    <x v="1"/>
    <s v="Naypyitaw"/>
    <s v="Normal"/>
    <s v="Male"/>
    <s v="Health and beauty"/>
    <n v="17.41"/>
    <n v="5"/>
    <n v="4.3525"/>
    <x v="234"/>
    <s v="1/28/2019"/>
    <d v="1899-12-30T15:16:00"/>
    <s v="Credit card"/>
    <n v="87.05"/>
    <n v="4.7619047620000003"/>
    <n v="4.3525"/>
    <n v="4.9000000000000004"/>
    <d v="2019-01-28T00:00:00"/>
    <n v="1"/>
    <n v="15"/>
  </r>
  <r>
    <s v="755-12-3214"/>
    <x v="1"/>
    <s v="Naypyitaw"/>
    <s v="Member"/>
    <s v="Female"/>
    <s v="Fashion accessories"/>
    <n v="44.22"/>
    <n v="5"/>
    <n v="11.055"/>
    <x v="235"/>
    <d v="2019-05-03T00:00:00"/>
    <d v="1899-12-30T17:07:00"/>
    <s v="Credit card"/>
    <n v="221.1"/>
    <n v="4.7619047620000003"/>
    <n v="11.055"/>
    <n v="8.6"/>
    <d v="2019-03-05T00:00:00"/>
    <n v="3"/>
    <n v="17"/>
  </r>
  <r>
    <s v="346-84-3103"/>
    <x v="2"/>
    <s v="Mandalay"/>
    <s v="Member"/>
    <s v="Female"/>
    <s v="Electronic accessories"/>
    <n v="13.22"/>
    <n v="5"/>
    <n v="3.3050000000000002"/>
    <x v="236"/>
    <d v="2019-02-03T00:00:00"/>
    <d v="1899-12-30T19:26:00"/>
    <s v="Cash"/>
    <n v="66.099999999999994"/>
    <n v="4.7619047620000003"/>
    <n v="3.3050000000000002"/>
    <n v="4.3"/>
    <d v="2019-03-02T00:00:00"/>
    <n v="3"/>
    <n v="19"/>
  </r>
  <r>
    <s v="478-06-7835"/>
    <x v="0"/>
    <s v="Yangon"/>
    <s v="Normal"/>
    <s v="Male"/>
    <s v="Fashion accessories"/>
    <n v="89.69"/>
    <n v="1"/>
    <n v="4.4844999999999997"/>
    <x v="237"/>
    <d v="2019-11-01T00:00:00"/>
    <d v="1899-12-30T11:20:00"/>
    <s v="Ewallet"/>
    <n v="89.69"/>
    <n v="4.7619047620000003"/>
    <n v="4.4844999999999997"/>
    <n v="4.9000000000000004"/>
    <d v="2019-01-11T00:00:00"/>
    <n v="1"/>
    <n v="11"/>
  </r>
  <r>
    <s v="540-11-4336"/>
    <x v="0"/>
    <s v="Yangon"/>
    <s v="Normal"/>
    <s v="Male"/>
    <s v="Food and beverages"/>
    <n v="24.94"/>
    <n v="9"/>
    <n v="11.223000000000001"/>
    <x v="238"/>
    <d v="2019-11-01T00:00:00"/>
    <d v="1899-12-30T16:49:00"/>
    <s v="Credit card"/>
    <n v="224.46"/>
    <n v="4.7619047620000003"/>
    <n v="11.223000000000001"/>
    <n v="5.6"/>
    <d v="2019-01-11T00:00:00"/>
    <n v="1"/>
    <n v="16"/>
  </r>
  <r>
    <s v="448-81-5016"/>
    <x v="0"/>
    <s v="Yangon"/>
    <s v="Normal"/>
    <s v="Male"/>
    <s v="Health and beauty"/>
    <n v="59.77"/>
    <n v="2"/>
    <n v="5.9770000000000003"/>
    <x v="239"/>
    <d v="2019-11-03T00:00:00"/>
    <d v="1899-12-30T12:01:00"/>
    <s v="Credit card"/>
    <n v="119.54"/>
    <n v="4.7619047620000003"/>
    <n v="5.9770000000000003"/>
    <n v="5.8"/>
    <d v="2019-03-11T00:00:00"/>
    <n v="3"/>
    <n v="12"/>
  </r>
  <r>
    <s v="142-72-4741"/>
    <x v="1"/>
    <s v="Naypyitaw"/>
    <s v="Member"/>
    <s v="Male"/>
    <s v="Fashion accessories"/>
    <n v="93.2"/>
    <n v="2"/>
    <n v="9.32"/>
    <x v="240"/>
    <s v="2/28/2019"/>
    <d v="1899-12-30T18:37:00"/>
    <s v="Credit card"/>
    <n v="186.4"/>
    <n v="4.7619047620000003"/>
    <n v="9.32"/>
    <n v="6"/>
    <d v="2019-02-28T00:00:00"/>
    <n v="2"/>
    <n v="18"/>
  </r>
  <r>
    <s v="217-58-1179"/>
    <x v="0"/>
    <s v="Yangon"/>
    <s v="Member"/>
    <s v="Male"/>
    <s v="Home and lifestyle"/>
    <n v="62.65"/>
    <n v="4"/>
    <n v="12.53"/>
    <x v="241"/>
    <d v="2019-05-01T00:00:00"/>
    <d v="1899-12-30T11:25:00"/>
    <s v="Cash"/>
    <n v="250.6"/>
    <n v="4.7619047620000003"/>
    <n v="12.53"/>
    <n v="4.2"/>
    <d v="2019-01-05T00:00:00"/>
    <n v="1"/>
    <n v="11"/>
  </r>
  <r>
    <s v="376-02-8238"/>
    <x v="2"/>
    <s v="Mandalay"/>
    <s v="Normal"/>
    <s v="Male"/>
    <s v="Home and lifestyle"/>
    <n v="93.87"/>
    <n v="8"/>
    <n v="37.548000000000002"/>
    <x v="242"/>
    <d v="2019-02-02T00:00:00"/>
    <d v="1899-12-30T18:42:00"/>
    <s v="Credit card"/>
    <n v="750.96"/>
    <n v="4.7619047620000003"/>
    <n v="37.548000000000002"/>
    <n v="8.3000000000000007"/>
    <d v="2019-02-02T00:00:00"/>
    <n v="2"/>
    <n v="18"/>
  </r>
  <r>
    <s v="530-90-9855"/>
    <x v="0"/>
    <s v="Yangon"/>
    <s v="Member"/>
    <s v="Male"/>
    <s v="Home and lifestyle"/>
    <n v="47.59"/>
    <n v="8"/>
    <n v="19.036000000000001"/>
    <x v="243"/>
    <d v="2019-01-01T00:00:00"/>
    <d v="1899-12-30T14:47:00"/>
    <s v="Cash"/>
    <n v="380.72"/>
    <n v="4.7619047620000003"/>
    <n v="19.036000000000001"/>
    <n v="5.7"/>
    <d v="2019-01-01T00:00:00"/>
    <n v="1"/>
    <n v="14"/>
  </r>
  <r>
    <s v="866-05-7563"/>
    <x v="2"/>
    <s v="Mandalay"/>
    <s v="Member"/>
    <s v="Female"/>
    <s v="Electronic accessories"/>
    <n v="81.400000000000006"/>
    <n v="3"/>
    <n v="12.21"/>
    <x v="244"/>
    <d v="2019-09-02T00:00:00"/>
    <d v="1899-12-30T19:43:00"/>
    <s v="Cash"/>
    <n v="244.2"/>
    <n v="4.7619047620000003"/>
    <n v="12.21"/>
    <n v="4.8"/>
    <d v="2019-02-09T00:00:00"/>
    <n v="2"/>
    <n v="19"/>
  </r>
  <r>
    <s v="604-70-6476"/>
    <x v="0"/>
    <s v="Yangon"/>
    <s v="Member"/>
    <s v="Male"/>
    <s v="Fashion accessories"/>
    <n v="17.940000000000001"/>
    <n v="5"/>
    <n v="4.4850000000000003"/>
    <x v="245"/>
    <s v="1/23/2019"/>
    <d v="1899-12-30T14:04:00"/>
    <s v="Ewallet"/>
    <n v="89.7"/>
    <n v="4.7619047620000003"/>
    <n v="4.4850000000000003"/>
    <n v="6.8"/>
    <d v="2019-01-23T00:00:00"/>
    <n v="1"/>
    <n v="14"/>
  </r>
  <r>
    <s v="799-71-1548"/>
    <x v="0"/>
    <s v="Yangon"/>
    <s v="Member"/>
    <s v="Male"/>
    <s v="Electronic accessories"/>
    <n v="77.72"/>
    <n v="4"/>
    <n v="15.544"/>
    <x v="246"/>
    <d v="2019-07-01T00:00:00"/>
    <d v="1899-12-30T16:11:00"/>
    <s v="Credit card"/>
    <n v="310.88"/>
    <n v="4.7619047620000003"/>
    <n v="15.544"/>
    <n v="8.8000000000000007"/>
    <d v="2019-01-07T00:00:00"/>
    <n v="1"/>
    <n v="16"/>
  </r>
  <r>
    <s v="785-13-7708"/>
    <x v="2"/>
    <s v="Mandalay"/>
    <s v="Normal"/>
    <s v="Male"/>
    <s v="Food and beverages"/>
    <n v="73.06"/>
    <n v="7"/>
    <n v="25.571000000000002"/>
    <x v="247"/>
    <s v="1/14/2019"/>
    <d v="1899-12-30T19:06:00"/>
    <s v="Credit card"/>
    <n v="511.42"/>
    <n v="4.7619047620000003"/>
    <n v="25.571000000000002"/>
    <n v="4.2"/>
    <d v="2019-01-14T00:00:00"/>
    <n v="1"/>
    <n v="19"/>
  </r>
  <r>
    <s v="845-51-0542"/>
    <x v="2"/>
    <s v="Mandalay"/>
    <s v="Member"/>
    <s v="Male"/>
    <s v="Food and beverages"/>
    <n v="46.55"/>
    <n v="9"/>
    <n v="20.947500000000002"/>
    <x v="248"/>
    <d v="2019-02-02T00:00:00"/>
    <d v="1899-12-30T15:34:00"/>
    <s v="Ewallet"/>
    <n v="418.95"/>
    <n v="4.7619047620000003"/>
    <n v="20.947500000000002"/>
    <n v="6.4"/>
    <d v="2019-02-02T00:00:00"/>
    <n v="2"/>
    <n v="15"/>
  </r>
  <r>
    <s v="662-47-5456"/>
    <x v="1"/>
    <s v="Naypyitaw"/>
    <s v="Member"/>
    <s v="Male"/>
    <s v="Fashion accessories"/>
    <n v="35.19"/>
    <n v="10"/>
    <n v="17.594999999999999"/>
    <x v="249"/>
    <s v="3/17/2019"/>
    <d v="1899-12-30T19:06:00"/>
    <s v="Credit card"/>
    <n v="351.9"/>
    <n v="4.7619047620000003"/>
    <n v="17.594999999999999"/>
    <n v="8.4"/>
    <d v="2019-03-17T00:00:00"/>
    <n v="3"/>
    <n v="19"/>
  </r>
  <r>
    <s v="883-17-4236"/>
    <x v="1"/>
    <s v="Naypyitaw"/>
    <s v="Normal"/>
    <s v="Female"/>
    <s v="Sports and travel"/>
    <n v="14.39"/>
    <n v="2"/>
    <n v="1.4390000000000001"/>
    <x v="250"/>
    <d v="2019-02-03T00:00:00"/>
    <d v="1899-12-30T19:44:00"/>
    <s v="Credit card"/>
    <n v="28.78"/>
    <n v="4.7619047620000003"/>
    <n v="1.4390000000000001"/>
    <n v="7.2"/>
    <d v="2019-03-02T00:00:00"/>
    <n v="3"/>
    <n v="19"/>
  </r>
  <r>
    <s v="290-68-2984"/>
    <x v="0"/>
    <s v="Yangon"/>
    <s v="Normal"/>
    <s v="Male"/>
    <s v="Home and lifestyle"/>
    <n v="23.75"/>
    <n v="4"/>
    <n v="4.75"/>
    <x v="251"/>
    <s v="3/16/2019"/>
    <d v="1899-12-30T11:22:00"/>
    <s v="Cash"/>
    <n v="95"/>
    <n v="4.7619047620000003"/>
    <n v="4.75"/>
    <n v="5.2"/>
    <d v="2019-03-16T00:00:00"/>
    <n v="3"/>
    <n v="11"/>
  </r>
  <r>
    <s v="704-11-6354"/>
    <x v="0"/>
    <s v="Yangon"/>
    <s v="Member"/>
    <s v="Male"/>
    <s v="Home and lifestyle"/>
    <n v="58.9"/>
    <n v="8"/>
    <n v="23.56"/>
    <x v="252"/>
    <d v="2019-06-01T00:00:00"/>
    <d v="1899-12-30T11:23:00"/>
    <s v="Cash"/>
    <n v="471.2"/>
    <n v="4.7619047620000003"/>
    <n v="23.56"/>
    <n v="8.9"/>
    <d v="2019-01-06T00:00:00"/>
    <n v="1"/>
    <n v="11"/>
  </r>
  <r>
    <s v="110-48-7033"/>
    <x v="2"/>
    <s v="Mandalay"/>
    <s v="Member"/>
    <s v="Male"/>
    <s v="Fashion accessories"/>
    <n v="32.619999999999997"/>
    <n v="4"/>
    <n v="6.524"/>
    <x v="253"/>
    <s v="1/29/2019"/>
    <d v="1899-12-30T14:12:00"/>
    <s v="Cash"/>
    <n v="130.47999999999999"/>
    <n v="4.7619047620000003"/>
    <n v="6.524"/>
    <n v="9"/>
    <d v="2019-01-29T00:00:00"/>
    <n v="1"/>
    <n v="14"/>
  </r>
  <r>
    <s v="366-93-0948"/>
    <x v="0"/>
    <s v="Yangon"/>
    <s v="Member"/>
    <s v="Male"/>
    <s v="Electronic accessories"/>
    <n v="66.349999999999994"/>
    <n v="1"/>
    <n v="3.3174999999999999"/>
    <x v="254"/>
    <s v="1/31/2019"/>
    <d v="1899-12-30T10:46:00"/>
    <s v="Credit card"/>
    <n v="66.349999999999994"/>
    <n v="4.7619047620000003"/>
    <n v="3.3174999999999999"/>
    <n v="9.6999999999999993"/>
    <d v="2019-01-31T00:00:00"/>
    <n v="1"/>
    <n v="10"/>
  </r>
  <r>
    <s v="729-09-9681"/>
    <x v="0"/>
    <s v="Yangon"/>
    <s v="Member"/>
    <s v="Male"/>
    <s v="Home and lifestyle"/>
    <n v="25.91"/>
    <n v="6"/>
    <n v="7.7729999999999997"/>
    <x v="255"/>
    <d v="2019-05-02T00:00:00"/>
    <d v="1899-12-30T10:16:00"/>
    <s v="Ewallet"/>
    <n v="155.46"/>
    <n v="4.7619047620000003"/>
    <n v="7.7729999999999997"/>
    <n v="8.6999999999999993"/>
    <d v="2019-02-05T00:00:00"/>
    <n v="2"/>
    <n v="10"/>
  </r>
  <r>
    <s v="151-16-1484"/>
    <x v="0"/>
    <s v="Yangon"/>
    <s v="Member"/>
    <s v="Male"/>
    <s v="Electronic accessories"/>
    <n v="32.25"/>
    <n v="4"/>
    <n v="6.45"/>
    <x v="256"/>
    <s v="2/13/2019"/>
    <d v="1899-12-30T12:38:00"/>
    <s v="Ewallet"/>
    <n v="129"/>
    <n v="4.7619047620000003"/>
    <n v="6.45"/>
    <n v="6.5"/>
    <d v="2019-02-13T00:00:00"/>
    <n v="2"/>
    <n v="12"/>
  </r>
  <r>
    <s v="380-94-4661"/>
    <x v="1"/>
    <s v="Naypyitaw"/>
    <s v="Member"/>
    <s v="Male"/>
    <s v="Electronic accessories"/>
    <n v="65.94"/>
    <n v="4"/>
    <n v="13.188000000000001"/>
    <x v="257"/>
    <d v="2019-07-02T00:00:00"/>
    <d v="1899-12-30T13:05:00"/>
    <s v="Credit card"/>
    <n v="263.76"/>
    <n v="4.7619047620000003"/>
    <n v="13.188000000000001"/>
    <n v="6.9"/>
    <d v="2019-02-07T00:00:00"/>
    <n v="2"/>
    <n v="13"/>
  </r>
  <r>
    <s v="850-41-9669"/>
    <x v="0"/>
    <s v="Yangon"/>
    <s v="Normal"/>
    <s v="Female"/>
    <s v="Electronic accessories"/>
    <n v="75.06"/>
    <n v="9"/>
    <n v="33.777000000000001"/>
    <x v="258"/>
    <s v="3/19/2019"/>
    <d v="1899-12-30T13:25:00"/>
    <s v="Ewallet"/>
    <n v="675.54"/>
    <n v="4.7619047620000003"/>
    <n v="33.777000000000001"/>
    <n v="6.2"/>
    <d v="2019-03-19T00:00:00"/>
    <n v="3"/>
    <n v="13"/>
  </r>
  <r>
    <s v="821-07-3596"/>
    <x v="1"/>
    <s v="Naypyitaw"/>
    <s v="Normal"/>
    <s v="Female"/>
    <s v="Fashion accessories"/>
    <n v="16.45"/>
    <n v="4"/>
    <n v="3.29"/>
    <x v="259"/>
    <d v="2019-07-03T00:00:00"/>
    <d v="1899-12-30T14:53:00"/>
    <s v="Ewallet"/>
    <n v="65.8"/>
    <n v="4.7619047620000003"/>
    <n v="3.29"/>
    <n v="5.6"/>
    <d v="2019-03-07T00:00:00"/>
    <n v="3"/>
    <n v="14"/>
  </r>
  <r>
    <s v="655-85-5130"/>
    <x v="2"/>
    <s v="Mandalay"/>
    <s v="Member"/>
    <s v="Female"/>
    <s v="Fashion accessories"/>
    <n v="38.299999999999997"/>
    <n v="4"/>
    <n v="7.66"/>
    <x v="260"/>
    <s v="3/13/2019"/>
    <d v="1899-12-30T19:22:00"/>
    <s v="Cash"/>
    <n v="153.19999999999999"/>
    <n v="4.7619047620000003"/>
    <n v="7.66"/>
    <n v="5.7"/>
    <d v="2019-03-13T00:00:00"/>
    <n v="3"/>
    <n v="19"/>
  </r>
  <r>
    <s v="447-15-7839"/>
    <x v="0"/>
    <s v="Yangon"/>
    <s v="Member"/>
    <s v="Female"/>
    <s v="Sports and travel"/>
    <n v="22.24"/>
    <n v="10"/>
    <n v="11.12"/>
    <x v="261"/>
    <d v="2019-09-02T00:00:00"/>
    <d v="1899-12-30T11:00:00"/>
    <s v="Cash"/>
    <n v="222.4"/>
    <n v="4.7619047620000003"/>
    <n v="11.12"/>
    <n v="4.2"/>
    <d v="2019-02-09T00:00:00"/>
    <n v="2"/>
    <n v="11"/>
  </r>
  <r>
    <s v="154-74-7179"/>
    <x v="2"/>
    <s v="Mandalay"/>
    <s v="Normal"/>
    <s v="Male"/>
    <s v="Sports and travel"/>
    <n v="54.45"/>
    <n v="1"/>
    <n v="2.7225000000000001"/>
    <x v="262"/>
    <s v="2/26/2019"/>
    <d v="1899-12-30T19:24:00"/>
    <s v="Ewallet"/>
    <n v="54.45"/>
    <n v="4.7619047620000003"/>
    <n v="2.7225000000000001"/>
    <n v="7.9"/>
    <d v="2019-02-26T00:00:00"/>
    <n v="2"/>
    <n v="19"/>
  </r>
  <r>
    <s v="253-12-6086"/>
    <x v="0"/>
    <s v="Yangon"/>
    <s v="Member"/>
    <s v="Female"/>
    <s v="Sports and travel"/>
    <n v="98.4"/>
    <n v="7"/>
    <n v="34.44"/>
    <x v="263"/>
    <d v="2019-12-03T00:00:00"/>
    <d v="1899-12-30T12:43:00"/>
    <s v="Credit card"/>
    <n v="688.8"/>
    <n v="4.7619047620000003"/>
    <n v="34.44"/>
    <n v="8.6999999999999993"/>
    <d v="2019-03-12T00:00:00"/>
    <n v="3"/>
    <n v="12"/>
  </r>
  <r>
    <s v="808-65-0703"/>
    <x v="1"/>
    <s v="Naypyitaw"/>
    <s v="Normal"/>
    <s v="Male"/>
    <s v="Home and lifestyle"/>
    <n v="35.47"/>
    <n v="4"/>
    <n v="7.0940000000000003"/>
    <x v="264"/>
    <s v="3/14/2019"/>
    <d v="1899-12-30T17:22:00"/>
    <s v="Credit card"/>
    <n v="141.88"/>
    <n v="4.7619047620000003"/>
    <n v="7.0940000000000003"/>
    <n v="6.9"/>
    <d v="2019-03-14T00:00:00"/>
    <n v="3"/>
    <n v="17"/>
  </r>
  <r>
    <s v="571-94-0759"/>
    <x v="2"/>
    <s v="Mandalay"/>
    <s v="Member"/>
    <s v="Female"/>
    <s v="Food and beverages"/>
    <n v="74.599999999999994"/>
    <n v="10"/>
    <n v="37.299999999999997"/>
    <x v="265"/>
    <d v="2019-08-01T00:00:00"/>
    <d v="1899-12-30T20:55:00"/>
    <s v="Cash"/>
    <n v="746"/>
    <n v="4.7619047620000003"/>
    <n v="37.299999999999997"/>
    <n v="9.5"/>
    <d v="2019-01-08T00:00:00"/>
    <n v="1"/>
    <n v="20"/>
  </r>
  <r>
    <s v="144-51-6085"/>
    <x v="0"/>
    <s v="Yangon"/>
    <s v="Member"/>
    <s v="Male"/>
    <s v="Home and lifestyle"/>
    <n v="70.739999999999995"/>
    <n v="4"/>
    <n v="14.148"/>
    <x v="266"/>
    <d v="2019-05-01T00:00:00"/>
    <d v="1899-12-30T16:05:00"/>
    <s v="Credit card"/>
    <n v="282.95999999999998"/>
    <n v="4.7619047620000003"/>
    <n v="14.148"/>
    <n v="4.4000000000000004"/>
    <d v="2019-01-05T00:00:00"/>
    <n v="1"/>
    <n v="16"/>
  </r>
  <r>
    <s v="731-14-2199"/>
    <x v="0"/>
    <s v="Yangon"/>
    <s v="Member"/>
    <s v="Female"/>
    <s v="Home and lifestyle"/>
    <n v="35.54"/>
    <n v="10"/>
    <n v="17.77"/>
    <x v="267"/>
    <d v="2019-04-01T00:00:00"/>
    <d v="1899-12-30T13:34:00"/>
    <s v="Ewallet"/>
    <n v="355.4"/>
    <n v="4.7619047620000003"/>
    <n v="17.77"/>
    <n v="7"/>
    <d v="2019-01-04T00:00:00"/>
    <n v="1"/>
    <n v="13"/>
  </r>
  <r>
    <s v="783-09-1637"/>
    <x v="2"/>
    <s v="Mandalay"/>
    <s v="Normal"/>
    <s v="Female"/>
    <s v="Sports and travel"/>
    <n v="67.430000000000007"/>
    <n v="5"/>
    <n v="16.857500000000002"/>
    <x v="268"/>
    <d v="2019-06-03T00:00:00"/>
    <d v="1899-12-30T18:13:00"/>
    <s v="Ewallet"/>
    <n v="337.15"/>
    <n v="4.7619047620000003"/>
    <n v="16.857500000000002"/>
    <n v="6.3"/>
    <d v="2019-03-06T00:00:00"/>
    <n v="3"/>
    <n v="18"/>
  </r>
  <r>
    <s v="687-15-1097"/>
    <x v="1"/>
    <s v="Naypyitaw"/>
    <s v="Member"/>
    <s v="Female"/>
    <s v="Health and beauty"/>
    <n v="21.12"/>
    <n v="2"/>
    <n v="2.1120000000000001"/>
    <x v="269"/>
    <d v="2019-03-01T00:00:00"/>
    <d v="1899-12-30T19:17:00"/>
    <s v="Cash"/>
    <n v="42.24"/>
    <n v="4.7619047620000003"/>
    <n v="2.1120000000000001"/>
    <n v="9.6999999999999993"/>
    <d v="2019-01-03T00:00:00"/>
    <n v="1"/>
    <n v="19"/>
  </r>
  <r>
    <s v="126-54-1082"/>
    <x v="0"/>
    <s v="Yangon"/>
    <s v="Member"/>
    <s v="Female"/>
    <s v="Home and lifestyle"/>
    <n v="21.54"/>
    <n v="9"/>
    <n v="9.6929999999999996"/>
    <x v="270"/>
    <d v="2019-07-01T00:00:00"/>
    <d v="1899-12-30T11:44:00"/>
    <s v="Credit card"/>
    <n v="193.86"/>
    <n v="4.7619047620000003"/>
    <n v="9.6929999999999996"/>
    <n v="8.8000000000000007"/>
    <d v="2019-01-07T00:00:00"/>
    <n v="1"/>
    <n v="11"/>
  </r>
  <r>
    <s v="633-91-1052"/>
    <x v="0"/>
    <s v="Yangon"/>
    <s v="Normal"/>
    <s v="Female"/>
    <s v="Home and lifestyle"/>
    <n v="12.03"/>
    <n v="2"/>
    <n v="1.2030000000000001"/>
    <x v="271"/>
    <s v="1/27/2019"/>
    <d v="1899-12-30T15:51:00"/>
    <s v="Cash"/>
    <n v="24.06"/>
    <n v="4.7619047620000003"/>
    <n v="1.2030000000000001"/>
    <n v="5.0999999999999996"/>
    <d v="2019-01-27T00:00:00"/>
    <n v="1"/>
    <n v="15"/>
  </r>
  <r>
    <s v="477-24-6490"/>
    <x v="2"/>
    <s v="Mandalay"/>
    <s v="Normal"/>
    <s v="Female"/>
    <s v="Health and beauty"/>
    <n v="99.71"/>
    <n v="6"/>
    <n v="29.913"/>
    <x v="272"/>
    <s v="2/26/2019"/>
    <d v="1899-12-30T16:52:00"/>
    <s v="Ewallet"/>
    <n v="598.26"/>
    <n v="4.7619047620000003"/>
    <n v="29.913"/>
    <n v="7.9"/>
    <d v="2019-02-26T00:00:00"/>
    <n v="2"/>
    <n v="16"/>
  </r>
  <r>
    <s v="566-19-5475"/>
    <x v="2"/>
    <s v="Mandalay"/>
    <s v="Normal"/>
    <s v="Male"/>
    <s v="Fashion accessories"/>
    <n v="47.97"/>
    <n v="7"/>
    <n v="16.7895"/>
    <x v="273"/>
    <d v="2019-07-01T00:00:00"/>
    <d v="1899-12-30T20:52:00"/>
    <s v="Cash"/>
    <n v="335.79"/>
    <n v="4.7619047620000003"/>
    <n v="16.7895"/>
    <n v="6.2"/>
    <d v="2019-01-07T00:00:00"/>
    <n v="1"/>
    <n v="20"/>
  </r>
  <r>
    <s v="526-86-8552"/>
    <x v="1"/>
    <s v="Naypyitaw"/>
    <s v="Member"/>
    <s v="Female"/>
    <s v="Home and lifestyle"/>
    <n v="21.82"/>
    <n v="10"/>
    <n v="10.91"/>
    <x v="274"/>
    <d v="2019-07-01T00:00:00"/>
    <d v="1899-12-30T17:36:00"/>
    <s v="Cash"/>
    <n v="218.2"/>
    <n v="4.7619047620000003"/>
    <n v="10.91"/>
    <n v="7.1"/>
    <d v="2019-01-07T00:00:00"/>
    <n v="1"/>
    <n v="17"/>
  </r>
  <r>
    <s v="376-56-3573"/>
    <x v="1"/>
    <s v="Naypyitaw"/>
    <s v="Normal"/>
    <s v="Female"/>
    <s v="Fashion accessories"/>
    <n v="95.42"/>
    <n v="4"/>
    <n v="19.084"/>
    <x v="275"/>
    <d v="2019-02-02T00:00:00"/>
    <d v="1899-12-30T13:23:00"/>
    <s v="Ewallet"/>
    <n v="381.68"/>
    <n v="4.7619047620000003"/>
    <n v="19.084"/>
    <n v="6.4"/>
    <d v="2019-02-02T00:00:00"/>
    <n v="2"/>
    <n v="13"/>
  </r>
  <r>
    <s v="537-72-0426"/>
    <x v="1"/>
    <s v="Naypyitaw"/>
    <s v="Member"/>
    <s v="Male"/>
    <s v="Fashion accessories"/>
    <n v="70.989999999999995"/>
    <n v="10"/>
    <n v="35.494999999999997"/>
    <x v="276"/>
    <s v="3/20/2019"/>
    <d v="1899-12-30T16:28:00"/>
    <s v="Cash"/>
    <n v="709.9"/>
    <n v="4.7619047620000003"/>
    <n v="35.494999999999997"/>
    <n v="5.7"/>
    <d v="2019-03-20T00:00:00"/>
    <n v="3"/>
    <n v="16"/>
  </r>
  <r>
    <s v="828-61-5674"/>
    <x v="0"/>
    <s v="Yangon"/>
    <s v="Member"/>
    <s v="Male"/>
    <s v="Sports and travel"/>
    <n v="44.02"/>
    <n v="10"/>
    <n v="22.01"/>
    <x v="277"/>
    <s v="3/20/2019"/>
    <d v="1899-12-30T19:57:00"/>
    <s v="Credit card"/>
    <n v="440.2"/>
    <n v="4.7619047620000003"/>
    <n v="22.01"/>
    <n v="9.6"/>
    <d v="2019-03-20T00:00:00"/>
    <n v="3"/>
    <n v="19"/>
  </r>
  <r>
    <s v="136-08-6195"/>
    <x v="0"/>
    <s v="Yangon"/>
    <s v="Normal"/>
    <s v="Female"/>
    <s v="Home and lifestyle"/>
    <n v="69.959999999999994"/>
    <n v="8"/>
    <n v="27.984000000000002"/>
    <x v="278"/>
    <s v="2/15/2019"/>
    <d v="1899-12-30T17:01:00"/>
    <s v="Credit card"/>
    <n v="559.67999999999995"/>
    <n v="4.7619047620000003"/>
    <n v="27.984000000000002"/>
    <n v="6.4"/>
    <d v="2019-02-15T00:00:00"/>
    <n v="2"/>
    <n v="17"/>
  </r>
  <r>
    <s v="523-38-0215"/>
    <x v="1"/>
    <s v="Naypyitaw"/>
    <s v="Normal"/>
    <s v="Male"/>
    <s v="Home and lifestyle"/>
    <n v="37"/>
    <n v="1"/>
    <n v="1.85"/>
    <x v="279"/>
    <d v="2019-06-03T00:00:00"/>
    <d v="1899-12-30T13:29:00"/>
    <s v="Credit card"/>
    <n v="37"/>
    <n v="4.7619047620000003"/>
    <n v="1.85"/>
    <n v="7.9"/>
    <d v="2019-03-06T00:00:00"/>
    <n v="3"/>
    <n v="13"/>
  </r>
  <r>
    <s v="490-29-1201"/>
    <x v="0"/>
    <s v="Yangon"/>
    <s v="Normal"/>
    <s v="Female"/>
    <s v="Sports and travel"/>
    <n v="15.34"/>
    <n v="1"/>
    <n v="0.76700000000000002"/>
    <x v="280"/>
    <d v="2019-06-01T00:00:00"/>
    <d v="1899-12-30T11:09:00"/>
    <s v="Cash"/>
    <n v="15.34"/>
    <n v="4.7619047620000003"/>
    <n v="0.76700000000000002"/>
    <n v="6.5"/>
    <d v="2019-01-06T00:00:00"/>
    <n v="1"/>
    <n v="11"/>
  </r>
  <r>
    <s v="667-92-0055"/>
    <x v="0"/>
    <s v="Yangon"/>
    <s v="Member"/>
    <s v="Male"/>
    <s v="Health and beauty"/>
    <n v="99.83"/>
    <n v="6"/>
    <n v="29.949000000000002"/>
    <x v="281"/>
    <d v="2019-04-03T00:00:00"/>
    <d v="1899-12-30T15:02:00"/>
    <s v="Ewallet"/>
    <n v="598.98"/>
    <n v="4.7619047620000003"/>
    <n v="29.949000000000002"/>
    <n v="8.5"/>
    <d v="2019-03-04T00:00:00"/>
    <n v="3"/>
    <n v="15"/>
  </r>
  <r>
    <s v="565-17-3836"/>
    <x v="0"/>
    <s v="Yangon"/>
    <s v="Member"/>
    <s v="Female"/>
    <s v="Health and beauty"/>
    <n v="47.67"/>
    <n v="4"/>
    <n v="9.5340000000000007"/>
    <x v="282"/>
    <d v="2019-12-03T00:00:00"/>
    <d v="1899-12-30T14:21:00"/>
    <s v="Cash"/>
    <n v="190.68"/>
    <n v="4.7619047620000003"/>
    <n v="9.5340000000000007"/>
    <n v="9.1"/>
    <d v="2019-03-12T00:00:00"/>
    <n v="3"/>
    <n v="14"/>
  </r>
  <r>
    <s v="498-41-1961"/>
    <x v="2"/>
    <s v="Mandalay"/>
    <s v="Normal"/>
    <s v="Male"/>
    <s v="Health and beauty"/>
    <n v="66.680000000000007"/>
    <n v="5"/>
    <n v="16.670000000000002"/>
    <x v="283"/>
    <s v="2/20/2019"/>
    <d v="1899-12-30T18:01:00"/>
    <s v="Cash"/>
    <n v="333.4"/>
    <n v="4.7619047620000003"/>
    <n v="16.670000000000002"/>
    <n v="7.6"/>
    <d v="2019-02-20T00:00:00"/>
    <n v="2"/>
    <n v="18"/>
  </r>
  <r>
    <s v="593-95-4461"/>
    <x v="1"/>
    <s v="Naypyitaw"/>
    <s v="Member"/>
    <s v="Male"/>
    <s v="Home and lifestyle"/>
    <n v="74.86"/>
    <n v="1"/>
    <n v="3.7429999999999999"/>
    <x v="284"/>
    <s v="3/24/2019"/>
    <d v="1899-12-30T14:49:00"/>
    <s v="Cash"/>
    <n v="74.86"/>
    <n v="4.7619047620000003"/>
    <n v="3.7429999999999999"/>
    <n v="6.9"/>
    <d v="2019-03-24T00:00:00"/>
    <n v="3"/>
    <n v="14"/>
  </r>
  <r>
    <s v="226-71-3580"/>
    <x v="1"/>
    <s v="Naypyitaw"/>
    <s v="Normal"/>
    <s v="Female"/>
    <s v="Sports and travel"/>
    <n v="23.75"/>
    <n v="9"/>
    <n v="10.6875"/>
    <x v="285"/>
    <s v="1/31/2019"/>
    <d v="1899-12-30T12:02:00"/>
    <s v="Cash"/>
    <n v="213.75"/>
    <n v="4.7619047620000003"/>
    <n v="10.6875"/>
    <n v="9.5"/>
    <d v="2019-01-31T00:00:00"/>
    <n v="1"/>
    <n v="12"/>
  </r>
  <r>
    <s v="283-79-9594"/>
    <x v="2"/>
    <s v="Mandalay"/>
    <s v="Normal"/>
    <s v="Female"/>
    <s v="Food and beverages"/>
    <n v="48.51"/>
    <n v="7"/>
    <n v="16.9785"/>
    <x v="286"/>
    <s v="1/25/2019"/>
    <d v="1899-12-30T13:30:00"/>
    <s v="Credit card"/>
    <n v="339.57"/>
    <n v="4.7619047620000003"/>
    <n v="16.9785"/>
    <n v="5.2"/>
    <d v="2019-01-25T00:00:00"/>
    <n v="1"/>
    <n v="13"/>
  </r>
  <r>
    <s v="430-60-3493"/>
    <x v="0"/>
    <s v="Yangon"/>
    <s v="Member"/>
    <s v="Female"/>
    <s v="Home and lifestyle"/>
    <n v="94.88"/>
    <n v="7"/>
    <n v="33.207999999999998"/>
    <x v="287"/>
    <d v="2019-03-02T00:00:00"/>
    <d v="1899-12-30T14:38:00"/>
    <s v="Cash"/>
    <n v="664.16"/>
    <n v="4.7619047620000003"/>
    <n v="33.207999999999998"/>
    <n v="4.2"/>
    <d v="2019-02-03T00:00:00"/>
    <n v="2"/>
    <n v="14"/>
  </r>
  <r>
    <s v="139-20-0155"/>
    <x v="2"/>
    <s v="Mandalay"/>
    <s v="Member"/>
    <s v="Male"/>
    <s v="Electronic accessories"/>
    <n v="40.299999999999997"/>
    <n v="10"/>
    <n v="20.149999999999999"/>
    <x v="288"/>
    <s v="1/24/2019"/>
    <d v="1899-12-30T17:37:00"/>
    <s v="Credit card"/>
    <n v="403"/>
    <n v="4.7619047620000003"/>
    <n v="20.149999999999999"/>
    <n v="7"/>
    <d v="2019-01-24T00:00:00"/>
    <n v="1"/>
    <n v="17"/>
  </r>
  <r>
    <s v="558-80-4082"/>
    <x v="1"/>
    <s v="Naypyitaw"/>
    <s v="Normal"/>
    <s v="Male"/>
    <s v="Electronic accessories"/>
    <n v="27.85"/>
    <n v="7"/>
    <n v="9.7475000000000005"/>
    <x v="289"/>
    <s v="3/14/2019"/>
    <d v="1899-12-30T17:20:00"/>
    <s v="Ewallet"/>
    <n v="194.95"/>
    <n v="4.7619047620000003"/>
    <n v="9.7475000000000005"/>
    <n v="6"/>
    <d v="2019-03-14T00:00:00"/>
    <n v="3"/>
    <n v="17"/>
  </r>
  <r>
    <s v="278-97-7759"/>
    <x v="0"/>
    <s v="Yangon"/>
    <s v="Member"/>
    <s v="Female"/>
    <s v="Electronic accessories"/>
    <n v="62.48"/>
    <n v="1"/>
    <n v="3.1240000000000001"/>
    <x v="290"/>
    <s v="2/18/2019"/>
    <d v="1899-12-30T20:29:00"/>
    <s v="Cash"/>
    <n v="62.48"/>
    <n v="4.7619047620000003"/>
    <n v="3.1240000000000001"/>
    <n v="4.7"/>
    <d v="2019-02-18T00:00:00"/>
    <n v="2"/>
    <n v="20"/>
  </r>
  <r>
    <s v="316-68-6352"/>
    <x v="0"/>
    <s v="Yangon"/>
    <s v="Member"/>
    <s v="Female"/>
    <s v="Food and beverages"/>
    <n v="36.36"/>
    <n v="2"/>
    <n v="3.6360000000000001"/>
    <x v="291"/>
    <s v="1/21/2019"/>
    <d v="1899-12-30T10:00:00"/>
    <s v="Cash"/>
    <n v="72.72"/>
    <n v="4.7619047620000003"/>
    <n v="3.6360000000000001"/>
    <n v="7.1"/>
    <d v="2019-01-21T00:00:00"/>
    <n v="1"/>
    <n v="10"/>
  </r>
  <r>
    <s v="585-03-5943"/>
    <x v="2"/>
    <s v="Mandalay"/>
    <s v="Normal"/>
    <s v="Male"/>
    <s v="Health and beauty"/>
    <n v="18.11"/>
    <n v="10"/>
    <n v="9.0549999999999997"/>
    <x v="292"/>
    <s v="3/13/2019"/>
    <d v="1899-12-30T11:46:00"/>
    <s v="Ewallet"/>
    <n v="181.1"/>
    <n v="4.7619047620000003"/>
    <n v="9.0549999999999997"/>
    <n v="5.9"/>
    <d v="2019-03-13T00:00:00"/>
    <n v="3"/>
    <n v="11"/>
  </r>
  <r>
    <s v="211-05-0490"/>
    <x v="1"/>
    <s v="Naypyitaw"/>
    <s v="Member"/>
    <s v="Female"/>
    <s v="Electronic accessories"/>
    <n v="51.92"/>
    <n v="5"/>
    <n v="12.98"/>
    <x v="293"/>
    <d v="2019-03-03T00:00:00"/>
    <d v="1899-12-30T13:42:00"/>
    <s v="Cash"/>
    <n v="259.60000000000002"/>
    <n v="4.7619047620000003"/>
    <n v="12.98"/>
    <n v="7.5"/>
    <d v="2019-03-03T00:00:00"/>
    <n v="3"/>
    <n v="13"/>
  </r>
  <r>
    <s v="727-75-6477"/>
    <x v="1"/>
    <s v="Naypyitaw"/>
    <s v="Normal"/>
    <s v="Male"/>
    <s v="Electronic accessories"/>
    <n v="28.84"/>
    <n v="4"/>
    <n v="5.7679999999999998"/>
    <x v="294"/>
    <s v="3/29/2019"/>
    <d v="1899-12-30T14:44:00"/>
    <s v="Cash"/>
    <n v="115.36"/>
    <n v="4.7619047620000003"/>
    <n v="5.7679999999999998"/>
    <n v="6.4"/>
    <d v="2019-03-29T00:00:00"/>
    <n v="3"/>
    <n v="14"/>
  </r>
  <r>
    <s v="744-02-5987"/>
    <x v="0"/>
    <s v="Yangon"/>
    <s v="Member"/>
    <s v="Male"/>
    <s v="Home and lifestyle"/>
    <n v="78.38"/>
    <n v="6"/>
    <n v="23.513999999999999"/>
    <x v="295"/>
    <d v="2019-10-01T00:00:00"/>
    <d v="1899-12-30T14:16:00"/>
    <s v="Ewallet"/>
    <n v="470.28"/>
    <n v="4.7619047620000003"/>
    <n v="23.513999999999999"/>
    <n v="5.8"/>
    <d v="2019-01-10T00:00:00"/>
    <n v="1"/>
    <n v="14"/>
  </r>
  <r>
    <s v="307-83-9164"/>
    <x v="0"/>
    <s v="Yangon"/>
    <s v="Member"/>
    <s v="Male"/>
    <s v="Home and lifestyle"/>
    <n v="60.01"/>
    <n v="4"/>
    <n v="12.002000000000001"/>
    <x v="296"/>
    <s v="1/25/2019"/>
    <d v="1899-12-30T15:54:00"/>
    <s v="Cash"/>
    <n v="240.04"/>
    <n v="4.7619047620000003"/>
    <n v="12.002000000000001"/>
    <n v="4.5"/>
    <d v="2019-01-25T00:00:00"/>
    <n v="1"/>
    <n v="15"/>
  </r>
  <r>
    <s v="779-06-0012"/>
    <x v="1"/>
    <s v="Naypyitaw"/>
    <s v="Member"/>
    <s v="Female"/>
    <s v="Home and lifestyle"/>
    <n v="88.61"/>
    <n v="1"/>
    <n v="4.4305000000000003"/>
    <x v="297"/>
    <s v="1/19/2019"/>
    <d v="1899-12-30T10:21:00"/>
    <s v="Cash"/>
    <n v="88.61"/>
    <n v="4.7619047620000003"/>
    <n v="4.4305000000000003"/>
    <n v="7.7"/>
    <d v="2019-01-19T00:00:00"/>
    <n v="1"/>
    <n v="10"/>
  </r>
  <r>
    <s v="446-47-6729"/>
    <x v="1"/>
    <s v="Naypyitaw"/>
    <s v="Normal"/>
    <s v="Male"/>
    <s v="Fashion accessories"/>
    <n v="99.82"/>
    <n v="2"/>
    <n v="9.9819999999999993"/>
    <x v="298"/>
    <d v="2019-02-01T00:00:00"/>
    <d v="1899-12-30T18:09:00"/>
    <s v="Credit card"/>
    <n v="199.64"/>
    <n v="4.7619047620000003"/>
    <n v="9.9819999999999993"/>
    <n v="6.7"/>
    <d v="2019-01-02T00:00:00"/>
    <n v="1"/>
    <n v="18"/>
  </r>
  <r>
    <s v="573-10-3877"/>
    <x v="2"/>
    <s v="Mandalay"/>
    <s v="Member"/>
    <s v="Male"/>
    <s v="Health and beauty"/>
    <n v="39.01"/>
    <n v="1"/>
    <n v="1.9504999999999999"/>
    <x v="299"/>
    <d v="2019-12-03T00:00:00"/>
    <d v="1899-12-30T16:46:00"/>
    <s v="Credit card"/>
    <n v="39.01"/>
    <n v="4.7619047620000003"/>
    <n v="1.9504999999999999"/>
    <n v="4.7"/>
    <d v="2019-03-12T00:00:00"/>
    <n v="3"/>
    <n v="16"/>
  </r>
  <r>
    <s v="735-06-4124"/>
    <x v="1"/>
    <s v="Naypyitaw"/>
    <s v="Normal"/>
    <s v="Male"/>
    <s v="Food and beverages"/>
    <n v="48.61"/>
    <n v="1"/>
    <n v="2.4304999999999999"/>
    <x v="300"/>
    <s v="2/25/2019"/>
    <d v="1899-12-30T15:31:00"/>
    <s v="Cash"/>
    <n v="48.61"/>
    <n v="4.7619047620000003"/>
    <n v="2.4304999999999999"/>
    <n v="4.4000000000000004"/>
    <d v="2019-02-25T00:00:00"/>
    <n v="2"/>
    <n v="15"/>
  </r>
  <r>
    <s v="439-54-7422"/>
    <x v="0"/>
    <s v="Yangon"/>
    <s v="Normal"/>
    <s v="Female"/>
    <s v="Electronic accessories"/>
    <n v="51.19"/>
    <n v="4"/>
    <n v="10.238"/>
    <x v="301"/>
    <s v="3/18/2019"/>
    <d v="1899-12-30T17:15:00"/>
    <s v="Credit card"/>
    <n v="204.76"/>
    <n v="4.7619047620000003"/>
    <n v="10.238"/>
    <n v="4.7"/>
    <d v="2019-03-18T00:00:00"/>
    <n v="3"/>
    <n v="17"/>
  </r>
  <r>
    <s v="396-90-2219"/>
    <x v="2"/>
    <s v="Mandalay"/>
    <s v="Normal"/>
    <s v="Female"/>
    <s v="Electronic accessories"/>
    <n v="14.96"/>
    <n v="8"/>
    <n v="5.984"/>
    <x v="302"/>
    <s v="2/23/2019"/>
    <d v="1899-12-30T12:29:00"/>
    <s v="Cash"/>
    <n v="119.68"/>
    <n v="4.7619047620000003"/>
    <n v="5.984"/>
    <n v="8.6"/>
    <d v="2019-02-23T00:00:00"/>
    <n v="2"/>
    <n v="12"/>
  </r>
  <r>
    <s v="411-77-0180"/>
    <x v="0"/>
    <s v="Yangon"/>
    <s v="Member"/>
    <s v="Male"/>
    <s v="Electronic accessories"/>
    <n v="72.2"/>
    <n v="7"/>
    <n v="25.27"/>
    <x v="303"/>
    <s v="3/26/2019"/>
    <d v="1899-12-30T20:14:00"/>
    <s v="Ewallet"/>
    <n v="505.4"/>
    <n v="4.7619047620000003"/>
    <n v="25.27"/>
    <n v="4.3"/>
    <d v="2019-03-26T00:00:00"/>
    <n v="3"/>
    <n v="20"/>
  </r>
  <r>
    <s v="286-01-5402"/>
    <x v="0"/>
    <s v="Yangon"/>
    <s v="Normal"/>
    <s v="Female"/>
    <s v="Sports and travel"/>
    <n v="40.229999999999997"/>
    <n v="7"/>
    <n v="14.080500000000001"/>
    <x v="304"/>
    <s v="3/30/2019"/>
    <d v="1899-12-30T13:22:00"/>
    <s v="Cash"/>
    <n v="281.61"/>
    <n v="4.7619047620000003"/>
    <n v="14.080500000000001"/>
    <n v="9.6"/>
    <d v="2019-03-30T00:00:00"/>
    <n v="3"/>
    <n v="13"/>
  </r>
  <r>
    <s v="803-17-8013"/>
    <x v="0"/>
    <s v="Yangon"/>
    <s v="Member"/>
    <s v="Female"/>
    <s v="Home and lifestyle"/>
    <n v="88.79"/>
    <n v="8"/>
    <n v="35.515999999999998"/>
    <x v="305"/>
    <s v="2/17/2019"/>
    <d v="1899-12-30T17:09:00"/>
    <s v="Cash"/>
    <n v="710.32"/>
    <n v="4.7619047620000003"/>
    <n v="35.515999999999998"/>
    <n v="4.0999999999999996"/>
    <d v="2019-02-17T00:00:00"/>
    <n v="2"/>
    <n v="17"/>
  </r>
  <r>
    <s v="512-98-1403"/>
    <x v="0"/>
    <s v="Yangon"/>
    <s v="Member"/>
    <s v="Female"/>
    <s v="Electronic accessories"/>
    <n v="26.48"/>
    <n v="3"/>
    <n v="3.972"/>
    <x v="306"/>
    <s v="3/21/2019"/>
    <d v="1899-12-30T10:40:00"/>
    <s v="Ewallet"/>
    <n v="79.44"/>
    <n v="4.7619047620000003"/>
    <n v="3.972"/>
    <n v="4.7"/>
    <d v="2019-03-21T00:00:00"/>
    <n v="3"/>
    <n v="10"/>
  </r>
  <r>
    <s v="848-42-2560"/>
    <x v="0"/>
    <s v="Yangon"/>
    <s v="Normal"/>
    <s v="Female"/>
    <s v="Fashion accessories"/>
    <n v="81.91"/>
    <n v="2"/>
    <n v="8.1910000000000007"/>
    <x v="307"/>
    <d v="2019-05-03T00:00:00"/>
    <d v="1899-12-30T17:43:00"/>
    <s v="Cash"/>
    <n v="163.82"/>
    <n v="4.7619047620000003"/>
    <n v="8.1910000000000007"/>
    <n v="7.8"/>
    <d v="2019-03-05T00:00:00"/>
    <n v="3"/>
    <n v="17"/>
  </r>
  <r>
    <s v="532-59-7201"/>
    <x v="2"/>
    <s v="Mandalay"/>
    <s v="Member"/>
    <s v="Male"/>
    <s v="Sports and travel"/>
    <n v="79.930000000000007"/>
    <n v="6"/>
    <n v="23.978999999999999"/>
    <x v="308"/>
    <s v="1/31/2019"/>
    <d v="1899-12-30T14:04:00"/>
    <s v="Cash"/>
    <n v="479.58"/>
    <n v="4.7619047620000003"/>
    <n v="23.978999999999999"/>
    <n v="5.5"/>
    <d v="2019-01-31T00:00:00"/>
    <n v="1"/>
    <n v="14"/>
  </r>
  <r>
    <s v="181-94-6432"/>
    <x v="1"/>
    <s v="Naypyitaw"/>
    <s v="Member"/>
    <s v="Male"/>
    <s v="Fashion accessories"/>
    <n v="69.33"/>
    <n v="2"/>
    <n v="6.9329999999999998"/>
    <x v="309"/>
    <d v="2019-05-02T00:00:00"/>
    <d v="1899-12-30T19:05:00"/>
    <s v="Ewallet"/>
    <n v="138.66"/>
    <n v="4.7619047620000003"/>
    <n v="6.9329999999999998"/>
    <n v="9.6999999999999993"/>
    <d v="2019-02-05T00:00:00"/>
    <n v="2"/>
    <n v="19"/>
  </r>
  <r>
    <s v="870-76-1733"/>
    <x v="0"/>
    <s v="Yangon"/>
    <s v="Member"/>
    <s v="Female"/>
    <s v="Food and beverages"/>
    <n v="14.23"/>
    <n v="5"/>
    <n v="3.5575000000000001"/>
    <x v="310"/>
    <d v="2019-01-02T00:00:00"/>
    <d v="1899-12-30T10:08:00"/>
    <s v="Credit card"/>
    <n v="71.150000000000006"/>
    <n v="4.7619047620000003"/>
    <n v="3.5575000000000001"/>
    <n v="4.4000000000000004"/>
    <d v="2019-02-01T00:00:00"/>
    <n v="2"/>
    <n v="10"/>
  </r>
  <r>
    <s v="423-64-4619"/>
    <x v="0"/>
    <s v="Yangon"/>
    <s v="Member"/>
    <s v="Female"/>
    <s v="Health and beauty"/>
    <n v="15.55"/>
    <n v="9"/>
    <n v="6.9974999999999996"/>
    <x v="311"/>
    <d v="2019-07-03T00:00:00"/>
    <d v="1899-12-30T13:12:00"/>
    <s v="Cash"/>
    <n v="139.94999999999999"/>
    <n v="4.7619047620000003"/>
    <n v="6.9974999999999996"/>
    <n v="5"/>
    <d v="2019-03-07T00:00:00"/>
    <n v="3"/>
    <n v="13"/>
  </r>
  <r>
    <s v="227-07-4446"/>
    <x v="1"/>
    <s v="Naypyitaw"/>
    <s v="Member"/>
    <s v="Female"/>
    <s v="Electronic accessories"/>
    <n v="78.13"/>
    <n v="10"/>
    <n v="39.064999999999998"/>
    <x v="312"/>
    <d v="2019-10-02T00:00:00"/>
    <d v="1899-12-30T20:51:00"/>
    <s v="Cash"/>
    <n v="781.3"/>
    <n v="4.7619047620000003"/>
    <n v="39.064999999999998"/>
    <n v="4.4000000000000004"/>
    <d v="2019-02-10T00:00:00"/>
    <n v="2"/>
    <n v="20"/>
  </r>
  <r>
    <s v="174-36-3675"/>
    <x v="1"/>
    <s v="Naypyitaw"/>
    <s v="Member"/>
    <s v="Male"/>
    <s v="Food and beverages"/>
    <n v="99.37"/>
    <n v="2"/>
    <n v="9.9369999999999994"/>
    <x v="313"/>
    <s v="2/14/2019"/>
    <d v="1899-12-30T17:29:00"/>
    <s v="Cash"/>
    <n v="198.74"/>
    <n v="4.7619047620000003"/>
    <n v="9.9369999999999994"/>
    <n v="5.2"/>
    <d v="2019-02-14T00:00:00"/>
    <n v="2"/>
    <n v="17"/>
  </r>
  <r>
    <s v="428-83-5800"/>
    <x v="1"/>
    <s v="Naypyitaw"/>
    <s v="Member"/>
    <s v="Female"/>
    <s v="Food and beverages"/>
    <n v="21.08"/>
    <n v="3"/>
    <n v="3.1619999999999999"/>
    <x v="314"/>
    <d v="2019-09-02T00:00:00"/>
    <d v="1899-12-30T10:25:00"/>
    <s v="Cash"/>
    <n v="63.24"/>
    <n v="4.7619047620000003"/>
    <n v="3.1619999999999999"/>
    <n v="7.3"/>
    <d v="2019-02-09T00:00:00"/>
    <n v="2"/>
    <n v="10"/>
  </r>
  <r>
    <s v="603-07-0961"/>
    <x v="1"/>
    <s v="Naypyitaw"/>
    <s v="Member"/>
    <s v="Male"/>
    <s v="Electronic accessories"/>
    <n v="74.790000000000006"/>
    <n v="5"/>
    <n v="18.697500000000002"/>
    <x v="315"/>
    <d v="2019-10-01T00:00:00"/>
    <d v="1899-12-30T11:34:00"/>
    <s v="Cash"/>
    <n v="373.95"/>
    <n v="4.7619047620000003"/>
    <n v="18.697500000000002"/>
    <n v="4.9000000000000004"/>
    <d v="2019-01-10T00:00:00"/>
    <n v="1"/>
    <n v="11"/>
  </r>
  <r>
    <s v="704-20-4138"/>
    <x v="1"/>
    <s v="Naypyitaw"/>
    <s v="Member"/>
    <s v="Female"/>
    <s v="Health and beauty"/>
    <n v="29.67"/>
    <n v="7"/>
    <n v="10.384499999999999"/>
    <x v="316"/>
    <d v="2019-11-03T00:00:00"/>
    <d v="1899-12-30T18:58:00"/>
    <s v="Credit card"/>
    <n v="207.69"/>
    <n v="4.7619047620000003"/>
    <n v="10.384499999999999"/>
    <n v="8.1"/>
    <d v="2019-03-11T00:00:00"/>
    <n v="3"/>
    <n v="18"/>
  </r>
  <r>
    <s v="787-15-1757"/>
    <x v="1"/>
    <s v="Naypyitaw"/>
    <s v="Member"/>
    <s v="Male"/>
    <s v="Health and beauty"/>
    <n v="44.07"/>
    <n v="4"/>
    <n v="8.8140000000000001"/>
    <x v="317"/>
    <s v="2/18/2019"/>
    <d v="1899-12-30T16:28:00"/>
    <s v="Ewallet"/>
    <n v="176.28"/>
    <n v="4.7619047620000003"/>
    <n v="8.8140000000000001"/>
    <n v="8.4"/>
    <d v="2019-02-18T00:00:00"/>
    <n v="2"/>
    <n v="16"/>
  </r>
  <r>
    <s v="649-11-3678"/>
    <x v="1"/>
    <s v="Naypyitaw"/>
    <s v="Normal"/>
    <s v="Female"/>
    <s v="Food and beverages"/>
    <n v="22.93"/>
    <n v="9"/>
    <n v="10.3185"/>
    <x v="318"/>
    <s v="2/26/2019"/>
    <d v="1899-12-30T20:26:00"/>
    <s v="Cash"/>
    <n v="206.37"/>
    <n v="4.7619047620000003"/>
    <n v="10.3185"/>
    <n v="5.5"/>
    <d v="2019-02-26T00:00:00"/>
    <n v="2"/>
    <n v="20"/>
  </r>
  <r>
    <s v="622-20-1945"/>
    <x v="1"/>
    <s v="Naypyitaw"/>
    <s v="Normal"/>
    <s v="Female"/>
    <s v="Health and beauty"/>
    <n v="39.42"/>
    <n v="1"/>
    <n v="1.9710000000000001"/>
    <x v="319"/>
    <s v="1/18/2019"/>
    <d v="1899-12-30T15:08:00"/>
    <s v="Cash"/>
    <n v="39.42"/>
    <n v="4.7619047620000003"/>
    <n v="1.9710000000000001"/>
    <n v="8.4"/>
    <d v="2019-01-18T00:00:00"/>
    <n v="1"/>
    <n v="15"/>
  </r>
  <r>
    <s v="372-94-8041"/>
    <x v="0"/>
    <s v="Yangon"/>
    <s v="Normal"/>
    <s v="Male"/>
    <s v="Health and beauty"/>
    <n v="15.26"/>
    <n v="6"/>
    <n v="4.5780000000000003"/>
    <x v="320"/>
    <s v="2/15/2019"/>
    <d v="1899-12-30T18:03:00"/>
    <s v="Ewallet"/>
    <n v="91.56"/>
    <n v="4.7619047620000003"/>
    <n v="4.5780000000000003"/>
    <n v="9.8000000000000007"/>
    <d v="2019-02-15T00:00:00"/>
    <n v="2"/>
    <n v="18"/>
  </r>
  <r>
    <s v="563-91-7120"/>
    <x v="0"/>
    <s v="Yangon"/>
    <s v="Normal"/>
    <s v="Female"/>
    <s v="Fashion accessories"/>
    <n v="61.77"/>
    <n v="5"/>
    <n v="15.442500000000001"/>
    <x v="321"/>
    <d v="2019-08-03T00:00:00"/>
    <d v="1899-12-30T13:21:00"/>
    <s v="Cash"/>
    <n v="308.85000000000002"/>
    <n v="4.7619047620000003"/>
    <n v="15.442500000000001"/>
    <n v="6.7"/>
    <d v="2019-03-08T00:00:00"/>
    <n v="3"/>
    <n v="13"/>
  </r>
  <r>
    <s v="746-54-5508"/>
    <x v="0"/>
    <s v="Yangon"/>
    <s v="Normal"/>
    <s v="Male"/>
    <s v="Home and lifestyle"/>
    <n v="21.52"/>
    <n v="6"/>
    <n v="6.4560000000000004"/>
    <x v="322"/>
    <s v="1/17/2019"/>
    <d v="1899-12-30T12:48:00"/>
    <s v="Credit card"/>
    <n v="129.12"/>
    <n v="4.7619047620000003"/>
    <n v="6.4560000000000004"/>
    <n v="9.4"/>
    <d v="2019-01-17T00:00:00"/>
    <n v="1"/>
    <n v="12"/>
  </r>
  <r>
    <s v="276-54-0879"/>
    <x v="2"/>
    <s v="Mandalay"/>
    <s v="Normal"/>
    <s v="Male"/>
    <s v="Sports and travel"/>
    <n v="97.74"/>
    <n v="4"/>
    <n v="19.547999999999998"/>
    <x v="323"/>
    <d v="2019-12-03T00:00:00"/>
    <d v="1899-12-30T19:53:00"/>
    <s v="Ewallet"/>
    <n v="390.96"/>
    <n v="4.7619047620000003"/>
    <n v="19.547999999999998"/>
    <n v="6.4"/>
    <d v="2019-03-12T00:00:00"/>
    <n v="3"/>
    <n v="19"/>
  </r>
  <r>
    <s v="815-11-1168"/>
    <x v="0"/>
    <s v="Yangon"/>
    <s v="Member"/>
    <s v="Male"/>
    <s v="Food and beverages"/>
    <n v="99.78"/>
    <n v="5"/>
    <n v="24.945"/>
    <x v="324"/>
    <d v="2019-09-03T00:00:00"/>
    <d v="1899-12-30T19:09:00"/>
    <s v="Cash"/>
    <n v="498.9"/>
    <n v="4.7619047620000003"/>
    <n v="24.945"/>
    <n v="5.4"/>
    <d v="2019-03-09T00:00:00"/>
    <n v="3"/>
    <n v="19"/>
  </r>
  <r>
    <s v="719-76-3868"/>
    <x v="1"/>
    <s v="Naypyitaw"/>
    <s v="Member"/>
    <s v="Male"/>
    <s v="Food and beverages"/>
    <n v="94.26"/>
    <n v="4"/>
    <n v="18.852"/>
    <x v="325"/>
    <d v="2019-12-03T00:00:00"/>
    <d v="1899-12-30T16:30:00"/>
    <s v="Cash"/>
    <n v="377.04"/>
    <n v="4.7619047620000003"/>
    <n v="18.852"/>
    <n v="8.6"/>
    <d v="2019-03-12T00:00:00"/>
    <n v="3"/>
    <n v="16"/>
  </r>
  <r>
    <s v="730-61-8757"/>
    <x v="2"/>
    <s v="Mandalay"/>
    <s v="Member"/>
    <s v="Male"/>
    <s v="Health and beauty"/>
    <n v="51.13"/>
    <n v="4"/>
    <n v="10.226000000000001"/>
    <x v="326"/>
    <s v="1/25/2019"/>
    <d v="1899-12-30T10:11:00"/>
    <s v="Credit card"/>
    <n v="204.52"/>
    <n v="4.7619047620000003"/>
    <n v="10.226000000000001"/>
    <n v="4"/>
    <d v="2019-01-25T00:00:00"/>
    <n v="1"/>
    <n v="10"/>
  </r>
  <r>
    <s v="340-66-0321"/>
    <x v="0"/>
    <s v="Yangon"/>
    <s v="Member"/>
    <s v="Male"/>
    <s v="Electronic accessories"/>
    <n v="36.36"/>
    <n v="4"/>
    <n v="7.2720000000000002"/>
    <x v="327"/>
    <s v="3/25/2019"/>
    <d v="1899-12-30T13:07:00"/>
    <s v="Cash"/>
    <n v="145.44"/>
    <n v="4.7619047620000003"/>
    <n v="7.2720000000000002"/>
    <n v="7.6"/>
    <d v="2019-03-25T00:00:00"/>
    <n v="3"/>
    <n v="13"/>
  </r>
  <r>
    <s v="868-81-1752"/>
    <x v="2"/>
    <s v="Mandalay"/>
    <s v="Normal"/>
    <s v="Male"/>
    <s v="Home and lifestyle"/>
    <n v="22.02"/>
    <n v="9"/>
    <n v="9.9090000000000007"/>
    <x v="328"/>
    <d v="2019-07-02T00:00:00"/>
    <d v="1899-12-30T18:48:00"/>
    <s v="Cash"/>
    <n v="198.18"/>
    <n v="4.7619047620000003"/>
    <n v="9.9090000000000007"/>
    <n v="6.8"/>
    <d v="2019-02-07T00:00:00"/>
    <n v="2"/>
    <n v="18"/>
  </r>
  <r>
    <s v="634-97-8956"/>
    <x v="0"/>
    <s v="Yangon"/>
    <s v="Normal"/>
    <s v="Male"/>
    <s v="Food and beverages"/>
    <n v="32.9"/>
    <n v="3"/>
    <n v="4.9349999999999996"/>
    <x v="329"/>
    <s v="2/17/2019"/>
    <d v="1899-12-30T17:27:00"/>
    <s v="Credit card"/>
    <n v="98.7"/>
    <n v="4.7619047620000003"/>
    <n v="4.9349999999999996"/>
    <n v="9.1"/>
    <d v="2019-02-17T00:00:00"/>
    <n v="2"/>
    <n v="17"/>
  </r>
  <r>
    <s v="566-71-1091"/>
    <x v="0"/>
    <s v="Yangon"/>
    <s v="Normal"/>
    <s v="Male"/>
    <s v="Fashion accessories"/>
    <n v="77.02"/>
    <n v="5"/>
    <n v="19.254999999999999"/>
    <x v="330"/>
    <d v="2019-03-02T00:00:00"/>
    <d v="1899-12-30T15:59:00"/>
    <s v="Cash"/>
    <n v="385.1"/>
    <n v="4.7619047620000003"/>
    <n v="19.254999999999999"/>
    <n v="5.5"/>
    <d v="2019-02-03T00:00:00"/>
    <n v="2"/>
    <n v="15"/>
  </r>
  <r>
    <s v="442-48-3607"/>
    <x v="0"/>
    <s v="Yangon"/>
    <s v="Member"/>
    <s v="Male"/>
    <s v="Food and beverages"/>
    <n v="23.48"/>
    <n v="2"/>
    <n v="2.3479999999999999"/>
    <x v="331"/>
    <s v="3/14/2019"/>
    <d v="1899-12-30T11:21:00"/>
    <s v="Credit card"/>
    <n v="46.96"/>
    <n v="4.7619047620000003"/>
    <n v="2.3479999999999999"/>
    <n v="7.9"/>
    <d v="2019-03-14T00:00:00"/>
    <n v="3"/>
    <n v="11"/>
  </r>
  <r>
    <s v="835-16-0096"/>
    <x v="1"/>
    <s v="Naypyitaw"/>
    <s v="Member"/>
    <s v="Male"/>
    <s v="Sports and travel"/>
    <n v="14.7"/>
    <n v="5"/>
    <n v="3.6749999999999998"/>
    <x v="332"/>
    <s v="3/24/2019"/>
    <d v="1899-12-30T13:48:00"/>
    <s v="Ewallet"/>
    <n v="73.5"/>
    <n v="4.7619047620000003"/>
    <n v="3.6749999999999998"/>
    <n v="8.5"/>
    <d v="2019-03-24T00:00:00"/>
    <n v="3"/>
    <n v="13"/>
  </r>
  <r>
    <s v="527-09-6272"/>
    <x v="0"/>
    <s v="Yangon"/>
    <s v="Member"/>
    <s v="Female"/>
    <s v="Electronic accessories"/>
    <n v="28.45"/>
    <n v="5"/>
    <n v="7.1124999999999998"/>
    <x v="333"/>
    <s v="3/21/2019"/>
    <d v="1899-12-30T10:17:00"/>
    <s v="Credit card"/>
    <n v="142.25"/>
    <n v="4.7619047620000003"/>
    <n v="7.1124999999999998"/>
    <n v="9.1"/>
    <d v="2019-03-21T00:00:00"/>
    <n v="3"/>
    <n v="10"/>
  </r>
  <r>
    <s v="898-04-2717"/>
    <x v="0"/>
    <s v="Yangon"/>
    <s v="Normal"/>
    <s v="Male"/>
    <s v="Fashion accessories"/>
    <n v="76.400000000000006"/>
    <n v="9"/>
    <n v="34.380000000000003"/>
    <x v="334"/>
    <s v="3/19/2019"/>
    <d v="1899-12-30T15:49:00"/>
    <s v="Ewallet"/>
    <n v="687.6"/>
    <n v="4.7619047620000003"/>
    <n v="34.380000000000003"/>
    <n v="7.5"/>
    <d v="2019-03-19T00:00:00"/>
    <n v="3"/>
    <n v="15"/>
  </r>
  <r>
    <s v="692-27-8933"/>
    <x v="2"/>
    <s v="Mandalay"/>
    <s v="Normal"/>
    <s v="Female"/>
    <s v="Sports and travel"/>
    <n v="57.95"/>
    <n v="6"/>
    <n v="17.385000000000002"/>
    <x v="335"/>
    <s v="2/24/2019"/>
    <d v="1899-12-30T13:02:00"/>
    <s v="Cash"/>
    <n v="347.7"/>
    <n v="4.7619047620000003"/>
    <n v="17.385000000000002"/>
    <n v="5.2"/>
    <d v="2019-02-24T00:00:00"/>
    <n v="2"/>
    <n v="13"/>
  </r>
  <r>
    <s v="633-09-3463"/>
    <x v="1"/>
    <s v="Naypyitaw"/>
    <s v="Normal"/>
    <s v="Female"/>
    <s v="Electronic accessories"/>
    <n v="47.65"/>
    <n v="3"/>
    <n v="7.1475"/>
    <x v="336"/>
    <s v="3/28/2019"/>
    <d v="1899-12-30T12:58:00"/>
    <s v="Credit card"/>
    <n v="142.94999999999999"/>
    <n v="4.7619047620000003"/>
    <n v="7.1475"/>
    <n v="9.5"/>
    <d v="2019-03-28T00:00:00"/>
    <n v="3"/>
    <n v="12"/>
  </r>
  <r>
    <s v="374-17-3652"/>
    <x v="2"/>
    <s v="Mandalay"/>
    <s v="Member"/>
    <s v="Female"/>
    <s v="Food and beverages"/>
    <n v="42.82"/>
    <n v="9"/>
    <n v="19.268999999999998"/>
    <x v="337"/>
    <d v="2019-05-02T00:00:00"/>
    <d v="1899-12-30T15:26:00"/>
    <s v="Credit card"/>
    <n v="385.38"/>
    <n v="4.7619047620000003"/>
    <n v="19.268999999999998"/>
    <n v="8.9"/>
    <d v="2019-02-05T00:00:00"/>
    <n v="2"/>
    <n v="15"/>
  </r>
  <r>
    <s v="378-07-7001"/>
    <x v="2"/>
    <s v="Mandalay"/>
    <s v="Member"/>
    <s v="Male"/>
    <s v="Electronic accessories"/>
    <n v="48.09"/>
    <n v="3"/>
    <n v="7.2134999999999998"/>
    <x v="338"/>
    <d v="2019-10-02T00:00:00"/>
    <d v="1899-12-30T18:23:00"/>
    <s v="Credit card"/>
    <n v="144.27000000000001"/>
    <n v="4.7619047620000003"/>
    <n v="7.2134999999999998"/>
    <n v="7.8"/>
    <d v="2019-02-10T00:00:00"/>
    <n v="2"/>
    <n v="18"/>
  </r>
  <r>
    <s v="433-75-6987"/>
    <x v="2"/>
    <s v="Mandalay"/>
    <s v="Member"/>
    <s v="Female"/>
    <s v="Health and beauty"/>
    <n v="55.97"/>
    <n v="7"/>
    <n v="19.589500000000001"/>
    <x v="339"/>
    <d v="2019-05-03T00:00:00"/>
    <d v="1899-12-30T19:06:00"/>
    <s v="Ewallet"/>
    <n v="391.79"/>
    <n v="4.7619047620000003"/>
    <n v="19.589500000000001"/>
    <n v="8.9"/>
    <d v="2019-03-05T00:00:00"/>
    <n v="3"/>
    <n v="19"/>
  </r>
  <r>
    <s v="873-95-4984"/>
    <x v="2"/>
    <s v="Mandalay"/>
    <s v="Member"/>
    <s v="Female"/>
    <s v="Health and beauty"/>
    <n v="76.900000000000006"/>
    <n v="7"/>
    <n v="26.914999999999999"/>
    <x v="340"/>
    <s v="2/15/2019"/>
    <d v="1899-12-30T20:21:00"/>
    <s v="Cash"/>
    <n v="538.29999999999995"/>
    <n v="4.7619047620000003"/>
    <n v="26.914999999999999"/>
    <n v="7.7"/>
    <d v="2019-02-15T00:00:00"/>
    <n v="2"/>
    <n v="20"/>
  </r>
  <r>
    <s v="416-13-5917"/>
    <x v="1"/>
    <s v="Naypyitaw"/>
    <s v="Normal"/>
    <s v="Female"/>
    <s v="Food and beverages"/>
    <n v="97.03"/>
    <n v="5"/>
    <n v="24.2575"/>
    <x v="341"/>
    <s v="1/30/2019"/>
    <d v="1899-12-30T16:24:00"/>
    <s v="Ewallet"/>
    <n v="485.15"/>
    <n v="4.7619047620000003"/>
    <n v="24.2575"/>
    <n v="9.3000000000000007"/>
    <d v="2019-01-30T00:00:00"/>
    <n v="1"/>
    <n v="16"/>
  </r>
  <r>
    <s v="150-89-8043"/>
    <x v="0"/>
    <s v="Yangon"/>
    <s v="Normal"/>
    <s v="Male"/>
    <s v="Sports and travel"/>
    <n v="44.65"/>
    <n v="3"/>
    <n v="6.6974999999999998"/>
    <x v="342"/>
    <s v="2/14/2019"/>
    <d v="1899-12-30T15:04:00"/>
    <s v="Cash"/>
    <n v="133.94999999999999"/>
    <n v="4.7619047620000003"/>
    <n v="6.6974999999999998"/>
    <n v="6.2"/>
    <d v="2019-02-14T00:00:00"/>
    <n v="2"/>
    <n v="15"/>
  </r>
  <r>
    <s v="135-84-8019"/>
    <x v="0"/>
    <s v="Yangon"/>
    <s v="Normal"/>
    <s v="Female"/>
    <s v="Fashion accessories"/>
    <n v="77.930000000000007"/>
    <n v="9"/>
    <n v="35.0685"/>
    <x v="343"/>
    <s v="2/27/2019"/>
    <d v="1899-12-30T16:10:00"/>
    <s v="Ewallet"/>
    <n v="701.37"/>
    <n v="4.7619047620000003"/>
    <n v="35.0685"/>
    <n v="7.6"/>
    <d v="2019-02-27T00:00:00"/>
    <n v="2"/>
    <n v="16"/>
  </r>
  <r>
    <s v="441-94-7118"/>
    <x v="0"/>
    <s v="Yangon"/>
    <s v="Member"/>
    <s v="Male"/>
    <s v="Electronic accessories"/>
    <n v="71.95"/>
    <n v="1"/>
    <n v="3.5975000000000001"/>
    <x v="344"/>
    <d v="2019-04-02T00:00:00"/>
    <d v="1899-12-30T12:14:00"/>
    <s v="Cash"/>
    <n v="71.95"/>
    <n v="4.7619047620000003"/>
    <n v="3.5975000000000001"/>
    <n v="7.3"/>
    <d v="2019-02-04T00:00:00"/>
    <n v="2"/>
    <n v="12"/>
  </r>
  <r>
    <s v="725-96-3778"/>
    <x v="1"/>
    <s v="Naypyitaw"/>
    <s v="Member"/>
    <s v="Female"/>
    <s v="Home and lifestyle"/>
    <n v="89.25"/>
    <n v="8"/>
    <n v="35.700000000000003"/>
    <x v="345"/>
    <s v="1/20/2019"/>
    <d v="1899-12-30T10:13:00"/>
    <s v="Cash"/>
    <n v="714"/>
    <n v="4.7619047620000003"/>
    <n v="35.700000000000003"/>
    <n v="4.7"/>
    <d v="2019-01-20T00:00:00"/>
    <n v="1"/>
    <n v="10"/>
  </r>
  <r>
    <s v="531-80-1784"/>
    <x v="0"/>
    <s v="Yangon"/>
    <s v="Normal"/>
    <s v="Male"/>
    <s v="Electronic accessories"/>
    <n v="26.02"/>
    <n v="7"/>
    <n v="9.1069999999999993"/>
    <x v="346"/>
    <s v="3/28/2019"/>
    <d v="1899-12-30T17:38:00"/>
    <s v="Cash"/>
    <n v="182.14"/>
    <n v="4.7619047620000003"/>
    <n v="9.1069999999999993"/>
    <n v="5.0999999999999996"/>
    <d v="2019-03-28T00:00:00"/>
    <n v="3"/>
    <n v="17"/>
  </r>
  <r>
    <s v="400-45-1220"/>
    <x v="2"/>
    <s v="Mandalay"/>
    <s v="Normal"/>
    <s v="Female"/>
    <s v="Health and beauty"/>
    <n v="13.5"/>
    <n v="10"/>
    <n v="6.75"/>
    <x v="347"/>
    <s v="2/27/2019"/>
    <d v="1899-12-30T11:06:00"/>
    <s v="Credit card"/>
    <n v="135"/>
    <n v="4.7619047620000003"/>
    <n v="6.75"/>
    <n v="4.8"/>
    <d v="2019-02-27T00:00:00"/>
    <n v="2"/>
    <n v="11"/>
  </r>
  <r>
    <s v="860-79-0874"/>
    <x v="1"/>
    <s v="Naypyitaw"/>
    <s v="Member"/>
    <s v="Female"/>
    <s v="Fashion accessories"/>
    <n v="99.3"/>
    <n v="10"/>
    <n v="49.65"/>
    <x v="348"/>
    <s v="2/15/2019"/>
    <d v="1899-12-30T14:53:00"/>
    <s v="Credit card"/>
    <n v="993"/>
    <n v="4.7619047620000003"/>
    <n v="49.65"/>
    <n v="6.6"/>
    <d v="2019-02-15T00:00:00"/>
    <n v="2"/>
    <n v="14"/>
  </r>
  <r>
    <s v="834-61-8124"/>
    <x v="0"/>
    <s v="Yangon"/>
    <s v="Normal"/>
    <s v="Male"/>
    <s v="Electronic accessories"/>
    <n v="51.69"/>
    <n v="7"/>
    <n v="18.0915"/>
    <x v="349"/>
    <s v="1/26/2019"/>
    <d v="1899-12-30T18:22:00"/>
    <s v="Cash"/>
    <n v="361.83"/>
    <n v="4.7619047620000003"/>
    <n v="18.0915"/>
    <n v="5.5"/>
    <d v="2019-01-26T00:00:00"/>
    <n v="1"/>
    <n v="18"/>
  </r>
  <r>
    <s v="115-99-4379"/>
    <x v="2"/>
    <s v="Mandalay"/>
    <s v="Member"/>
    <s v="Female"/>
    <s v="Fashion accessories"/>
    <n v="54.73"/>
    <n v="7"/>
    <n v="19.1555"/>
    <x v="350"/>
    <s v="3/14/2019"/>
    <d v="1899-12-30T19:02:00"/>
    <s v="Credit card"/>
    <n v="383.11"/>
    <n v="4.7619047620000003"/>
    <n v="19.1555"/>
    <n v="8.5"/>
    <d v="2019-03-14T00:00:00"/>
    <n v="3"/>
    <n v="19"/>
  </r>
  <r>
    <s v="565-67-6697"/>
    <x v="2"/>
    <s v="Mandalay"/>
    <s v="Member"/>
    <s v="Male"/>
    <s v="Home and lifestyle"/>
    <n v="27"/>
    <n v="9"/>
    <n v="12.15"/>
    <x v="351"/>
    <d v="2019-02-03T00:00:00"/>
    <d v="1899-12-30T14:16:00"/>
    <s v="Cash"/>
    <n v="243"/>
    <n v="4.7619047620000003"/>
    <n v="12.15"/>
    <n v="4.8"/>
    <d v="2019-03-02T00:00:00"/>
    <n v="3"/>
    <n v="14"/>
  </r>
  <r>
    <s v="320-49-6392"/>
    <x v="1"/>
    <s v="Naypyitaw"/>
    <s v="Normal"/>
    <s v="Female"/>
    <s v="Electronic accessories"/>
    <n v="30.24"/>
    <n v="1"/>
    <n v="1.512"/>
    <x v="352"/>
    <d v="2019-04-03T00:00:00"/>
    <d v="1899-12-30T15:44:00"/>
    <s v="Cash"/>
    <n v="30.24"/>
    <n v="4.7619047620000003"/>
    <n v="1.512"/>
    <n v="8.4"/>
    <d v="2019-03-04T00:00:00"/>
    <n v="3"/>
    <n v="15"/>
  </r>
  <r>
    <s v="889-04-9723"/>
    <x v="2"/>
    <s v="Mandalay"/>
    <s v="Member"/>
    <s v="Female"/>
    <s v="Food and beverages"/>
    <n v="89.14"/>
    <n v="4"/>
    <n v="17.827999999999999"/>
    <x v="353"/>
    <d v="2019-07-01T00:00:00"/>
    <d v="1899-12-30T12:20:00"/>
    <s v="Credit card"/>
    <n v="356.56"/>
    <n v="4.7619047620000003"/>
    <n v="17.827999999999999"/>
    <n v="7.8"/>
    <d v="2019-01-07T00:00:00"/>
    <n v="1"/>
    <n v="12"/>
  </r>
  <r>
    <s v="632-90-0281"/>
    <x v="1"/>
    <s v="Naypyitaw"/>
    <s v="Normal"/>
    <s v="Female"/>
    <s v="Fashion accessories"/>
    <n v="37.549999999999997"/>
    <n v="10"/>
    <n v="18.774999999999999"/>
    <x v="354"/>
    <d v="2019-08-03T00:00:00"/>
    <d v="1899-12-30T20:01:00"/>
    <s v="Credit card"/>
    <n v="375.5"/>
    <n v="4.7619047620000003"/>
    <n v="18.774999999999999"/>
    <n v="9.3000000000000007"/>
    <d v="2019-03-08T00:00:00"/>
    <n v="3"/>
    <n v="20"/>
  </r>
  <r>
    <s v="554-42-2417"/>
    <x v="1"/>
    <s v="Naypyitaw"/>
    <s v="Normal"/>
    <s v="Female"/>
    <s v="Sports and travel"/>
    <n v="95.44"/>
    <n v="10"/>
    <n v="47.72"/>
    <x v="355"/>
    <d v="2019-09-01T00:00:00"/>
    <d v="1899-12-30T13:45:00"/>
    <s v="Cash"/>
    <n v="954.4"/>
    <n v="4.7619047620000003"/>
    <n v="47.72"/>
    <n v="5.2"/>
    <d v="2019-01-09T00:00:00"/>
    <n v="1"/>
    <n v="13"/>
  </r>
  <r>
    <s v="453-63-6187"/>
    <x v="2"/>
    <s v="Mandalay"/>
    <s v="Normal"/>
    <s v="Male"/>
    <s v="Electronic accessories"/>
    <n v="27.5"/>
    <n v="3"/>
    <n v="4.125"/>
    <x v="356"/>
    <d v="2019-01-03T00:00:00"/>
    <d v="1899-12-30T15:40:00"/>
    <s v="Ewallet"/>
    <n v="82.5"/>
    <n v="4.7619047620000003"/>
    <n v="4.125"/>
    <n v="6.5"/>
    <d v="2019-03-01T00:00:00"/>
    <n v="3"/>
    <n v="15"/>
  </r>
  <r>
    <s v="578-80-7669"/>
    <x v="2"/>
    <s v="Mandalay"/>
    <s v="Normal"/>
    <s v="Male"/>
    <s v="Sports and travel"/>
    <n v="74.97"/>
    <n v="1"/>
    <n v="3.7484999999999999"/>
    <x v="357"/>
    <s v="3/16/2019"/>
    <d v="1899-12-30T16:58:00"/>
    <s v="Cash"/>
    <n v="74.97"/>
    <n v="4.7619047620000003"/>
    <n v="3.7484999999999999"/>
    <n v="5.6"/>
    <d v="2019-03-16T00:00:00"/>
    <n v="3"/>
    <n v="16"/>
  </r>
  <r>
    <s v="612-36-5536"/>
    <x v="0"/>
    <s v="Yangon"/>
    <s v="Member"/>
    <s v="Male"/>
    <s v="Food and beverages"/>
    <n v="80.959999999999994"/>
    <n v="8"/>
    <n v="32.384"/>
    <x v="358"/>
    <s v="2/17/2019"/>
    <d v="1899-12-30T11:12:00"/>
    <s v="Credit card"/>
    <n v="647.67999999999995"/>
    <n v="4.7619047620000003"/>
    <n v="32.384"/>
    <n v="7.4"/>
    <d v="2019-02-17T00:00:00"/>
    <n v="2"/>
    <n v="11"/>
  </r>
  <r>
    <s v="605-72-4132"/>
    <x v="1"/>
    <s v="Naypyitaw"/>
    <s v="Normal"/>
    <s v="Female"/>
    <s v="Food and beverages"/>
    <n v="94.47"/>
    <n v="8"/>
    <n v="37.787999999999997"/>
    <x v="359"/>
    <s v="2/27/2019"/>
    <d v="1899-12-30T15:12:00"/>
    <s v="Cash"/>
    <n v="755.76"/>
    <n v="4.7619047620000003"/>
    <n v="37.787999999999997"/>
    <n v="9.1"/>
    <d v="2019-02-27T00:00:00"/>
    <n v="2"/>
    <n v="15"/>
  </r>
  <r>
    <s v="471-41-2823"/>
    <x v="1"/>
    <s v="Naypyitaw"/>
    <s v="Normal"/>
    <s v="Male"/>
    <s v="Food and beverages"/>
    <n v="99.79"/>
    <n v="2"/>
    <n v="9.9789999999999992"/>
    <x v="360"/>
    <d v="2019-07-03T00:00:00"/>
    <d v="1899-12-30T20:37:00"/>
    <s v="Ewallet"/>
    <n v="199.58"/>
    <n v="4.7619047620000003"/>
    <n v="9.9789999999999992"/>
    <n v="8"/>
    <d v="2019-03-07T00:00:00"/>
    <n v="3"/>
    <n v="20"/>
  </r>
  <r>
    <s v="462-67-9126"/>
    <x v="0"/>
    <s v="Yangon"/>
    <s v="Normal"/>
    <s v="Male"/>
    <s v="Home and lifestyle"/>
    <n v="73.22"/>
    <n v="6"/>
    <n v="21.966000000000001"/>
    <x v="361"/>
    <s v="1/21/2019"/>
    <d v="1899-12-30T17:44:00"/>
    <s v="Cash"/>
    <n v="439.32"/>
    <n v="4.7619047620000003"/>
    <n v="21.966000000000001"/>
    <n v="7.2"/>
    <d v="2019-01-21T00:00:00"/>
    <n v="1"/>
    <n v="17"/>
  </r>
  <r>
    <s v="272-27-9238"/>
    <x v="1"/>
    <s v="Naypyitaw"/>
    <s v="Normal"/>
    <s v="Female"/>
    <s v="Food and beverages"/>
    <n v="41.24"/>
    <n v="4"/>
    <n v="8.2479999999999993"/>
    <x v="362"/>
    <s v="2/19/2019"/>
    <d v="1899-12-30T16:23:00"/>
    <s v="Cash"/>
    <n v="164.96"/>
    <n v="4.7619047620000003"/>
    <n v="8.2479999999999993"/>
    <n v="7.1"/>
    <d v="2019-02-19T00:00:00"/>
    <n v="2"/>
    <n v="16"/>
  </r>
  <r>
    <s v="834-25-9262"/>
    <x v="1"/>
    <s v="Naypyitaw"/>
    <s v="Normal"/>
    <s v="Female"/>
    <s v="Fashion accessories"/>
    <n v="81.680000000000007"/>
    <n v="4"/>
    <n v="16.335999999999999"/>
    <x v="363"/>
    <d v="2019-06-01T00:00:00"/>
    <d v="1899-12-30T12:12:00"/>
    <s v="Cash"/>
    <n v="326.72000000000003"/>
    <n v="4.7619047620000003"/>
    <n v="16.335999999999999"/>
    <n v="9.1"/>
    <d v="2019-01-06T00:00:00"/>
    <n v="1"/>
    <n v="12"/>
  </r>
  <r>
    <s v="122-61-9553"/>
    <x v="1"/>
    <s v="Naypyitaw"/>
    <s v="Normal"/>
    <s v="Female"/>
    <s v="Electronic accessories"/>
    <n v="51.32"/>
    <n v="9"/>
    <n v="23.094000000000001"/>
    <x v="364"/>
    <s v="3/14/2019"/>
    <d v="1899-12-30T19:33:00"/>
    <s v="Cash"/>
    <n v="461.88"/>
    <n v="4.7619047620000003"/>
    <n v="23.094000000000001"/>
    <n v="5.6"/>
    <d v="2019-03-14T00:00:00"/>
    <n v="3"/>
    <n v="19"/>
  </r>
  <r>
    <s v="468-88-0009"/>
    <x v="0"/>
    <s v="Yangon"/>
    <s v="Member"/>
    <s v="Male"/>
    <s v="Home and lifestyle"/>
    <n v="65.94"/>
    <n v="4"/>
    <n v="13.188000000000001"/>
    <x v="257"/>
    <s v="3/24/2019"/>
    <d v="1899-12-30T10:29:00"/>
    <s v="Cash"/>
    <n v="263.76"/>
    <n v="4.7619047620000003"/>
    <n v="13.188000000000001"/>
    <n v="6"/>
    <d v="2019-03-24T00:00:00"/>
    <n v="3"/>
    <n v="10"/>
  </r>
  <r>
    <s v="613-59-9758"/>
    <x v="1"/>
    <s v="Naypyitaw"/>
    <s v="Normal"/>
    <s v="Female"/>
    <s v="Sports and travel"/>
    <n v="14.36"/>
    <n v="10"/>
    <n v="7.18"/>
    <x v="365"/>
    <s v="1/27/2019"/>
    <d v="1899-12-30T14:28:00"/>
    <s v="Cash"/>
    <n v="143.6"/>
    <n v="4.7619047620000003"/>
    <n v="7.18"/>
    <n v="5.4"/>
    <d v="2019-01-27T00:00:00"/>
    <n v="1"/>
    <n v="14"/>
  </r>
  <r>
    <s v="254-31-0042"/>
    <x v="0"/>
    <s v="Yangon"/>
    <s v="Member"/>
    <s v="Male"/>
    <s v="Electronic accessories"/>
    <n v="21.5"/>
    <n v="9"/>
    <n v="9.6750000000000007"/>
    <x v="366"/>
    <d v="2019-06-03T00:00:00"/>
    <d v="1899-12-30T12:46:00"/>
    <s v="Credit card"/>
    <n v="193.5"/>
    <n v="4.7619047620000003"/>
    <n v="9.6750000000000007"/>
    <n v="7.8"/>
    <d v="2019-03-06T00:00:00"/>
    <n v="3"/>
    <n v="12"/>
  </r>
  <r>
    <s v="201-86-2184"/>
    <x v="2"/>
    <s v="Mandalay"/>
    <s v="Member"/>
    <s v="Female"/>
    <s v="Electronic accessories"/>
    <n v="26.26"/>
    <n v="7"/>
    <n v="9.1910000000000007"/>
    <x v="367"/>
    <d v="2019-02-02T00:00:00"/>
    <d v="1899-12-30T19:40:00"/>
    <s v="Cash"/>
    <n v="183.82"/>
    <n v="4.7619047620000003"/>
    <n v="9.1910000000000007"/>
    <n v="9.9"/>
    <d v="2019-02-02T00:00:00"/>
    <n v="2"/>
    <n v="19"/>
  </r>
  <r>
    <s v="261-12-8671"/>
    <x v="2"/>
    <s v="Mandalay"/>
    <s v="Normal"/>
    <s v="Female"/>
    <s v="Fashion accessories"/>
    <n v="60.96"/>
    <n v="2"/>
    <n v="6.0960000000000001"/>
    <x v="368"/>
    <s v="1/25/2019"/>
    <d v="1899-12-30T19:39:00"/>
    <s v="Credit card"/>
    <n v="121.92"/>
    <n v="4.7619047620000003"/>
    <n v="6.0960000000000001"/>
    <n v="4.9000000000000004"/>
    <d v="2019-01-25T00:00:00"/>
    <n v="1"/>
    <n v="19"/>
  </r>
  <r>
    <s v="730-70-9830"/>
    <x v="1"/>
    <s v="Naypyitaw"/>
    <s v="Normal"/>
    <s v="Female"/>
    <s v="Home and lifestyle"/>
    <n v="70.11"/>
    <n v="6"/>
    <n v="21.033000000000001"/>
    <x v="369"/>
    <s v="3/14/2019"/>
    <d v="1899-12-30T17:54:00"/>
    <s v="Ewallet"/>
    <n v="420.66"/>
    <n v="4.7619047620000003"/>
    <n v="21.033000000000001"/>
    <n v="5.2"/>
    <d v="2019-03-14T00:00:00"/>
    <n v="3"/>
    <n v="17"/>
  </r>
  <r>
    <s v="382-25-8917"/>
    <x v="1"/>
    <s v="Naypyitaw"/>
    <s v="Normal"/>
    <s v="Male"/>
    <s v="Fashion accessories"/>
    <n v="42.08"/>
    <n v="6"/>
    <n v="12.624000000000001"/>
    <x v="370"/>
    <s v="1/29/2019"/>
    <d v="1899-12-30T12:25:00"/>
    <s v="Cash"/>
    <n v="252.48"/>
    <n v="4.7619047620000003"/>
    <n v="12.624000000000001"/>
    <n v="8.9"/>
    <d v="2019-01-29T00:00:00"/>
    <n v="1"/>
    <n v="12"/>
  </r>
  <r>
    <s v="422-29-8786"/>
    <x v="0"/>
    <s v="Yangon"/>
    <s v="Normal"/>
    <s v="Female"/>
    <s v="Home and lifestyle"/>
    <n v="67.09"/>
    <n v="5"/>
    <n v="16.772500000000001"/>
    <x v="371"/>
    <d v="2019-03-01T00:00:00"/>
    <d v="1899-12-30T16:47:00"/>
    <s v="Credit card"/>
    <n v="335.45"/>
    <n v="4.7619047620000003"/>
    <n v="16.772500000000001"/>
    <n v="9.1"/>
    <d v="2019-01-03T00:00:00"/>
    <n v="1"/>
    <n v="16"/>
  </r>
  <r>
    <s v="667-23-5919"/>
    <x v="0"/>
    <s v="Yangon"/>
    <s v="Member"/>
    <s v="Female"/>
    <s v="Fashion accessories"/>
    <n v="96.7"/>
    <n v="5"/>
    <n v="24.175000000000001"/>
    <x v="372"/>
    <s v="1/14/2019"/>
    <d v="1899-12-30T12:52:00"/>
    <s v="Ewallet"/>
    <n v="483.5"/>
    <n v="4.7619047620000003"/>
    <n v="24.175000000000001"/>
    <n v="7"/>
    <d v="2019-01-14T00:00:00"/>
    <n v="1"/>
    <n v="12"/>
  </r>
  <r>
    <s v="843-01-4703"/>
    <x v="2"/>
    <s v="Mandalay"/>
    <s v="Member"/>
    <s v="Female"/>
    <s v="Home and lifestyle"/>
    <n v="35.380000000000003"/>
    <n v="9"/>
    <n v="15.920999999999999"/>
    <x v="373"/>
    <d v="2019-05-01T00:00:00"/>
    <d v="1899-12-30T19:50:00"/>
    <s v="Credit card"/>
    <n v="318.42"/>
    <n v="4.7619047620000003"/>
    <n v="15.920999999999999"/>
    <n v="9.6"/>
    <d v="2019-01-05T00:00:00"/>
    <n v="1"/>
    <n v="19"/>
  </r>
  <r>
    <s v="743-88-1662"/>
    <x v="1"/>
    <s v="Naypyitaw"/>
    <s v="Normal"/>
    <s v="Male"/>
    <s v="Sports and travel"/>
    <n v="95.49"/>
    <n v="7"/>
    <n v="33.421500000000002"/>
    <x v="374"/>
    <s v="2/22/2019"/>
    <d v="1899-12-30T18:17:00"/>
    <s v="Ewallet"/>
    <n v="668.43"/>
    <n v="4.7619047620000003"/>
    <n v="33.421500000000002"/>
    <n v="8.6999999999999993"/>
    <d v="2019-02-22T00:00:00"/>
    <n v="2"/>
    <n v="18"/>
  </r>
  <r>
    <s v="595-86-2894"/>
    <x v="1"/>
    <s v="Naypyitaw"/>
    <s v="Member"/>
    <s v="Male"/>
    <s v="Fashion accessories"/>
    <n v="96.98"/>
    <n v="4"/>
    <n v="19.396000000000001"/>
    <x v="375"/>
    <d v="2019-06-02T00:00:00"/>
    <d v="1899-12-30T17:20:00"/>
    <s v="Ewallet"/>
    <n v="387.92"/>
    <n v="4.7619047620000003"/>
    <n v="19.396000000000001"/>
    <n v="9.4"/>
    <d v="2019-02-06T00:00:00"/>
    <n v="2"/>
    <n v="17"/>
  </r>
  <r>
    <s v="182-69-8360"/>
    <x v="2"/>
    <s v="Mandalay"/>
    <s v="Normal"/>
    <s v="Female"/>
    <s v="Electronic accessories"/>
    <n v="23.65"/>
    <n v="4"/>
    <n v="4.7300000000000004"/>
    <x v="376"/>
    <s v="1/30/2019"/>
    <d v="1899-12-30T13:32:00"/>
    <s v="Credit card"/>
    <n v="94.6"/>
    <n v="4.7619047620000003"/>
    <n v="4.7300000000000004"/>
    <n v="4"/>
    <d v="2019-01-30T00:00:00"/>
    <n v="1"/>
    <n v="13"/>
  </r>
  <r>
    <s v="289-15-7034"/>
    <x v="0"/>
    <s v="Yangon"/>
    <s v="Member"/>
    <s v="Male"/>
    <s v="Sports and travel"/>
    <n v="82.33"/>
    <n v="4"/>
    <n v="16.466000000000001"/>
    <x v="377"/>
    <d v="2019-11-01T00:00:00"/>
    <d v="1899-12-30T10:37:00"/>
    <s v="Credit card"/>
    <n v="329.32"/>
    <n v="4.7619047620000003"/>
    <n v="16.466000000000001"/>
    <n v="7.5"/>
    <d v="2019-01-11T00:00:00"/>
    <n v="1"/>
    <n v="10"/>
  </r>
  <r>
    <s v="462-78-5240"/>
    <x v="1"/>
    <s v="Naypyitaw"/>
    <s v="Normal"/>
    <s v="Female"/>
    <s v="Electronic accessories"/>
    <n v="26.61"/>
    <n v="2"/>
    <n v="2.661"/>
    <x v="378"/>
    <s v="3/19/2019"/>
    <d v="1899-12-30T14:35:00"/>
    <s v="Cash"/>
    <n v="53.22"/>
    <n v="4.7619047620000003"/>
    <n v="2.661"/>
    <n v="4.2"/>
    <d v="2019-03-19T00:00:00"/>
    <n v="3"/>
    <n v="14"/>
  </r>
  <r>
    <s v="868-52-7573"/>
    <x v="2"/>
    <s v="Mandalay"/>
    <s v="Normal"/>
    <s v="Female"/>
    <s v="Food and beverages"/>
    <n v="99.69"/>
    <n v="5"/>
    <n v="24.922499999999999"/>
    <x v="379"/>
    <s v="1/14/2019"/>
    <d v="1899-12-30T12:09:00"/>
    <s v="Cash"/>
    <n v="498.45"/>
    <n v="4.7619047620000003"/>
    <n v="24.922499999999999"/>
    <n v="9.9"/>
    <d v="2019-01-14T00:00:00"/>
    <n v="1"/>
    <n v="12"/>
  </r>
  <r>
    <s v="153-58-4872"/>
    <x v="1"/>
    <s v="Naypyitaw"/>
    <s v="Member"/>
    <s v="Female"/>
    <s v="Food and beverages"/>
    <n v="74.89"/>
    <n v="4"/>
    <n v="14.978"/>
    <x v="380"/>
    <d v="2019-01-03T00:00:00"/>
    <d v="1899-12-30T15:32:00"/>
    <s v="Ewallet"/>
    <n v="299.56"/>
    <n v="4.7619047620000003"/>
    <n v="14.978"/>
    <n v="4.2"/>
    <d v="2019-03-01T00:00:00"/>
    <n v="3"/>
    <n v="15"/>
  </r>
  <r>
    <s v="662-72-2873"/>
    <x v="0"/>
    <s v="Yangon"/>
    <s v="Normal"/>
    <s v="Female"/>
    <s v="Food and beverages"/>
    <n v="40.94"/>
    <n v="5"/>
    <n v="10.234999999999999"/>
    <x v="381"/>
    <d v="2019-06-01T00:00:00"/>
    <d v="1899-12-30T13:58:00"/>
    <s v="Ewallet"/>
    <n v="204.7"/>
    <n v="4.7619047620000003"/>
    <n v="10.234999999999999"/>
    <n v="9.9"/>
    <d v="2019-01-06T00:00:00"/>
    <n v="1"/>
    <n v="13"/>
  </r>
  <r>
    <s v="525-88-7307"/>
    <x v="2"/>
    <s v="Mandalay"/>
    <s v="Member"/>
    <s v="Male"/>
    <s v="Sports and travel"/>
    <n v="75.819999999999993"/>
    <n v="1"/>
    <n v="3.7909999999999999"/>
    <x v="382"/>
    <s v="1/31/2019"/>
    <d v="1899-12-30T13:19:00"/>
    <s v="Cash"/>
    <n v="75.819999999999993"/>
    <n v="4.7619047620000003"/>
    <n v="3.7909999999999999"/>
    <n v="5.8"/>
    <d v="2019-01-31T00:00:00"/>
    <n v="1"/>
    <n v="13"/>
  </r>
  <r>
    <s v="689-16-9784"/>
    <x v="1"/>
    <s v="Naypyitaw"/>
    <s v="Normal"/>
    <s v="Male"/>
    <s v="Food and beverages"/>
    <n v="46.77"/>
    <n v="6"/>
    <n v="14.031000000000001"/>
    <x v="383"/>
    <d v="2019-11-03T00:00:00"/>
    <d v="1899-12-30T13:37:00"/>
    <s v="Cash"/>
    <n v="280.62"/>
    <n v="4.7619047620000003"/>
    <n v="14.031000000000001"/>
    <n v="6"/>
    <d v="2019-03-11T00:00:00"/>
    <n v="3"/>
    <n v="13"/>
  </r>
  <r>
    <s v="725-56-0833"/>
    <x v="0"/>
    <s v="Yangon"/>
    <s v="Normal"/>
    <s v="Female"/>
    <s v="Health and beauty"/>
    <n v="32.32"/>
    <n v="10"/>
    <n v="16.16"/>
    <x v="384"/>
    <s v="2/20/2019"/>
    <d v="1899-12-30T16:49:00"/>
    <s v="Credit card"/>
    <n v="323.2"/>
    <n v="4.7619047620000003"/>
    <n v="16.16"/>
    <n v="10"/>
    <d v="2019-02-20T00:00:00"/>
    <n v="2"/>
    <n v="16"/>
  </r>
  <r>
    <s v="394-41-0748"/>
    <x v="1"/>
    <s v="Naypyitaw"/>
    <s v="Member"/>
    <s v="Female"/>
    <s v="Fashion accessories"/>
    <n v="54.07"/>
    <n v="9"/>
    <n v="24.331499999999998"/>
    <x v="385"/>
    <s v="1/27/2019"/>
    <d v="1899-12-30T14:55:00"/>
    <s v="Ewallet"/>
    <n v="486.63"/>
    <n v="4.7619047620000003"/>
    <n v="24.331499999999998"/>
    <n v="9.5"/>
    <d v="2019-01-27T00:00:00"/>
    <n v="1"/>
    <n v="14"/>
  </r>
  <r>
    <s v="596-42-3999"/>
    <x v="2"/>
    <s v="Mandalay"/>
    <s v="Normal"/>
    <s v="Male"/>
    <s v="Food and beverages"/>
    <n v="18.22"/>
    <n v="7"/>
    <n v="6.3769999999999998"/>
    <x v="386"/>
    <d v="2019-10-03T00:00:00"/>
    <d v="1899-12-30T14:04:00"/>
    <s v="Credit card"/>
    <n v="127.54"/>
    <n v="4.7619047620000003"/>
    <n v="6.3769999999999998"/>
    <n v="6.6"/>
    <d v="2019-03-10T00:00:00"/>
    <n v="3"/>
    <n v="14"/>
  </r>
  <r>
    <s v="541-89-9860"/>
    <x v="1"/>
    <s v="Naypyitaw"/>
    <s v="Member"/>
    <s v="Female"/>
    <s v="Fashion accessories"/>
    <n v="80.48"/>
    <n v="3"/>
    <n v="12.071999999999999"/>
    <x v="387"/>
    <s v="2/15/2019"/>
    <d v="1899-12-30T12:31:00"/>
    <s v="Cash"/>
    <n v="241.44"/>
    <n v="4.7619047620000003"/>
    <n v="12.071999999999999"/>
    <n v="8.1"/>
    <d v="2019-02-15T00:00:00"/>
    <n v="2"/>
    <n v="12"/>
  </r>
  <r>
    <s v="173-82-9529"/>
    <x v="2"/>
    <s v="Mandalay"/>
    <s v="Normal"/>
    <s v="Female"/>
    <s v="Fashion accessories"/>
    <n v="37.950000000000003"/>
    <n v="10"/>
    <n v="18.975000000000001"/>
    <x v="388"/>
    <s v="1/26/2019"/>
    <d v="1899-12-30T14:51:00"/>
    <s v="Cash"/>
    <n v="379.5"/>
    <n v="4.7619047620000003"/>
    <n v="18.975000000000001"/>
    <n v="9.6999999999999993"/>
    <d v="2019-01-26T00:00:00"/>
    <n v="1"/>
    <n v="14"/>
  </r>
  <r>
    <s v="563-36-9814"/>
    <x v="0"/>
    <s v="Yangon"/>
    <s v="Member"/>
    <s v="Male"/>
    <s v="Electronic accessories"/>
    <n v="76.819999999999993"/>
    <n v="1"/>
    <n v="3.8410000000000002"/>
    <x v="389"/>
    <s v="2/13/2019"/>
    <d v="1899-12-30T18:27:00"/>
    <s v="Ewallet"/>
    <n v="76.819999999999993"/>
    <n v="4.7619047620000003"/>
    <n v="3.8410000000000002"/>
    <n v="7.2"/>
    <d v="2019-02-13T00:00:00"/>
    <n v="2"/>
    <n v="18"/>
  </r>
  <r>
    <s v="308-47-4913"/>
    <x v="0"/>
    <s v="Yangon"/>
    <s v="Member"/>
    <s v="Female"/>
    <s v="Sports and travel"/>
    <n v="52.26"/>
    <n v="10"/>
    <n v="26.13"/>
    <x v="390"/>
    <d v="2019-09-03T00:00:00"/>
    <d v="1899-12-30T12:45:00"/>
    <s v="Credit card"/>
    <n v="522.6"/>
    <n v="4.7619047620000003"/>
    <n v="26.13"/>
    <n v="6.2"/>
    <d v="2019-03-09T00:00:00"/>
    <n v="3"/>
    <n v="12"/>
  </r>
  <r>
    <s v="885-17-6250"/>
    <x v="0"/>
    <s v="Yangon"/>
    <s v="Normal"/>
    <s v="Female"/>
    <s v="Health and beauty"/>
    <n v="79.739999999999995"/>
    <n v="1"/>
    <n v="3.9870000000000001"/>
    <x v="391"/>
    <d v="2019-06-03T00:00:00"/>
    <d v="1899-12-30T10:36:00"/>
    <s v="Ewallet"/>
    <n v="79.739999999999995"/>
    <n v="4.7619047620000003"/>
    <n v="3.9870000000000001"/>
    <n v="7.3"/>
    <d v="2019-03-06T00:00:00"/>
    <n v="3"/>
    <n v="10"/>
  </r>
  <r>
    <s v="726-27-2396"/>
    <x v="0"/>
    <s v="Yangon"/>
    <s v="Normal"/>
    <s v="Female"/>
    <s v="Health and beauty"/>
    <n v="77.5"/>
    <n v="5"/>
    <n v="19.375"/>
    <x v="392"/>
    <s v="1/24/2019"/>
    <d v="1899-12-30T20:36:00"/>
    <s v="Ewallet"/>
    <n v="387.5"/>
    <n v="4.7619047620000003"/>
    <n v="19.375"/>
    <n v="4.3"/>
    <d v="2019-01-24T00:00:00"/>
    <n v="1"/>
    <n v="20"/>
  </r>
  <r>
    <s v="316-01-3952"/>
    <x v="0"/>
    <s v="Yangon"/>
    <s v="Normal"/>
    <s v="Female"/>
    <s v="Food and beverages"/>
    <n v="54.27"/>
    <n v="5"/>
    <n v="13.567500000000001"/>
    <x v="393"/>
    <s v="3/13/2019"/>
    <d v="1899-12-30T14:16:00"/>
    <s v="Ewallet"/>
    <n v="271.35000000000002"/>
    <n v="4.7619047620000003"/>
    <n v="13.567500000000001"/>
    <n v="4.5999999999999996"/>
    <d v="2019-03-13T00:00:00"/>
    <n v="3"/>
    <n v="14"/>
  </r>
  <r>
    <s v="760-54-1821"/>
    <x v="2"/>
    <s v="Mandalay"/>
    <s v="Normal"/>
    <s v="Male"/>
    <s v="Home and lifestyle"/>
    <n v="13.59"/>
    <n v="9"/>
    <n v="6.1154999999999999"/>
    <x v="394"/>
    <s v="3/15/2019"/>
    <d v="1899-12-30T10:26:00"/>
    <s v="Cash"/>
    <n v="122.31"/>
    <n v="4.7619047620000003"/>
    <n v="6.1154999999999999"/>
    <n v="5.8"/>
    <d v="2019-03-15T00:00:00"/>
    <n v="3"/>
    <n v="10"/>
  </r>
  <r>
    <s v="793-10-3222"/>
    <x v="2"/>
    <s v="Mandalay"/>
    <s v="Member"/>
    <s v="Female"/>
    <s v="Health and beauty"/>
    <n v="41.06"/>
    <n v="6"/>
    <n v="12.318"/>
    <x v="395"/>
    <d v="2019-05-03T00:00:00"/>
    <d v="1899-12-30T13:30:00"/>
    <s v="Credit card"/>
    <n v="246.36"/>
    <n v="4.7619047620000003"/>
    <n v="12.318"/>
    <n v="8.3000000000000007"/>
    <d v="2019-03-05T00:00:00"/>
    <n v="3"/>
    <n v="13"/>
  </r>
  <r>
    <s v="346-12-3257"/>
    <x v="2"/>
    <s v="Mandalay"/>
    <s v="Member"/>
    <s v="Male"/>
    <s v="Electronic accessories"/>
    <n v="19.239999999999998"/>
    <n v="9"/>
    <n v="8.6579999999999995"/>
    <x v="396"/>
    <d v="2019-04-03T00:00:00"/>
    <d v="1899-12-30T16:28:00"/>
    <s v="Cash"/>
    <n v="173.16"/>
    <n v="4.7619047620000003"/>
    <n v="8.6579999999999995"/>
    <n v="8"/>
    <d v="2019-03-04T00:00:00"/>
    <n v="3"/>
    <n v="16"/>
  </r>
  <r>
    <s v="110-05-6330"/>
    <x v="1"/>
    <s v="Naypyitaw"/>
    <s v="Normal"/>
    <s v="Female"/>
    <s v="Food and beverages"/>
    <n v="39.43"/>
    <n v="6"/>
    <n v="11.829000000000001"/>
    <x v="397"/>
    <s v="3/25/2019"/>
    <d v="1899-12-30T20:18:00"/>
    <s v="Credit card"/>
    <n v="236.58"/>
    <n v="4.7619047620000003"/>
    <n v="11.829000000000001"/>
    <n v="9.4"/>
    <d v="2019-03-25T00:00:00"/>
    <n v="3"/>
    <n v="20"/>
  </r>
  <r>
    <s v="651-61-0874"/>
    <x v="1"/>
    <s v="Naypyitaw"/>
    <s v="Normal"/>
    <s v="Male"/>
    <s v="Home and lifestyle"/>
    <n v="46.22"/>
    <n v="4"/>
    <n v="9.2439999999999998"/>
    <x v="398"/>
    <d v="2019-12-03T00:00:00"/>
    <d v="1899-12-30T20:04:00"/>
    <s v="Credit card"/>
    <n v="184.88"/>
    <n v="4.7619047620000003"/>
    <n v="9.2439999999999998"/>
    <n v="6.2"/>
    <d v="2019-03-12T00:00:00"/>
    <n v="3"/>
    <n v="20"/>
  </r>
  <r>
    <s v="236-86-3015"/>
    <x v="1"/>
    <s v="Naypyitaw"/>
    <s v="Member"/>
    <s v="Male"/>
    <s v="Home and lifestyle"/>
    <n v="13.98"/>
    <n v="1"/>
    <n v="0.69899999999999995"/>
    <x v="399"/>
    <d v="2019-04-02T00:00:00"/>
    <d v="1899-12-30T13:38:00"/>
    <s v="Ewallet"/>
    <n v="13.98"/>
    <n v="4.7619047620000003"/>
    <n v="0.69899999999999995"/>
    <n v="9.8000000000000007"/>
    <d v="2019-02-04T00:00:00"/>
    <n v="2"/>
    <n v="13"/>
  </r>
  <r>
    <s v="831-64-0259"/>
    <x v="2"/>
    <s v="Mandalay"/>
    <s v="Normal"/>
    <s v="Female"/>
    <s v="Fashion accessories"/>
    <n v="39.75"/>
    <n v="5"/>
    <n v="9.9375"/>
    <x v="400"/>
    <s v="2/22/2019"/>
    <d v="1899-12-30T10:43:00"/>
    <s v="Ewallet"/>
    <n v="198.75"/>
    <n v="4.7619047620000003"/>
    <n v="9.9375"/>
    <n v="9.6"/>
    <d v="2019-02-22T00:00:00"/>
    <n v="2"/>
    <n v="10"/>
  </r>
  <r>
    <s v="587-03-7455"/>
    <x v="1"/>
    <s v="Naypyitaw"/>
    <s v="Member"/>
    <s v="Female"/>
    <s v="Fashion accessories"/>
    <n v="97.79"/>
    <n v="7"/>
    <n v="34.226500000000001"/>
    <x v="401"/>
    <s v="2/16/2019"/>
    <d v="1899-12-30T17:30:00"/>
    <s v="Ewallet"/>
    <n v="684.53"/>
    <n v="4.7619047620000003"/>
    <n v="34.226500000000001"/>
    <n v="4.9000000000000004"/>
    <d v="2019-02-16T00:00:00"/>
    <n v="2"/>
    <n v="17"/>
  </r>
  <r>
    <s v="882-40-4577"/>
    <x v="0"/>
    <s v="Yangon"/>
    <s v="Member"/>
    <s v="Male"/>
    <s v="Sports and travel"/>
    <n v="67.260000000000005"/>
    <n v="4"/>
    <n v="13.452"/>
    <x v="402"/>
    <s v="1/19/2019"/>
    <d v="1899-12-30T15:28:00"/>
    <s v="Credit card"/>
    <n v="269.04000000000002"/>
    <n v="4.7619047620000003"/>
    <n v="13.452"/>
    <n v="8"/>
    <d v="2019-01-19T00:00:00"/>
    <n v="1"/>
    <n v="15"/>
  </r>
  <r>
    <s v="732-67-5346"/>
    <x v="0"/>
    <s v="Yangon"/>
    <s v="Normal"/>
    <s v="Male"/>
    <s v="Food and beverages"/>
    <n v="13.79"/>
    <n v="5"/>
    <n v="3.4474999999999998"/>
    <x v="403"/>
    <d v="2019-11-01T00:00:00"/>
    <d v="1899-12-30T19:07:00"/>
    <s v="Credit card"/>
    <n v="68.95"/>
    <n v="4.7619047620000003"/>
    <n v="3.4474999999999998"/>
    <n v="7.8"/>
    <d v="2019-01-11T00:00:00"/>
    <n v="1"/>
    <n v="19"/>
  </r>
  <r>
    <s v="725-32-9708"/>
    <x v="2"/>
    <s v="Mandalay"/>
    <s v="Member"/>
    <s v="Female"/>
    <s v="Fashion accessories"/>
    <n v="68.709999999999994"/>
    <n v="4"/>
    <n v="13.742000000000001"/>
    <x v="404"/>
    <d v="2019-04-01T00:00:00"/>
    <d v="1899-12-30T19:01:00"/>
    <s v="Cash"/>
    <n v="274.83999999999997"/>
    <n v="4.7619047620000003"/>
    <n v="13.742000000000001"/>
    <n v="4.0999999999999996"/>
    <d v="2019-01-04T00:00:00"/>
    <n v="1"/>
    <n v="19"/>
  </r>
  <r>
    <s v="256-08-8343"/>
    <x v="0"/>
    <s v="Yangon"/>
    <s v="Normal"/>
    <s v="Female"/>
    <s v="Home and lifestyle"/>
    <n v="56.53"/>
    <n v="4"/>
    <n v="11.305999999999999"/>
    <x v="405"/>
    <d v="2019-04-03T00:00:00"/>
    <d v="1899-12-30T19:48:00"/>
    <s v="Ewallet"/>
    <n v="226.12"/>
    <n v="4.7619047620000003"/>
    <n v="11.305999999999999"/>
    <n v="5.5"/>
    <d v="2019-03-04T00:00:00"/>
    <n v="3"/>
    <n v="19"/>
  </r>
  <r>
    <s v="372-26-1506"/>
    <x v="1"/>
    <s v="Naypyitaw"/>
    <s v="Normal"/>
    <s v="Female"/>
    <s v="Fashion accessories"/>
    <n v="23.82"/>
    <n v="5"/>
    <n v="5.9550000000000001"/>
    <x v="406"/>
    <s v="1/28/2019"/>
    <d v="1899-12-30T19:24:00"/>
    <s v="Ewallet"/>
    <n v="119.1"/>
    <n v="4.7619047620000003"/>
    <n v="5.9550000000000001"/>
    <n v="5.4"/>
    <d v="2019-01-28T00:00:00"/>
    <n v="1"/>
    <n v="19"/>
  </r>
  <r>
    <s v="244-08-0162"/>
    <x v="2"/>
    <s v="Mandalay"/>
    <s v="Normal"/>
    <s v="Female"/>
    <s v="Health and beauty"/>
    <n v="34.21"/>
    <n v="10"/>
    <n v="17.105"/>
    <x v="407"/>
    <d v="2019-02-01T00:00:00"/>
    <d v="1899-12-30T13:00:00"/>
    <s v="Cash"/>
    <n v="342.1"/>
    <n v="4.7619047620000003"/>
    <n v="17.105"/>
    <n v="5.0999999999999996"/>
    <d v="2019-01-02T00:00:00"/>
    <n v="1"/>
    <n v="13"/>
  </r>
  <r>
    <s v="569-71-4390"/>
    <x v="2"/>
    <s v="Mandalay"/>
    <s v="Normal"/>
    <s v="Male"/>
    <s v="Sports and travel"/>
    <n v="21.87"/>
    <n v="2"/>
    <n v="2.1869999999999998"/>
    <x v="408"/>
    <s v="1/25/2019"/>
    <d v="1899-12-30T14:29:00"/>
    <s v="Ewallet"/>
    <n v="43.74"/>
    <n v="4.7619047620000003"/>
    <n v="2.1869999999999998"/>
    <n v="6.9"/>
    <d v="2019-01-25T00:00:00"/>
    <n v="1"/>
    <n v="14"/>
  </r>
  <r>
    <s v="132-23-6451"/>
    <x v="0"/>
    <s v="Yangon"/>
    <s v="Member"/>
    <s v="Male"/>
    <s v="Health and beauty"/>
    <n v="20.97"/>
    <n v="5"/>
    <n v="5.2424999999999997"/>
    <x v="409"/>
    <d v="2019-04-01T00:00:00"/>
    <d v="1899-12-30T13:21:00"/>
    <s v="Cash"/>
    <n v="104.85"/>
    <n v="4.7619047620000003"/>
    <n v="5.2424999999999997"/>
    <n v="7.8"/>
    <d v="2019-01-04T00:00:00"/>
    <n v="1"/>
    <n v="13"/>
  </r>
  <r>
    <s v="696-90-2548"/>
    <x v="0"/>
    <s v="Yangon"/>
    <s v="Normal"/>
    <s v="Male"/>
    <s v="Sports and travel"/>
    <n v="25.84"/>
    <n v="3"/>
    <n v="3.8759999999999999"/>
    <x v="410"/>
    <d v="2019-10-03T00:00:00"/>
    <d v="1899-12-30T18:55:00"/>
    <s v="Ewallet"/>
    <n v="77.52"/>
    <n v="4.7619047620000003"/>
    <n v="3.8759999999999999"/>
    <n v="6.6"/>
    <d v="2019-03-10T00:00:00"/>
    <n v="3"/>
    <n v="18"/>
  </r>
  <r>
    <s v="472-15-9636"/>
    <x v="0"/>
    <s v="Yangon"/>
    <s v="Normal"/>
    <s v="Male"/>
    <s v="Home and lifestyle"/>
    <n v="50.93"/>
    <n v="8"/>
    <n v="20.372"/>
    <x v="411"/>
    <s v="3/22/2019"/>
    <d v="1899-12-30T19:36:00"/>
    <s v="Ewallet"/>
    <n v="407.44"/>
    <n v="4.7619047620000003"/>
    <n v="20.372"/>
    <n v="9.1999999999999993"/>
    <d v="2019-03-22T00:00:00"/>
    <n v="3"/>
    <n v="19"/>
  </r>
  <r>
    <s v="268-03-6164"/>
    <x v="2"/>
    <s v="Mandalay"/>
    <s v="Normal"/>
    <s v="Male"/>
    <s v="Health and beauty"/>
    <n v="96.11"/>
    <n v="1"/>
    <n v="4.8055000000000003"/>
    <x v="412"/>
    <s v="1/25/2019"/>
    <d v="1899-12-30T16:28:00"/>
    <s v="Ewallet"/>
    <n v="96.11"/>
    <n v="4.7619047620000003"/>
    <n v="4.8055000000000003"/>
    <n v="7.8"/>
    <d v="2019-01-25T00:00:00"/>
    <n v="1"/>
    <n v="16"/>
  </r>
  <r>
    <s v="750-57-9686"/>
    <x v="1"/>
    <s v="Naypyitaw"/>
    <s v="Normal"/>
    <s v="Female"/>
    <s v="Home and lifestyle"/>
    <n v="45.38"/>
    <n v="4"/>
    <n v="9.0760000000000005"/>
    <x v="413"/>
    <d v="2019-08-01T00:00:00"/>
    <d v="1899-12-30T13:48:00"/>
    <s v="Credit card"/>
    <n v="181.52"/>
    <n v="4.7619047620000003"/>
    <n v="9.0760000000000005"/>
    <n v="8.6999999999999993"/>
    <d v="2019-01-08T00:00:00"/>
    <n v="1"/>
    <n v="13"/>
  </r>
  <r>
    <s v="186-09-3669"/>
    <x v="1"/>
    <s v="Naypyitaw"/>
    <s v="Member"/>
    <s v="Female"/>
    <s v="Health and beauty"/>
    <n v="81.510000000000005"/>
    <n v="1"/>
    <n v="4.0754999999999999"/>
    <x v="414"/>
    <s v="1/22/2019"/>
    <d v="1899-12-30T10:57:00"/>
    <s v="Ewallet"/>
    <n v="81.510000000000005"/>
    <n v="4.7619047620000003"/>
    <n v="4.0754999999999999"/>
    <n v="9.1999999999999993"/>
    <d v="2019-01-22T00:00:00"/>
    <n v="1"/>
    <n v="10"/>
  </r>
  <r>
    <s v="848-07-1692"/>
    <x v="2"/>
    <s v="Mandalay"/>
    <s v="Normal"/>
    <s v="Female"/>
    <s v="Health and beauty"/>
    <n v="57.22"/>
    <n v="2"/>
    <n v="5.7220000000000004"/>
    <x v="415"/>
    <d v="2019-12-01T00:00:00"/>
    <d v="1899-12-30T17:13:00"/>
    <s v="Ewallet"/>
    <n v="114.44"/>
    <n v="4.7619047620000003"/>
    <n v="5.7220000000000004"/>
    <n v="8.3000000000000007"/>
    <d v="2019-01-12T00:00:00"/>
    <n v="1"/>
    <n v="17"/>
  </r>
  <r>
    <s v="745-71-3520"/>
    <x v="0"/>
    <s v="Yangon"/>
    <s v="Member"/>
    <s v="Female"/>
    <s v="Electronic accessories"/>
    <n v="25.22"/>
    <n v="7"/>
    <n v="8.827"/>
    <x v="416"/>
    <d v="2019-04-02T00:00:00"/>
    <d v="1899-12-30T10:23:00"/>
    <s v="Cash"/>
    <n v="176.54"/>
    <n v="4.7619047620000003"/>
    <n v="8.827"/>
    <n v="8.1999999999999993"/>
    <d v="2019-02-04T00:00:00"/>
    <n v="2"/>
    <n v="10"/>
  </r>
  <r>
    <s v="266-76-6436"/>
    <x v="1"/>
    <s v="Naypyitaw"/>
    <s v="Member"/>
    <s v="Female"/>
    <s v="Food and beverages"/>
    <n v="38.6"/>
    <n v="3"/>
    <n v="5.79"/>
    <x v="417"/>
    <s v="3/28/2019"/>
    <d v="1899-12-30T13:57:00"/>
    <s v="Ewallet"/>
    <n v="115.8"/>
    <n v="4.7619047620000003"/>
    <n v="5.79"/>
    <n v="7.5"/>
    <d v="2019-03-28T00:00:00"/>
    <n v="3"/>
    <n v="13"/>
  </r>
  <r>
    <s v="740-22-2500"/>
    <x v="1"/>
    <s v="Naypyitaw"/>
    <s v="Normal"/>
    <s v="Female"/>
    <s v="Electronic accessories"/>
    <n v="84.05"/>
    <n v="3"/>
    <n v="12.6075"/>
    <x v="418"/>
    <s v="1/23/2019"/>
    <d v="1899-12-30T13:29:00"/>
    <s v="Cash"/>
    <n v="252.15"/>
    <n v="4.7619047620000003"/>
    <n v="12.6075"/>
    <n v="9.8000000000000007"/>
    <d v="2019-01-23T00:00:00"/>
    <n v="1"/>
    <n v="13"/>
  </r>
  <r>
    <s v="271-88-8734"/>
    <x v="1"/>
    <s v="Naypyitaw"/>
    <s v="Member"/>
    <s v="Female"/>
    <s v="Fashion accessories"/>
    <n v="97.21"/>
    <n v="10"/>
    <n v="48.604999999999997"/>
    <x v="419"/>
    <d v="2019-08-02T00:00:00"/>
    <d v="1899-12-30T13:00:00"/>
    <s v="Credit card"/>
    <n v="972.1"/>
    <n v="4.7619047620000003"/>
    <n v="48.604999999999997"/>
    <n v="8.6999999999999993"/>
    <d v="2019-02-08T00:00:00"/>
    <n v="2"/>
    <n v="13"/>
  </r>
  <r>
    <s v="301-81-8610"/>
    <x v="2"/>
    <s v="Mandalay"/>
    <s v="Member"/>
    <s v="Male"/>
    <s v="Fashion accessories"/>
    <n v="25.42"/>
    <n v="8"/>
    <n v="10.167999999999999"/>
    <x v="420"/>
    <s v="3/19/2019"/>
    <d v="1899-12-30T19:42:00"/>
    <s v="Credit card"/>
    <n v="203.36"/>
    <n v="4.7619047620000003"/>
    <n v="10.167999999999999"/>
    <n v="6.7"/>
    <d v="2019-03-19T00:00:00"/>
    <n v="3"/>
    <n v="19"/>
  </r>
  <r>
    <s v="489-64-4354"/>
    <x v="1"/>
    <s v="Naypyitaw"/>
    <s v="Normal"/>
    <s v="Male"/>
    <s v="Fashion accessories"/>
    <n v="16.28"/>
    <n v="1"/>
    <n v="0.81399999999999995"/>
    <x v="421"/>
    <d v="2019-09-03T00:00:00"/>
    <d v="1899-12-30T15:36:00"/>
    <s v="Cash"/>
    <n v="16.28"/>
    <n v="4.7619047620000003"/>
    <n v="0.81399999999999995"/>
    <n v="5"/>
    <d v="2019-03-09T00:00:00"/>
    <n v="3"/>
    <n v="15"/>
  </r>
  <r>
    <s v="198-84-7132"/>
    <x v="2"/>
    <s v="Mandalay"/>
    <s v="Member"/>
    <s v="Male"/>
    <s v="Fashion accessories"/>
    <n v="40.61"/>
    <n v="9"/>
    <n v="18.2745"/>
    <x v="422"/>
    <d v="2019-02-01T00:00:00"/>
    <d v="1899-12-30T13:40:00"/>
    <s v="Cash"/>
    <n v="365.49"/>
    <n v="4.7619047620000003"/>
    <n v="18.2745"/>
    <n v="7"/>
    <d v="2019-01-02T00:00:00"/>
    <n v="1"/>
    <n v="13"/>
  </r>
  <r>
    <s v="269-10-8440"/>
    <x v="0"/>
    <s v="Yangon"/>
    <s v="Member"/>
    <s v="Male"/>
    <s v="Health and beauty"/>
    <n v="53.17"/>
    <n v="7"/>
    <n v="18.609500000000001"/>
    <x v="423"/>
    <s v="1/21/2019"/>
    <d v="1899-12-30T18:01:00"/>
    <s v="Cash"/>
    <n v="372.19"/>
    <n v="4.7619047620000003"/>
    <n v="18.609500000000001"/>
    <n v="8.9"/>
    <d v="2019-01-21T00:00:00"/>
    <n v="1"/>
    <n v="18"/>
  </r>
  <r>
    <s v="650-98-6268"/>
    <x v="2"/>
    <s v="Mandalay"/>
    <s v="Member"/>
    <s v="Female"/>
    <s v="Food and beverages"/>
    <n v="20.87"/>
    <n v="3"/>
    <n v="3.1305000000000001"/>
    <x v="424"/>
    <s v="3/20/2019"/>
    <d v="1899-12-30T13:53:00"/>
    <s v="Credit card"/>
    <n v="62.61"/>
    <n v="4.7619047620000003"/>
    <n v="3.1305000000000001"/>
    <n v="8"/>
    <d v="2019-03-20T00:00:00"/>
    <n v="3"/>
    <n v="13"/>
  </r>
  <r>
    <s v="741-73-3559"/>
    <x v="2"/>
    <s v="Mandalay"/>
    <s v="Normal"/>
    <s v="Male"/>
    <s v="Sports and travel"/>
    <n v="67.27"/>
    <n v="5"/>
    <n v="16.817499999999999"/>
    <x v="425"/>
    <s v="2/27/2019"/>
    <d v="1899-12-30T17:27:00"/>
    <s v="Cash"/>
    <n v="336.35"/>
    <n v="4.7619047620000003"/>
    <n v="16.817499999999999"/>
    <n v="6.9"/>
    <d v="2019-02-27T00:00:00"/>
    <n v="2"/>
    <n v="17"/>
  </r>
  <r>
    <s v="325-77-6186"/>
    <x v="0"/>
    <s v="Yangon"/>
    <s v="Member"/>
    <s v="Female"/>
    <s v="Home and lifestyle"/>
    <n v="90.65"/>
    <n v="10"/>
    <n v="45.325000000000003"/>
    <x v="426"/>
    <d v="2019-08-03T00:00:00"/>
    <d v="1899-12-30T10:53:00"/>
    <s v="Ewallet"/>
    <n v="906.5"/>
    <n v="4.7619047620000003"/>
    <n v="45.325000000000003"/>
    <n v="7.3"/>
    <d v="2019-03-08T00:00:00"/>
    <n v="3"/>
    <n v="10"/>
  </r>
  <r>
    <s v="286-75-7818"/>
    <x v="2"/>
    <s v="Mandalay"/>
    <s v="Normal"/>
    <s v="Male"/>
    <s v="Fashion accessories"/>
    <n v="69.08"/>
    <n v="2"/>
    <n v="6.9080000000000004"/>
    <x v="427"/>
    <s v="1/31/2019"/>
    <d v="1899-12-30T19:48:00"/>
    <s v="Credit card"/>
    <n v="138.16"/>
    <n v="4.7619047620000003"/>
    <n v="6.9080000000000004"/>
    <n v="6.9"/>
    <d v="2019-01-31T00:00:00"/>
    <n v="1"/>
    <n v="19"/>
  </r>
  <r>
    <s v="574-57-9721"/>
    <x v="1"/>
    <s v="Naypyitaw"/>
    <s v="Normal"/>
    <s v="Male"/>
    <s v="Food and beverages"/>
    <n v="43.27"/>
    <n v="2"/>
    <n v="4.327"/>
    <x v="428"/>
    <d v="2019-08-03T00:00:00"/>
    <d v="1899-12-30T16:53:00"/>
    <s v="Ewallet"/>
    <n v="86.54"/>
    <n v="4.7619047620000003"/>
    <n v="4.327"/>
    <n v="5.7"/>
    <d v="2019-03-08T00:00:00"/>
    <n v="3"/>
    <n v="16"/>
  </r>
  <r>
    <s v="459-50-7686"/>
    <x v="0"/>
    <s v="Yangon"/>
    <s v="Normal"/>
    <s v="Female"/>
    <s v="Electronic accessories"/>
    <n v="23.46"/>
    <n v="6"/>
    <n v="7.0380000000000003"/>
    <x v="429"/>
    <s v="1/13/2019"/>
    <d v="1899-12-30T19:14:00"/>
    <s v="Ewallet"/>
    <n v="140.76"/>
    <n v="4.7619047620000003"/>
    <n v="7.0380000000000003"/>
    <n v="6.4"/>
    <d v="2019-01-13T00:00:00"/>
    <n v="1"/>
    <n v="19"/>
  </r>
  <r>
    <s v="616-87-0016"/>
    <x v="2"/>
    <s v="Mandalay"/>
    <s v="Normal"/>
    <s v="Male"/>
    <s v="Fashion accessories"/>
    <n v="95.54"/>
    <n v="7"/>
    <n v="33.439"/>
    <x v="430"/>
    <d v="2019-09-03T00:00:00"/>
    <d v="1899-12-30T14:36:00"/>
    <s v="Credit card"/>
    <n v="668.78"/>
    <n v="4.7619047620000003"/>
    <n v="33.439"/>
    <n v="9.6"/>
    <d v="2019-03-09T00:00:00"/>
    <n v="3"/>
    <n v="14"/>
  </r>
  <r>
    <s v="837-55-7229"/>
    <x v="2"/>
    <s v="Mandalay"/>
    <s v="Normal"/>
    <s v="Female"/>
    <s v="Fashion accessories"/>
    <n v="47.44"/>
    <n v="1"/>
    <n v="2.3719999999999999"/>
    <x v="431"/>
    <s v="2/22/2019"/>
    <d v="1899-12-30T18:19:00"/>
    <s v="Credit card"/>
    <n v="47.44"/>
    <n v="4.7619047620000003"/>
    <n v="2.3719999999999999"/>
    <n v="6.8"/>
    <d v="2019-02-22T00:00:00"/>
    <n v="2"/>
    <n v="18"/>
  </r>
  <r>
    <s v="751-69-0068"/>
    <x v="1"/>
    <s v="Naypyitaw"/>
    <s v="Normal"/>
    <s v="Male"/>
    <s v="Sports and travel"/>
    <n v="99.24"/>
    <n v="9"/>
    <n v="44.658000000000001"/>
    <x v="432"/>
    <s v="3/19/2019"/>
    <d v="1899-12-30T19:09:00"/>
    <s v="Ewallet"/>
    <n v="893.16"/>
    <n v="4.7619047620000003"/>
    <n v="44.658000000000001"/>
    <n v="9"/>
    <d v="2019-03-19T00:00:00"/>
    <n v="3"/>
    <n v="19"/>
  </r>
  <r>
    <s v="257-73-1380"/>
    <x v="1"/>
    <s v="Naypyitaw"/>
    <s v="Member"/>
    <s v="Male"/>
    <s v="Sports and travel"/>
    <n v="82.93"/>
    <n v="4"/>
    <n v="16.585999999999999"/>
    <x v="433"/>
    <s v="1/20/2019"/>
    <d v="1899-12-30T16:51:00"/>
    <s v="Ewallet"/>
    <n v="331.72"/>
    <n v="4.7619047620000003"/>
    <n v="16.585999999999999"/>
    <n v="9.6"/>
    <d v="2019-01-20T00:00:00"/>
    <n v="1"/>
    <n v="16"/>
  </r>
  <r>
    <s v="345-08-4992"/>
    <x v="0"/>
    <s v="Yangon"/>
    <s v="Normal"/>
    <s v="Male"/>
    <s v="Home and lifestyle"/>
    <n v="33.99"/>
    <n v="6"/>
    <n v="10.196999999999999"/>
    <x v="434"/>
    <d v="2019-08-03T00:00:00"/>
    <d v="1899-12-30T15:37:00"/>
    <s v="Credit card"/>
    <n v="203.94"/>
    <n v="4.7619047620000003"/>
    <n v="10.196999999999999"/>
    <n v="7.7"/>
    <d v="2019-03-08T00:00:00"/>
    <n v="3"/>
    <n v="15"/>
  </r>
  <r>
    <s v="549-96-4200"/>
    <x v="1"/>
    <s v="Naypyitaw"/>
    <s v="Member"/>
    <s v="Male"/>
    <s v="Food and beverages"/>
    <n v="17.04"/>
    <n v="4"/>
    <n v="3.4079999999999999"/>
    <x v="435"/>
    <d v="2019-08-03T00:00:00"/>
    <d v="1899-12-30T20:15:00"/>
    <s v="Ewallet"/>
    <n v="68.16"/>
    <n v="4.7619047620000003"/>
    <n v="3.4079999999999999"/>
    <n v="7"/>
    <d v="2019-03-08T00:00:00"/>
    <n v="3"/>
    <n v="20"/>
  </r>
  <r>
    <s v="810-60-6344"/>
    <x v="1"/>
    <s v="Naypyitaw"/>
    <s v="Normal"/>
    <s v="Female"/>
    <s v="Electronic accessories"/>
    <n v="40.86"/>
    <n v="8"/>
    <n v="16.344000000000001"/>
    <x v="436"/>
    <d v="2019-07-02T00:00:00"/>
    <d v="1899-12-30T14:38:00"/>
    <s v="Credit card"/>
    <n v="326.88"/>
    <n v="4.7619047620000003"/>
    <n v="16.344000000000001"/>
    <n v="6.5"/>
    <d v="2019-02-07T00:00:00"/>
    <n v="2"/>
    <n v="14"/>
  </r>
  <r>
    <s v="450-28-2866"/>
    <x v="1"/>
    <s v="Naypyitaw"/>
    <s v="Member"/>
    <s v="Male"/>
    <s v="Food and beverages"/>
    <n v="17.440000000000001"/>
    <n v="5"/>
    <n v="4.3600000000000003"/>
    <x v="437"/>
    <s v="1/15/2019"/>
    <d v="1899-12-30T19:25:00"/>
    <s v="Cash"/>
    <n v="87.2"/>
    <n v="4.7619047620000003"/>
    <n v="4.3600000000000003"/>
    <n v="8.1"/>
    <d v="2019-01-15T00:00:00"/>
    <n v="1"/>
    <n v="19"/>
  </r>
  <r>
    <s v="394-30-3170"/>
    <x v="2"/>
    <s v="Mandalay"/>
    <s v="Member"/>
    <s v="Female"/>
    <s v="Sports and travel"/>
    <n v="88.43"/>
    <n v="8"/>
    <n v="35.372"/>
    <x v="438"/>
    <s v="3/22/2019"/>
    <d v="1899-12-30T19:35:00"/>
    <s v="Credit card"/>
    <n v="707.44"/>
    <n v="4.7619047620000003"/>
    <n v="35.372"/>
    <n v="4.3"/>
    <d v="2019-03-22T00:00:00"/>
    <n v="3"/>
    <n v="19"/>
  </r>
  <r>
    <s v="138-17-5109"/>
    <x v="0"/>
    <s v="Yangon"/>
    <s v="Member"/>
    <s v="Female"/>
    <s v="Home and lifestyle"/>
    <n v="89.21"/>
    <n v="9"/>
    <n v="40.144500000000001"/>
    <x v="439"/>
    <s v="1/15/2019"/>
    <d v="1899-12-30T15:42:00"/>
    <s v="Credit card"/>
    <n v="802.89"/>
    <n v="4.7619047620000003"/>
    <n v="40.144500000000001"/>
    <n v="6.5"/>
    <d v="2019-01-15T00:00:00"/>
    <n v="1"/>
    <n v="15"/>
  </r>
  <r>
    <s v="192-98-7397"/>
    <x v="1"/>
    <s v="Naypyitaw"/>
    <s v="Normal"/>
    <s v="Male"/>
    <s v="Fashion accessories"/>
    <n v="12.78"/>
    <n v="1"/>
    <n v="0.63900000000000001"/>
    <x v="440"/>
    <d v="2019-08-01T00:00:00"/>
    <d v="1899-12-30T14:11:00"/>
    <s v="Ewallet"/>
    <n v="12.78"/>
    <n v="4.7619047620000003"/>
    <n v="0.63900000000000001"/>
    <n v="9.5"/>
    <d v="2019-01-08T00:00:00"/>
    <n v="1"/>
    <n v="14"/>
  </r>
  <r>
    <s v="301-11-9629"/>
    <x v="0"/>
    <s v="Yangon"/>
    <s v="Normal"/>
    <s v="Female"/>
    <s v="Sports and travel"/>
    <n v="19.100000000000001"/>
    <n v="7"/>
    <n v="6.6849999999999996"/>
    <x v="441"/>
    <s v="1/15/2019"/>
    <d v="1899-12-30T10:43:00"/>
    <s v="Cash"/>
    <n v="133.69999999999999"/>
    <n v="4.7619047620000003"/>
    <n v="6.6849999999999996"/>
    <n v="9.6999999999999993"/>
    <d v="2019-01-15T00:00:00"/>
    <n v="1"/>
    <n v="10"/>
  </r>
  <r>
    <s v="390-80-5128"/>
    <x v="2"/>
    <s v="Mandalay"/>
    <s v="Member"/>
    <s v="Female"/>
    <s v="Health and beauty"/>
    <n v="19.149999999999999"/>
    <n v="1"/>
    <n v="0.95750000000000002"/>
    <x v="442"/>
    <s v="1/28/2019"/>
    <d v="1899-12-30T17:58:00"/>
    <s v="Credit card"/>
    <n v="19.149999999999999"/>
    <n v="4.7619047620000003"/>
    <n v="0.95750000000000002"/>
    <n v="9.5"/>
    <d v="2019-01-28T00:00:00"/>
    <n v="1"/>
    <n v="17"/>
  </r>
  <r>
    <s v="235-46-8343"/>
    <x v="1"/>
    <s v="Naypyitaw"/>
    <s v="Member"/>
    <s v="Male"/>
    <s v="Food and beverages"/>
    <n v="27.66"/>
    <n v="10"/>
    <n v="13.83"/>
    <x v="443"/>
    <s v="2/14/2019"/>
    <d v="1899-12-30T11:26:00"/>
    <s v="Credit card"/>
    <n v="276.60000000000002"/>
    <n v="4.7619047620000003"/>
    <n v="13.83"/>
    <n v="8.9"/>
    <d v="2019-02-14T00:00:00"/>
    <n v="2"/>
    <n v="11"/>
  </r>
  <r>
    <s v="453-12-7053"/>
    <x v="1"/>
    <s v="Naypyitaw"/>
    <s v="Normal"/>
    <s v="Male"/>
    <s v="Fashion accessories"/>
    <n v="45.74"/>
    <n v="3"/>
    <n v="6.8609999999999998"/>
    <x v="444"/>
    <d v="2019-10-03T00:00:00"/>
    <d v="1899-12-30T17:38:00"/>
    <s v="Credit card"/>
    <n v="137.22"/>
    <n v="4.7619047620000003"/>
    <n v="6.8609999999999998"/>
    <n v="6.5"/>
    <d v="2019-03-10T00:00:00"/>
    <n v="3"/>
    <n v="17"/>
  </r>
  <r>
    <s v="296-11-7041"/>
    <x v="2"/>
    <s v="Mandalay"/>
    <s v="Member"/>
    <s v="Female"/>
    <s v="Health and beauty"/>
    <n v="27.07"/>
    <n v="1"/>
    <n v="1.3534999999999999"/>
    <x v="445"/>
    <d v="2019-12-01T00:00:00"/>
    <d v="1899-12-30T20:07:00"/>
    <s v="Credit card"/>
    <n v="27.07"/>
    <n v="4.7619047620000003"/>
    <n v="1.3534999999999999"/>
    <n v="5.3"/>
    <d v="2019-01-12T00:00:00"/>
    <n v="1"/>
    <n v="20"/>
  </r>
  <r>
    <s v="449-27-2918"/>
    <x v="2"/>
    <s v="Mandalay"/>
    <s v="Member"/>
    <s v="Female"/>
    <s v="Sports and travel"/>
    <n v="39.119999999999997"/>
    <n v="1"/>
    <n v="1.956"/>
    <x v="446"/>
    <s v="3/26/2019"/>
    <d v="1899-12-30T11:02:00"/>
    <s v="Credit card"/>
    <n v="39.119999999999997"/>
    <n v="4.7619047620000003"/>
    <n v="1.956"/>
    <n v="9.6"/>
    <d v="2019-03-26T00:00:00"/>
    <n v="3"/>
    <n v="11"/>
  </r>
  <r>
    <s v="891-01-7034"/>
    <x v="2"/>
    <s v="Mandalay"/>
    <s v="Normal"/>
    <s v="Female"/>
    <s v="Electronic accessories"/>
    <n v="74.709999999999994"/>
    <n v="6"/>
    <n v="22.413"/>
    <x v="447"/>
    <d v="2019-01-01T00:00:00"/>
    <d v="1899-12-30T19:07:00"/>
    <s v="Cash"/>
    <n v="448.26"/>
    <n v="4.7619047620000003"/>
    <n v="22.413"/>
    <n v="6.7"/>
    <d v="2019-01-01T00:00:00"/>
    <n v="1"/>
    <n v="19"/>
  </r>
  <r>
    <s v="744-09-5786"/>
    <x v="2"/>
    <s v="Mandalay"/>
    <s v="Normal"/>
    <s v="Male"/>
    <s v="Electronic accessories"/>
    <n v="22.01"/>
    <n v="6"/>
    <n v="6.6029999999999998"/>
    <x v="448"/>
    <d v="2019-02-01T00:00:00"/>
    <d v="1899-12-30T18:50:00"/>
    <s v="Cash"/>
    <n v="132.06"/>
    <n v="4.7619047620000003"/>
    <n v="6.6029999999999998"/>
    <n v="7.6"/>
    <d v="2019-01-02T00:00:00"/>
    <n v="1"/>
    <n v="18"/>
  </r>
  <r>
    <s v="727-17-0390"/>
    <x v="0"/>
    <s v="Yangon"/>
    <s v="Normal"/>
    <s v="Female"/>
    <s v="Food and beverages"/>
    <n v="63.61"/>
    <n v="5"/>
    <n v="15.9025"/>
    <x v="449"/>
    <s v="3/16/2019"/>
    <d v="1899-12-30T12:43:00"/>
    <s v="Ewallet"/>
    <n v="318.05"/>
    <n v="4.7619047620000003"/>
    <n v="15.9025"/>
    <n v="4.8"/>
    <d v="2019-03-16T00:00:00"/>
    <n v="3"/>
    <n v="12"/>
  </r>
  <r>
    <s v="568-88-3448"/>
    <x v="0"/>
    <s v="Yangon"/>
    <s v="Normal"/>
    <s v="Male"/>
    <s v="Health and beauty"/>
    <n v="25"/>
    <n v="1"/>
    <n v="1.25"/>
    <x v="450"/>
    <d v="2019-03-03T00:00:00"/>
    <d v="1899-12-30T15:09:00"/>
    <s v="Ewallet"/>
    <n v="25"/>
    <n v="4.7619047620000003"/>
    <n v="1.25"/>
    <n v="5.5"/>
    <d v="2019-03-03T00:00:00"/>
    <n v="3"/>
    <n v="15"/>
  </r>
  <r>
    <s v="187-83-5490"/>
    <x v="0"/>
    <s v="Yangon"/>
    <s v="Member"/>
    <s v="Male"/>
    <s v="Electronic accessories"/>
    <n v="20.77"/>
    <n v="4"/>
    <n v="4.1539999999999999"/>
    <x v="451"/>
    <s v="1/31/2019"/>
    <d v="1899-12-30T13:47:00"/>
    <s v="Cash"/>
    <n v="83.08"/>
    <n v="4.7619047620000003"/>
    <n v="4.1539999999999999"/>
    <n v="4.7"/>
    <d v="2019-01-31T00:00:00"/>
    <n v="1"/>
    <n v="13"/>
  </r>
  <r>
    <s v="767-54-1907"/>
    <x v="2"/>
    <s v="Mandalay"/>
    <s v="Member"/>
    <s v="Female"/>
    <s v="Fashion accessories"/>
    <n v="29.56"/>
    <n v="5"/>
    <n v="7.39"/>
    <x v="452"/>
    <s v="2/13/2019"/>
    <d v="1899-12-30T16:59:00"/>
    <s v="Cash"/>
    <n v="147.80000000000001"/>
    <n v="4.7619047620000003"/>
    <n v="7.39"/>
    <n v="6.9"/>
    <d v="2019-02-13T00:00:00"/>
    <n v="2"/>
    <n v="16"/>
  </r>
  <r>
    <s v="710-46-4433"/>
    <x v="2"/>
    <s v="Mandalay"/>
    <s v="Member"/>
    <s v="Female"/>
    <s v="Food and beverages"/>
    <n v="77.400000000000006"/>
    <n v="9"/>
    <n v="34.83"/>
    <x v="453"/>
    <s v="2/15/2019"/>
    <d v="1899-12-30T14:15:00"/>
    <s v="Credit card"/>
    <n v="696.6"/>
    <n v="4.7619047620000003"/>
    <n v="34.83"/>
    <n v="4.5"/>
    <d v="2019-02-15T00:00:00"/>
    <n v="2"/>
    <n v="14"/>
  </r>
  <r>
    <s v="533-33-5337"/>
    <x v="2"/>
    <s v="Mandalay"/>
    <s v="Normal"/>
    <s v="Male"/>
    <s v="Electronic accessories"/>
    <n v="79.39"/>
    <n v="10"/>
    <n v="39.695"/>
    <x v="454"/>
    <d v="2019-07-02T00:00:00"/>
    <d v="1899-12-30T20:24:00"/>
    <s v="Cash"/>
    <n v="793.9"/>
    <n v="4.7619047620000003"/>
    <n v="39.695"/>
    <n v="6.2"/>
    <d v="2019-02-07T00:00:00"/>
    <n v="2"/>
    <n v="20"/>
  </r>
  <r>
    <s v="325-90-8763"/>
    <x v="1"/>
    <s v="Naypyitaw"/>
    <s v="Member"/>
    <s v="Female"/>
    <s v="Electronic accessories"/>
    <n v="46.57"/>
    <n v="10"/>
    <n v="23.285"/>
    <x v="455"/>
    <s v="1/27/2019"/>
    <d v="1899-12-30T13:58:00"/>
    <s v="Cash"/>
    <n v="465.7"/>
    <n v="4.7619047620000003"/>
    <n v="23.285"/>
    <n v="7.6"/>
    <d v="2019-01-27T00:00:00"/>
    <n v="1"/>
    <n v="13"/>
  </r>
  <r>
    <s v="729-46-7422"/>
    <x v="1"/>
    <s v="Naypyitaw"/>
    <s v="Normal"/>
    <s v="Male"/>
    <s v="Food and beverages"/>
    <n v="35.89"/>
    <n v="1"/>
    <n v="1.7945"/>
    <x v="456"/>
    <s v="2/23/2019"/>
    <d v="1899-12-30T16:52:00"/>
    <s v="Credit card"/>
    <n v="35.89"/>
    <n v="4.7619047620000003"/>
    <n v="1.7945"/>
    <n v="7.9"/>
    <d v="2019-02-23T00:00:00"/>
    <n v="2"/>
    <n v="16"/>
  </r>
  <r>
    <s v="639-76-1242"/>
    <x v="1"/>
    <s v="Naypyitaw"/>
    <s v="Normal"/>
    <s v="Male"/>
    <s v="Food and beverages"/>
    <n v="40.520000000000003"/>
    <n v="5"/>
    <n v="10.130000000000001"/>
    <x v="457"/>
    <d v="2019-03-02T00:00:00"/>
    <d v="1899-12-30T15:19:00"/>
    <s v="Cash"/>
    <n v="202.6"/>
    <n v="4.7619047620000003"/>
    <n v="10.130000000000001"/>
    <n v="4.5"/>
    <d v="2019-02-03T00:00:00"/>
    <n v="2"/>
    <n v="15"/>
  </r>
  <r>
    <s v="234-03-4040"/>
    <x v="2"/>
    <s v="Mandalay"/>
    <s v="Member"/>
    <s v="Female"/>
    <s v="Food and beverages"/>
    <n v="73.05"/>
    <n v="10"/>
    <n v="36.524999999999999"/>
    <x v="458"/>
    <d v="2019-03-03T00:00:00"/>
    <d v="1899-12-30T12:25:00"/>
    <s v="Credit card"/>
    <n v="730.5"/>
    <n v="4.7619047620000003"/>
    <n v="36.524999999999999"/>
    <n v="8.6999999999999993"/>
    <d v="2019-03-03T00:00:00"/>
    <n v="3"/>
    <n v="12"/>
  </r>
  <r>
    <s v="326-71-2155"/>
    <x v="1"/>
    <s v="Naypyitaw"/>
    <s v="Normal"/>
    <s v="Female"/>
    <s v="Sports and travel"/>
    <n v="73.95"/>
    <n v="4"/>
    <n v="14.79"/>
    <x v="459"/>
    <d v="2019-03-02T00:00:00"/>
    <d v="1899-12-30T10:02:00"/>
    <s v="Cash"/>
    <n v="295.8"/>
    <n v="4.7619047620000003"/>
    <n v="14.79"/>
    <n v="6.1"/>
    <d v="2019-02-03T00:00:00"/>
    <n v="2"/>
    <n v="10"/>
  </r>
  <r>
    <s v="320-32-8842"/>
    <x v="1"/>
    <s v="Naypyitaw"/>
    <s v="Member"/>
    <s v="Female"/>
    <s v="Food and beverages"/>
    <n v="22.62"/>
    <n v="1"/>
    <n v="1.131"/>
    <x v="460"/>
    <s v="3/17/2019"/>
    <d v="1899-12-30T18:58:00"/>
    <s v="Cash"/>
    <n v="22.62"/>
    <n v="4.7619047620000003"/>
    <n v="1.131"/>
    <n v="6.4"/>
    <d v="2019-03-17T00:00:00"/>
    <n v="3"/>
    <n v="18"/>
  </r>
  <r>
    <s v="470-32-9057"/>
    <x v="0"/>
    <s v="Yangon"/>
    <s v="Member"/>
    <s v="Male"/>
    <s v="Food and beverages"/>
    <n v="51.34"/>
    <n v="5"/>
    <n v="12.835000000000001"/>
    <x v="461"/>
    <s v="3/28/2019"/>
    <d v="1899-12-30T15:31:00"/>
    <s v="Credit card"/>
    <n v="256.7"/>
    <n v="4.7619047620000003"/>
    <n v="12.835000000000001"/>
    <n v="9.1"/>
    <d v="2019-03-28T00:00:00"/>
    <n v="3"/>
    <n v="15"/>
  </r>
  <r>
    <s v="878-30-2331"/>
    <x v="1"/>
    <s v="Naypyitaw"/>
    <s v="Member"/>
    <s v="Female"/>
    <s v="Sports and travel"/>
    <n v="54.55"/>
    <n v="10"/>
    <n v="27.274999999999999"/>
    <x v="462"/>
    <d v="2019-02-03T00:00:00"/>
    <d v="1899-12-30T11:22:00"/>
    <s v="Credit card"/>
    <n v="545.5"/>
    <n v="4.7619047620000003"/>
    <n v="27.274999999999999"/>
    <n v="7.1"/>
    <d v="2019-03-02T00:00:00"/>
    <n v="3"/>
    <n v="11"/>
  </r>
  <r>
    <s v="440-59-5691"/>
    <x v="1"/>
    <s v="Naypyitaw"/>
    <s v="Member"/>
    <s v="Female"/>
    <s v="Health and beauty"/>
    <n v="37.15"/>
    <n v="7"/>
    <n v="13.0025"/>
    <x v="463"/>
    <d v="2019-08-02T00:00:00"/>
    <d v="1899-12-30T13:12:00"/>
    <s v="Credit card"/>
    <n v="260.05"/>
    <n v="4.7619047620000003"/>
    <n v="13.0025"/>
    <n v="7.7"/>
    <d v="2019-02-08T00:00:00"/>
    <n v="2"/>
    <n v="13"/>
  </r>
  <r>
    <s v="554-53-3790"/>
    <x v="2"/>
    <s v="Mandalay"/>
    <s v="Normal"/>
    <s v="Male"/>
    <s v="Sports and travel"/>
    <n v="37.020000000000003"/>
    <n v="6"/>
    <n v="11.106"/>
    <x v="464"/>
    <s v="3/22/2019"/>
    <d v="1899-12-30T18:33:00"/>
    <s v="Cash"/>
    <n v="222.12"/>
    <n v="4.7619047620000003"/>
    <n v="11.106"/>
    <n v="4.5"/>
    <d v="2019-03-22T00:00:00"/>
    <n v="3"/>
    <n v="18"/>
  </r>
  <r>
    <s v="746-19-0921"/>
    <x v="1"/>
    <s v="Naypyitaw"/>
    <s v="Normal"/>
    <s v="Male"/>
    <s v="Food and beverages"/>
    <n v="21.58"/>
    <n v="1"/>
    <n v="1.079"/>
    <x v="465"/>
    <d v="2019-09-02T00:00:00"/>
    <d v="1899-12-30T10:02:00"/>
    <s v="Ewallet"/>
    <n v="21.58"/>
    <n v="4.7619047620000003"/>
    <n v="1.079"/>
    <n v="7.2"/>
    <d v="2019-02-09T00:00:00"/>
    <n v="2"/>
    <n v="10"/>
  </r>
  <r>
    <s v="233-34-0817"/>
    <x v="1"/>
    <s v="Naypyitaw"/>
    <s v="Member"/>
    <s v="Female"/>
    <s v="Electronic accessories"/>
    <n v="98.84"/>
    <n v="1"/>
    <n v="4.9420000000000002"/>
    <x v="466"/>
    <s v="2/15/2019"/>
    <d v="1899-12-30T11:21:00"/>
    <s v="Cash"/>
    <n v="98.84"/>
    <n v="4.7619047620000003"/>
    <n v="4.9420000000000002"/>
    <n v="8.4"/>
    <d v="2019-02-15T00:00:00"/>
    <n v="2"/>
    <n v="11"/>
  </r>
  <r>
    <s v="767-05-1286"/>
    <x v="1"/>
    <s v="Naypyitaw"/>
    <s v="Member"/>
    <s v="Female"/>
    <s v="Home and lifestyle"/>
    <n v="83.77"/>
    <n v="6"/>
    <n v="25.131"/>
    <x v="467"/>
    <s v="1/23/2019"/>
    <d v="1899-12-30T12:10:00"/>
    <s v="Ewallet"/>
    <n v="502.62"/>
    <n v="4.7619047620000003"/>
    <n v="25.131"/>
    <n v="5.4"/>
    <d v="2019-01-23T00:00:00"/>
    <n v="1"/>
    <n v="12"/>
  </r>
  <r>
    <s v="340-21-9136"/>
    <x v="0"/>
    <s v="Yangon"/>
    <s v="Member"/>
    <s v="Female"/>
    <s v="Sports and travel"/>
    <n v="40.049999999999997"/>
    <n v="4"/>
    <n v="8.01"/>
    <x v="468"/>
    <s v="1/25/2019"/>
    <d v="1899-12-30T11:40:00"/>
    <s v="Cash"/>
    <n v="160.19999999999999"/>
    <n v="4.7619047620000003"/>
    <n v="8.01"/>
    <n v="9.6999999999999993"/>
    <d v="2019-01-25T00:00:00"/>
    <n v="1"/>
    <n v="11"/>
  </r>
  <r>
    <s v="405-31-3305"/>
    <x v="0"/>
    <s v="Yangon"/>
    <s v="Member"/>
    <s v="Male"/>
    <s v="Fashion accessories"/>
    <n v="43.13"/>
    <n v="10"/>
    <n v="21.565000000000001"/>
    <x v="469"/>
    <d v="2019-02-02T00:00:00"/>
    <d v="1899-12-30T18:31:00"/>
    <s v="Credit card"/>
    <n v="431.3"/>
    <n v="4.7619047620000003"/>
    <n v="21.565000000000001"/>
    <n v="5.5"/>
    <d v="2019-02-02T00:00:00"/>
    <n v="2"/>
    <n v="18"/>
  </r>
  <r>
    <s v="731-59-7531"/>
    <x v="2"/>
    <s v="Mandalay"/>
    <s v="Member"/>
    <s v="Male"/>
    <s v="Health and beauty"/>
    <n v="72.569999999999993"/>
    <n v="8"/>
    <n v="29.027999999999999"/>
    <x v="470"/>
    <s v="3/30/2019"/>
    <d v="1899-12-30T17:58:00"/>
    <s v="Cash"/>
    <n v="580.55999999999995"/>
    <n v="4.7619047620000003"/>
    <n v="29.027999999999999"/>
    <n v="4.5999999999999996"/>
    <d v="2019-03-30T00:00:00"/>
    <n v="3"/>
    <n v="17"/>
  </r>
  <r>
    <s v="676-39-6028"/>
    <x v="0"/>
    <s v="Yangon"/>
    <s v="Member"/>
    <s v="Female"/>
    <s v="Electronic accessories"/>
    <n v="64.44"/>
    <n v="5"/>
    <n v="16.11"/>
    <x v="471"/>
    <s v="3/30/2019"/>
    <d v="1899-12-30T17:04:00"/>
    <s v="Cash"/>
    <n v="322.2"/>
    <n v="4.7619047620000003"/>
    <n v="16.11"/>
    <n v="6.6"/>
    <d v="2019-03-30T00:00:00"/>
    <n v="3"/>
    <n v="17"/>
  </r>
  <r>
    <s v="502-05-1910"/>
    <x v="0"/>
    <s v="Yangon"/>
    <s v="Normal"/>
    <s v="Male"/>
    <s v="Health and beauty"/>
    <n v="65.180000000000007"/>
    <n v="3"/>
    <n v="9.7769999999999992"/>
    <x v="472"/>
    <s v="2/25/2019"/>
    <d v="1899-12-30T20:35:00"/>
    <s v="Credit card"/>
    <n v="195.54"/>
    <n v="4.7619047620000003"/>
    <n v="9.7769999999999992"/>
    <n v="6.3"/>
    <d v="2019-02-25T00:00:00"/>
    <n v="2"/>
    <n v="20"/>
  </r>
  <r>
    <s v="485-30-8700"/>
    <x v="0"/>
    <s v="Yangon"/>
    <s v="Normal"/>
    <s v="Female"/>
    <s v="Sports and travel"/>
    <n v="33.26"/>
    <n v="5"/>
    <n v="8.3149999999999995"/>
    <x v="473"/>
    <s v="3/18/2019"/>
    <d v="1899-12-30T16:10:00"/>
    <s v="Credit card"/>
    <n v="166.3"/>
    <n v="4.7619047620000003"/>
    <n v="8.3149999999999995"/>
    <n v="4.2"/>
    <d v="2019-03-18T00:00:00"/>
    <n v="3"/>
    <n v="16"/>
  </r>
  <r>
    <s v="598-47-9715"/>
    <x v="1"/>
    <s v="Naypyitaw"/>
    <s v="Normal"/>
    <s v="Male"/>
    <s v="Electronic accessories"/>
    <n v="84.07"/>
    <n v="4"/>
    <n v="16.814"/>
    <x v="474"/>
    <d v="2019-07-03T00:00:00"/>
    <d v="1899-12-30T16:54:00"/>
    <s v="Ewallet"/>
    <n v="336.28"/>
    <n v="4.7619047620000003"/>
    <n v="16.814"/>
    <n v="4.4000000000000004"/>
    <d v="2019-03-07T00:00:00"/>
    <n v="3"/>
    <n v="16"/>
  </r>
  <r>
    <s v="701-69-8742"/>
    <x v="2"/>
    <s v="Mandalay"/>
    <s v="Normal"/>
    <s v="Male"/>
    <s v="Sports and travel"/>
    <n v="34.369999999999997"/>
    <n v="10"/>
    <n v="17.184999999999999"/>
    <x v="475"/>
    <s v="3/16/2019"/>
    <d v="1899-12-30T10:11:00"/>
    <s v="Ewallet"/>
    <n v="343.7"/>
    <n v="4.7619047620000003"/>
    <n v="17.184999999999999"/>
    <n v="6.7"/>
    <d v="2019-03-16T00:00:00"/>
    <n v="3"/>
    <n v="10"/>
  </r>
  <r>
    <s v="575-67-1508"/>
    <x v="0"/>
    <s v="Yangon"/>
    <s v="Normal"/>
    <s v="Male"/>
    <s v="Electronic accessories"/>
    <n v="38.6"/>
    <n v="1"/>
    <n v="1.93"/>
    <x v="476"/>
    <s v="1/29/2019"/>
    <d v="1899-12-30T11:26:00"/>
    <s v="Ewallet"/>
    <n v="38.6"/>
    <n v="4.7619047620000003"/>
    <n v="1.93"/>
    <n v="6.7"/>
    <d v="2019-01-29T00:00:00"/>
    <n v="1"/>
    <n v="11"/>
  </r>
  <r>
    <s v="541-08-3113"/>
    <x v="1"/>
    <s v="Naypyitaw"/>
    <s v="Normal"/>
    <s v="Male"/>
    <s v="Food and beverages"/>
    <n v="65.97"/>
    <n v="8"/>
    <n v="26.388000000000002"/>
    <x v="477"/>
    <d v="2019-02-02T00:00:00"/>
    <d v="1899-12-30T20:29:00"/>
    <s v="Cash"/>
    <n v="527.76"/>
    <n v="4.7619047620000003"/>
    <n v="26.388000000000002"/>
    <n v="8.4"/>
    <d v="2019-02-02T00:00:00"/>
    <n v="2"/>
    <n v="20"/>
  </r>
  <r>
    <s v="246-11-3901"/>
    <x v="1"/>
    <s v="Naypyitaw"/>
    <s v="Normal"/>
    <s v="Female"/>
    <s v="Electronic accessories"/>
    <n v="32.799999999999997"/>
    <n v="10"/>
    <n v="16.399999999999999"/>
    <x v="478"/>
    <s v="2/15/2019"/>
    <d v="1899-12-30T12:12:00"/>
    <s v="Cash"/>
    <n v="328"/>
    <n v="4.7619047620000003"/>
    <n v="16.399999999999999"/>
    <n v="6.2"/>
    <d v="2019-02-15T00:00:00"/>
    <n v="2"/>
    <n v="12"/>
  </r>
  <r>
    <s v="674-15-9296"/>
    <x v="0"/>
    <s v="Yangon"/>
    <s v="Normal"/>
    <s v="Male"/>
    <s v="Sports and travel"/>
    <n v="37.14"/>
    <n v="5"/>
    <n v="9.2850000000000001"/>
    <x v="479"/>
    <d v="2019-08-01T00:00:00"/>
    <d v="1899-12-30T13:05:00"/>
    <s v="Ewallet"/>
    <n v="185.7"/>
    <n v="4.7619047620000003"/>
    <n v="9.2850000000000001"/>
    <n v="5"/>
    <d v="2019-01-08T00:00:00"/>
    <n v="1"/>
    <n v="13"/>
  </r>
  <r>
    <s v="305-18-3552"/>
    <x v="2"/>
    <s v="Mandalay"/>
    <s v="Member"/>
    <s v="Male"/>
    <s v="Home and lifestyle"/>
    <n v="60.38"/>
    <n v="10"/>
    <n v="30.19"/>
    <x v="480"/>
    <d v="2019-12-02T00:00:00"/>
    <d v="1899-12-30T16:19:00"/>
    <s v="Cash"/>
    <n v="603.79999999999995"/>
    <n v="4.7619047620000003"/>
    <n v="30.19"/>
    <n v="6"/>
    <d v="2019-02-12T00:00:00"/>
    <n v="2"/>
    <n v="16"/>
  </r>
  <r>
    <s v="493-65-6248"/>
    <x v="1"/>
    <s v="Naypyitaw"/>
    <s v="Member"/>
    <s v="Female"/>
    <s v="Sports and travel"/>
    <n v="36.979999999999997"/>
    <n v="10"/>
    <n v="18.489999999999998"/>
    <x v="481"/>
    <d v="2019-01-01T00:00:00"/>
    <d v="1899-12-30T19:48:00"/>
    <s v="Credit card"/>
    <n v="369.8"/>
    <n v="4.7619047620000003"/>
    <n v="18.489999999999998"/>
    <n v="7"/>
    <d v="2019-01-01T00:00:00"/>
    <n v="1"/>
    <n v="19"/>
  </r>
  <r>
    <s v="438-01-4015"/>
    <x v="2"/>
    <s v="Mandalay"/>
    <s v="Member"/>
    <s v="Female"/>
    <s v="Sports and travel"/>
    <n v="49.49"/>
    <n v="4"/>
    <n v="9.8979999999999997"/>
    <x v="482"/>
    <s v="3/21/2019"/>
    <d v="1899-12-30T15:25:00"/>
    <s v="Ewallet"/>
    <n v="197.96"/>
    <n v="4.7619047620000003"/>
    <n v="9.8979999999999997"/>
    <n v="6.6"/>
    <d v="2019-03-21T00:00:00"/>
    <n v="3"/>
    <n v="15"/>
  </r>
  <r>
    <s v="709-58-4068"/>
    <x v="2"/>
    <s v="Mandalay"/>
    <s v="Normal"/>
    <s v="Female"/>
    <s v="Fashion accessories"/>
    <n v="41.09"/>
    <n v="10"/>
    <n v="20.545000000000002"/>
    <x v="483"/>
    <s v="2/28/2019"/>
    <d v="1899-12-30T14:42:00"/>
    <s v="Cash"/>
    <n v="410.9"/>
    <n v="4.7619047620000003"/>
    <n v="20.545000000000002"/>
    <n v="7.3"/>
    <d v="2019-02-28T00:00:00"/>
    <n v="2"/>
    <n v="14"/>
  </r>
  <r>
    <s v="795-49-7276"/>
    <x v="0"/>
    <s v="Yangon"/>
    <s v="Normal"/>
    <s v="Male"/>
    <s v="Fashion accessories"/>
    <n v="37.15"/>
    <n v="4"/>
    <n v="7.43"/>
    <x v="484"/>
    <s v="3/23/2019"/>
    <d v="1899-12-30T18:59:00"/>
    <s v="Ewallet"/>
    <n v="148.6"/>
    <n v="4.7619047620000003"/>
    <n v="7.43"/>
    <n v="8.3000000000000007"/>
    <d v="2019-03-23T00:00:00"/>
    <n v="3"/>
    <n v="18"/>
  </r>
  <r>
    <s v="556-72-8512"/>
    <x v="1"/>
    <s v="Naypyitaw"/>
    <s v="Normal"/>
    <s v="Male"/>
    <s v="Home and lifestyle"/>
    <n v="22.96"/>
    <n v="1"/>
    <n v="1.1479999999999999"/>
    <x v="485"/>
    <s v="1/30/2019"/>
    <d v="1899-12-30T20:47:00"/>
    <s v="Cash"/>
    <n v="22.96"/>
    <n v="4.7619047620000003"/>
    <n v="1.1479999999999999"/>
    <n v="4.3"/>
    <d v="2019-01-30T00:00:00"/>
    <n v="1"/>
    <n v="20"/>
  </r>
  <r>
    <s v="627-95-3243"/>
    <x v="2"/>
    <s v="Mandalay"/>
    <s v="Member"/>
    <s v="Female"/>
    <s v="Home and lifestyle"/>
    <n v="77.680000000000007"/>
    <n v="9"/>
    <n v="34.956000000000003"/>
    <x v="486"/>
    <d v="2019-04-02T00:00:00"/>
    <d v="1899-12-30T13:21:00"/>
    <s v="Ewallet"/>
    <n v="699.12"/>
    <n v="4.7619047620000003"/>
    <n v="34.956000000000003"/>
    <n v="9.8000000000000007"/>
    <d v="2019-02-04T00:00:00"/>
    <n v="2"/>
    <n v="13"/>
  </r>
  <r>
    <s v="686-41-0932"/>
    <x v="2"/>
    <s v="Mandalay"/>
    <s v="Normal"/>
    <s v="Female"/>
    <s v="Fashion accessories"/>
    <n v="34.700000000000003"/>
    <n v="2"/>
    <n v="3.47"/>
    <x v="487"/>
    <s v="3/13/2019"/>
    <d v="1899-12-30T19:48:00"/>
    <s v="Ewallet"/>
    <n v="69.400000000000006"/>
    <n v="4.7619047620000003"/>
    <n v="3.47"/>
    <n v="8.1999999999999993"/>
    <d v="2019-03-13T00:00:00"/>
    <n v="3"/>
    <n v="19"/>
  </r>
  <r>
    <s v="510-09-5628"/>
    <x v="0"/>
    <s v="Yangon"/>
    <s v="Member"/>
    <s v="Female"/>
    <s v="Fashion accessories"/>
    <n v="19.66"/>
    <n v="10"/>
    <n v="9.83"/>
    <x v="488"/>
    <s v="3/15/2019"/>
    <d v="1899-12-30T18:20:00"/>
    <s v="Credit card"/>
    <n v="196.6"/>
    <n v="4.7619047620000003"/>
    <n v="9.83"/>
    <n v="7.2"/>
    <d v="2019-03-15T00:00:00"/>
    <n v="3"/>
    <n v="18"/>
  </r>
  <r>
    <s v="608-04-3797"/>
    <x v="2"/>
    <s v="Mandalay"/>
    <s v="Member"/>
    <s v="Female"/>
    <s v="Health and beauty"/>
    <n v="25.32"/>
    <n v="8"/>
    <n v="10.128"/>
    <x v="489"/>
    <d v="2019-05-03T00:00:00"/>
    <d v="1899-12-30T20:24:00"/>
    <s v="Ewallet"/>
    <n v="202.56"/>
    <n v="4.7619047620000003"/>
    <n v="10.128"/>
    <n v="8.6999999999999993"/>
    <d v="2019-03-05T00:00:00"/>
    <n v="3"/>
    <n v="20"/>
  </r>
  <r>
    <s v="148-82-2527"/>
    <x v="1"/>
    <s v="Naypyitaw"/>
    <s v="Member"/>
    <s v="Female"/>
    <s v="Home and lifestyle"/>
    <n v="12.12"/>
    <n v="10"/>
    <n v="6.06"/>
    <x v="490"/>
    <d v="2019-05-03T00:00:00"/>
    <d v="1899-12-30T13:44:00"/>
    <s v="Credit card"/>
    <n v="121.2"/>
    <n v="4.7619047620000003"/>
    <n v="6.06"/>
    <n v="8.4"/>
    <d v="2019-03-05T00:00:00"/>
    <n v="3"/>
    <n v="13"/>
  </r>
  <r>
    <s v="437-53-3084"/>
    <x v="2"/>
    <s v="Mandalay"/>
    <s v="Normal"/>
    <s v="Male"/>
    <s v="Fashion accessories"/>
    <n v="99.89"/>
    <n v="2"/>
    <n v="9.9890000000000008"/>
    <x v="491"/>
    <s v="2/26/2019"/>
    <d v="1899-12-30T11:48:00"/>
    <s v="Ewallet"/>
    <n v="199.78"/>
    <n v="4.7619047620000003"/>
    <n v="9.9890000000000008"/>
    <n v="7.1"/>
    <d v="2019-02-26T00:00:00"/>
    <n v="2"/>
    <n v="11"/>
  </r>
  <r>
    <s v="632-32-4574"/>
    <x v="2"/>
    <s v="Mandalay"/>
    <s v="Normal"/>
    <s v="Male"/>
    <s v="Sports and travel"/>
    <n v="75.92"/>
    <n v="8"/>
    <n v="30.367999999999999"/>
    <x v="492"/>
    <s v="3/20/2019"/>
    <d v="1899-12-30T14:14:00"/>
    <s v="Cash"/>
    <n v="607.36"/>
    <n v="4.7619047620000003"/>
    <n v="30.367999999999999"/>
    <n v="5.5"/>
    <d v="2019-03-20T00:00:00"/>
    <n v="3"/>
    <n v="14"/>
  </r>
  <r>
    <s v="556-97-7101"/>
    <x v="1"/>
    <s v="Naypyitaw"/>
    <s v="Normal"/>
    <s v="Female"/>
    <s v="Electronic accessories"/>
    <n v="63.22"/>
    <n v="2"/>
    <n v="6.3220000000000001"/>
    <x v="493"/>
    <d v="2019-01-01T00:00:00"/>
    <d v="1899-12-30T15:51:00"/>
    <s v="Cash"/>
    <n v="126.44"/>
    <n v="4.7619047620000003"/>
    <n v="6.3220000000000001"/>
    <n v="8.5"/>
    <d v="2019-01-01T00:00:00"/>
    <n v="1"/>
    <n v="15"/>
  </r>
  <r>
    <s v="862-59-8517"/>
    <x v="1"/>
    <s v="Naypyitaw"/>
    <s v="Normal"/>
    <s v="Female"/>
    <s v="Food and beverages"/>
    <n v="90.24"/>
    <n v="6"/>
    <n v="27.071999999999999"/>
    <x v="494"/>
    <s v="1/27/2019"/>
    <d v="1899-12-30T11:17:00"/>
    <s v="Cash"/>
    <n v="541.44000000000005"/>
    <n v="4.7619047620000003"/>
    <n v="27.071999999999999"/>
    <n v="6.2"/>
    <d v="2019-01-27T00:00:00"/>
    <n v="1"/>
    <n v="11"/>
  </r>
  <r>
    <s v="401-18-8016"/>
    <x v="2"/>
    <s v="Mandalay"/>
    <s v="Member"/>
    <s v="Female"/>
    <s v="Sports and travel"/>
    <n v="98.13"/>
    <n v="1"/>
    <n v="4.9065000000000003"/>
    <x v="495"/>
    <s v="1/21/2019"/>
    <d v="1899-12-30T17:36:00"/>
    <s v="Cash"/>
    <n v="98.13"/>
    <n v="4.7619047620000003"/>
    <n v="4.9065000000000003"/>
    <n v="8.9"/>
    <d v="2019-01-21T00:00:00"/>
    <n v="1"/>
    <n v="17"/>
  </r>
  <r>
    <s v="420-18-8989"/>
    <x v="0"/>
    <s v="Yangon"/>
    <s v="Member"/>
    <s v="Female"/>
    <s v="Sports and travel"/>
    <n v="51.52"/>
    <n v="8"/>
    <n v="20.608000000000001"/>
    <x v="496"/>
    <d v="2019-02-02T00:00:00"/>
    <d v="1899-12-30T15:47:00"/>
    <s v="Cash"/>
    <n v="412.16"/>
    <n v="4.7619047620000003"/>
    <n v="20.608000000000001"/>
    <n v="9.6"/>
    <d v="2019-02-02T00:00:00"/>
    <n v="2"/>
    <n v="15"/>
  </r>
  <r>
    <s v="277-63-2961"/>
    <x v="2"/>
    <s v="Mandalay"/>
    <s v="Member"/>
    <s v="Male"/>
    <s v="Sports and travel"/>
    <n v="73.97"/>
    <n v="1"/>
    <n v="3.6985000000000001"/>
    <x v="497"/>
    <d v="2019-03-02T00:00:00"/>
    <d v="1899-12-30T15:53:00"/>
    <s v="Credit card"/>
    <n v="73.97"/>
    <n v="4.7619047620000003"/>
    <n v="3.6985000000000001"/>
    <n v="5.4"/>
    <d v="2019-02-03T00:00:00"/>
    <n v="2"/>
    <n v="15"/>
  </r>
  <r>
    <s v="573-98-8548"/>
    <x v="1"/>
    <s v="Naypyitaw"/>
    <s v="Member"/>
    <s v="Female"/>
    <s v="Fashion accessories"/>
    <n v="31.9"/>
    <n v="1"/>
    <n v="1.595"/>
    <x v="498"/>
    <d v="2019-05-01T00:00:00"/>
    <d v="1899-12-30T12:40:00"/>
    <s v="Ewallet"/>
    <n v="31.9"/>
    <n v="4.7619047620000003"/>
    <n v="1.595"/>
    <n v="9.1"/>
    <d v="2019-01-05T00:00:00"/>
    <n v="1"/>
    <n v="12"/>
  </r>
  <r>
    <s v="620-02-2046"/>
    <x v="1"/>
    <s v="Naypyitaw"/>
    <s v="Normal"/>
    <s v="Male"/>
    <s v="Home and lifestyle"/>
    <n v="69.400000000000006"/>
    <n v="2"/>
    <n v="6.94"/>
    <x v="499"/>
    <s v="1/27/2019"/>
    <d v="1899-12-30T19:48:00"/>
    <s v="Ewallet"/>
    <n v="138.80000000000001"/>
    <n v="4.7619047620000003"/>
    <n v="6.94"/>
    <n v="9"/>
    <d v="2019-01-27T00:00:00"/>
    <n v="1"/>
    <n v="19"/>
  </r>
  <r>
    <s v="282-35-2475"/>
    <x v="2"/>
    <s v="Mandalay"/>
    <s v="Normal"/>
    <s v="Female"/>
    <s v="Sports and travel"/>
    <n v="93.31"/>
    <n v="2"/>
    <n v="9.3309999999999995"/>
    <x v="500"/>
    <s v="3/25/2019"/>
    <d v="1899-12-30T17:53:00"/>
    <s v="Cash"/>
    <n v="186.62"/>
    <n v="4.7619047620000003"/>
    <n v="9.3309999999999995"/>
    <n v="6.3"/>
    <d v="2019-03-25T00:00:00"/>
    <n v="3"/>
    <n v="17"/>
  </r>
  <r>
    <s v="511-54-3087"/>
    <x v="2"/>
    <s v="Mandalay"/>
    <s v="Normal"/>
    <s v="Male"/>
    <s v="Sports and travel"/>
    <n v="88.45"/>
    <n v="1"/>
    <n v="4.4225000000000003"/>
    <x v="501"/>
    <s v="2/25/2019"/>
    <d v="1899-12-30T16:36:00"/>
    <s v="Credit card"/>
    <n v="88.45"/>
    <n v="4.7619047620000003"/>
    <n v="4.4225000000000003"/>
    <n v="9.5"/>
    <d v="2019-02-25T00:00:00"/>
    <n v="2"/>
    <n v="16"/>
  </r>
  <r>
    <s v="726-29-6793"/>
    <x v="0"/>
    <s v="Yangon"/>
    <s v="Member"/>
    <s v="Male"/>
    <s v="Electronic accessories"/>
    <n v="24.18"/>
    <n v="8"/>
    <n v="9.6720000000000006"/>
    <x v="502"/>
    <s v="1/28/2019"/>
    <d v="1899-12-30T20:54:00"/>
    <s v="Ewallet"/>
    <n v="193.44"/>
    <n v="4.7619047620000003"/>
    <n v="9.6720000000000006"/>
    <n v="9.8000000000000007"/>
    <d v="2019-01-28T00:00:00"/>
    <n v="1"/>
    <n v="20"/>
  </r>
  <r>
    <s v="387-49-4215"/>
    <x v="2"/>
    <s v="Mandalay"/>
    <s v="Member"/>
    <s v="Female"/>
    <s v="Sports and travel"/>
    <n v="48.5"/>
    <n v="3"/>
    <n v="7.2750000000000004"/>
    <x v="503"/>
    <d v="2019-08-01T00:00:00"/>
    <d v="1899-12-30T12:50:00"/>
    <s v="Cash"/>
    <n v="145.5"/>
    <n v="4.7619047620000003"/>
    <n v="7.2750000000000004"/>
    <n v="6.7"/>
    <d v="2019-01-08T00:00:00"/>
    <n v="1"/>
    <n v="12"/>
  </r>
  <r>
    <s v="862-17-9201"/>
    <x v="2"/>
    <s v="Mandalay"/>
    <s v="Normal"/>
    <s v="Female"/>
    <s v="Food and beverages"/>
    <n v="84.05"/>
    <n v="6"/>
    <n v="25.215"/>
    <x v="504"/>
    <s v="1/29/2019"/>
    <d v="1899-12-30T10:48:00"/>
    <s v="Credit card"/>
    <n v="504.3"/>
    <n v="4.7619047620000003"/>
    <n v="25.215"/>
    <n v="7.7"/>
    <d v="2019-01-29T00:00:00"/>
    <n v="1"/>
    <n v="10"/>
  </r>
  <r>
    <s v="291-21-5991"/>
    <x v="2"/>
    <s v="Mandalay"/>
    <s v="Member"/>
    <s v="Male"/>
    <s v="Health and beauty"/>
    <n v="61.29"/>
    <n v="5"/>
    <n v="15.3225"/>
    <x v="505"/>
    <s v="3/29/2019"/>
    <d v="1899-12-30T14:28:00"/>
    <s v="Cash"/>
    <n v="306.45"/>
    <n v="4.7619047620000003"/>
    <n v="15.3225"/>
    <n v="7"/>
    <d v="2019-03-29T00:00:00"/>
    <n v="3"/>
    <n v="14"/>
  </r>
  <r>
    <s v="602-80-9671"/>
    <x v="1"/>
    <s v="Naypyitaw"/>
    <s v="Member"/>
    <s v="Female"/>
    <s v="Home and lifestyle"/>
    <n v="15.95"/>
    <n v="6"/>
    <n v="4.7850000000000001"/>
    <x v="506"/>
    <d v="2019-09-02T00:00:00"/>
    <d v="1899-12-30T17:15:00"/>
    <s v="Credit card"/>
    <n v="95.7"/>
    <n v="4.7619047620000003"/>
    <n v="4.7850000000000001"/>
    <n v="5.0999999999999996"/>
    <d v="2019-02-09T00:00:00"/>
    <n v="2"/>
    <n v="17"/>
  </r>
  <r>
    <s v="347-72-6115"/>
    <x v="2"/>
    <s v="Mandalay"/>
    <s v="Member"/>
    <s v="Female"/>
    <s v="Sports and travel"/>
    <n v="90.74"/>
    <n v="7"/>
    <n v="31.759"/>
    <x v="507"/>
    <s v="1/16/2019"/>
    <d v="1899-12-30T18:03:00"/>
    <s v="Credit card"/>
    <n v="635.17999999999995"/>
    <n v="4.7619047620000003"/>
    <n v="31.759"/>
    <n v="6.2"/>
    <d v="2019-01-16T00:00:00"/>
    <n v="1"/>
    <n v="18"/>
  </r>
  <r>
    <s v="209-61-0206"/>
    <x v="0"/>
    <s v="Yangon"/>
    <s v="Normal"/>
    <s v="Female"/>
    <s v="Home and lifestyle"/>
    <n v="42.91"/>
    <n v="5"/>
    <n v="10.727499999999999"/>
    <x v="508"/>
    <d v="2019-05-01T00:00:00"/>
    <d v="1899-12-30T17:29:00"/>
    <s v="Ewallet"/>
    <n v="214.55"/>
    <n v="4.7619047620000003"/>
    <n v="10.727499999999999"/>
    <n v="6.1"/>
    <d v="2019-01-05T00:00:00"/>
    <n v="1"/>
    <n v="17"/>
  </r>
  <r>
    <s v="595-27-4851"/>
    <x v="0"/>
    <s v="Yangon"/>
    <s v="Normal"/>
    <s v="Female"/>
    <s v="Fashion accessories"/>
    <n v="54.28"/>
    <n v="7"/>
    <n v="18.998000000000001"/>
    <x v="509"/>
    <s v="1/27/2019"/>
    <d v="1899-12-30T18:05:00"/>
    <s v="Ewallet"/>
    <n v="379.96"/>
    <n v="4.7619047620000003"/>
    <n v="18.998000000000001"/>
    <n v="9.3000000000000007"/>
    <d v="2019-01-27T00:00:00"/>
    <n v="1"/>
    <n v="18"/>
  </r>
  <r>
    <s v="189-52-0236"/>
    <x v="0"/>
    <s v="Yangon"/>
    <s v="Normal"/>
    <s v="Male"/>
    <s v="Electronic accessories"/>
    <n v="99.55"/>
    <n v="7"/>
    <n v="34.842500000000001"/>
    <x v="510"/>
    <s v="3/14/2019"/>
    <d v="1899-12-30T12:07:00"/>
    <s v="Cash"/>
    <n v="696.85"/>
    <n v="4.7619047620000003"/>
    <n v="34.842500000000001"/>
    <n v="7.6"/>
    <d v="2019-03-14T00:00:00"/>
    <n v="3"/>
    <n v="12"/>
  </r>
  <r>
    <s v="503-07-0930"/>
    <x v="1"/>
    <s v="Naypyitaw"/>
    <s v="Member"/>
    <s v="Male"/>
    <s v="Sports and travel"/>
    <n v="58.39"/>
    <n v="7"/>
    <n v="20.436499999999999"/>
    <x v="511"/>
    <s v="2/23/2019"/>
    <d v="1899-12-30T19:49:00"/>
    <s v="Credit card"/>
    <n v="408.73"/>
    <n v="4.7619047620000003"/>
    <n v="20.436499999999999"/>
    <n v="8.1999999999999993"/>
    <d v="2019-02-23T00:00:00"/>
    <n v="2"/>
    <n v="19"/>
  </r>
  <r>
    <s v="413-20-6708"/>
    <x v="1"/>
    <s v="Naypyitaw"/>
    <s v="Member"/>
    <s v="Female"/>
    <s v="Fashion accessories"/>
    <n v="51.47"/>
    <n v="1"/>
    <n v="2.5735000000000001"/>
    <x v="512"/>
    <s v="3/18/2019"/>
    <d v="1899-12-30T15:52:00"/>
    <s v="Ewallet"/>
    <n v="51.47"/>
    <n v="4.7619047620000003"/>
    <n v="2.5735000000000001"/>
    <n v="8.5"/>
    <d v="2019-03-18T00:00:00"/>
    <n v="3"/>
    <n v="15"/>
  </r>
  <r>
    <s v="425-85-2085"/>
    <x v="2"/>
    <s v="Mandalay"/>
    <s v="Member"/>
    <s v="Male"/>
    <s v="Health and beauty"/>
    <n v="54.86"/>
    <n v="5"/>
    <n v="13.715"/>
    <x v="513"/>
    <s v="3/29/2019"/>
    <d v="1899-12-30T16:48:00"/>
    <s v="Ewallet"/>
    <n v="274.3"/>
    <n v="4.7619047620000003"/>
    <n v="13.715"/>
    <n v="9.8000000000000007"/>
    <d v="2019-03-29T00:00:00"/>
    <n v="3"/>
    <n v="16"/>
  </r>
  <r>
    <s v="521-18-7827"/>
    <x v="1"/>
    <s v="Naypyitaw"/>
    <s v="Member"/>
    <s v="Male"/>
    <s v="Home and lifestyle"/>
    <n v="39.39"/>
    <n v="5"/>
    <n v="9.8475000000000001"/>
    <x v="514"/>
    <s v="1/22/2019"/>
    <d v="1899-12-30T20:46:00"/>
    <s v="Credit card"/>
    <n v="196.95"/>
    <n v="4.7619047620000003"/>
    <n v="9.8475000000000001"/>
    <n v="8.6999999999999993"/>
    <d v="2019-01-22T00:00:00"/>
    <n v="1"/>
    <n v="20"/>
  </r>
  <r>
    <s v="220-28-1851"/>
    <x v="0"/>
    <s v="Yangon"/>
    <s v="Normal"/>
    <s v="Male"/>
    <s v="Home and lifestyle"/>
    <n v="34.729999999999997"/>
    <n v="2"/>
    <n v="3.4729999999999999"/>
    <x v="515"/>
    <d v="2019-01-03T00:00:00"/>
    <d v="1899-12-30T18:14:00"/>
    <s v="Ewallet"/>
    <n v="69.459999999999994"/>
    <n v="4.7619047620000003"/>
    <n v="3.4729999999999999"/>
    <n v="9.6999999999999993"/>
    <d v="2019-03-01T00:00:00"/>
    <n v="3"/>
    <n v="18"/>
  </r>
  <r>
    <s v="600-38-9738"/>
    <x v="1"/>
    <s v="Naypyitaw"/>
    <s v="Member"/>
    <s v="Male"/>
    <s v="Sports and travel"/>
    <n v="71.92"/>
    <n v="5"/>
    <n v="17.98"/>
    <x v="516"/>
    <s v="1/17/2019"/>
    <d v="1899-12-30T15:05:00"/>
    <s v="Credit card"/>
    <n v="359.6"/>
    <n v="4.7619047620000003"/>
    <n v="17.98"/>
    <n v="4.3"/>
    <d v="2019-01-17T00:00:00"/>
    <n v="1"/>
    <n v="15"/>
  </r>
  <r>
    <s v="734-91-1155"/>
    <x v="2"/>
    <s v="Mandalay"/>
    <s v="Normal"/>
    <s v="Female"/>
    <s v="Electronic accessories"/>
    <n v="45.71"/>
    <n v="3"/>
    <n v="6.8564999999999996"/>
    <x v="517"/>
    <s v="3/26/2019"/>
    <d v="1899-12-30T10:34:00"/>
    <s v="Credit card"/>
    <n v="137.13"/>
    <n v="4.7619047620000003"/>
    <n v="6.8564999999999996"/>
    <n v="7.7"/>
    <d v="2019-03-26T00:00:00"/>
    <n v="3"/>
    <n v="10"/>
  </r>
  <r>
    <s v="451-28-5717"/>
    <x v="1"/>
    <s v="Naypyitaw"/>
    <s v="Member"/>
    <s v="Female"/>
    <s v="Home and lifestyle"/>
    <n v="83.17"/>
    <n v="6"/>
    <n v="24.951000000000001"/>
    <x v="518"/>
    <s v="3/20/2019"/>
    <d v="1899-12-30T11:23:00"/>
    <s v="Cash"/>
    <n v="499.02"/>
    <n v="4.7619047620000003"/>
    <n v="24.951000000000001"/>
    <n v="7.3"/>
    <d v="2019-03-20T00:00:00"/>
    <n v="3"/>
    <n v="11"/>
  </r>
  <r>
    <s v="609-81-8548"/>
    <x v="0"/>
    <s v="Yangon"/>
    <s v="Member"/>
    <s v="Female"/>
    <s v="Home and lifestyle"/>
    <n v="37.44"/>
    <n v="6"/>
    <n v="11.231999999999999"/>
    <x v="519"/>
    <d v="2019-06-02T00:00:00"/>
    <d v="1899-12-30T13:55:00"/>
    <s v="Credit card"/>
    <n v="224.64"/>
    <n v="4.7619047620000003"/>
    <n v="11.231999999999999"/>
    <n v="5.9"/>
    <d v="2019-02-06T00:00:00"/>
    <n v="2"/>
    <n v="13"/>
  </r>
  <r>
    <s v="133-14-7229"/>
    <x v="1"/>
    <s v="Naypyitaw"/>
    <s v="Normal"/>
    <s v="Male"/>
    <s v="Health and beauty"/>
    <n v="62.87"/>
    <n v="2"/>
    <n v="6.2869999999999999"/>
    <x v="520"/>
    <d v="2019-01-01T00:00:00"/>
    <d v="1899-12-30T11:43:00"/>
    <s v="Cash"/>
    <n v="125.74"/>
    <n v="4.7619047620000003"/>
    <n v="6.2869999999999999"/>
    <n v="5"/>
    <d v="2019-01-01T00:00:00"/>
    <n v="1"/>
    <n v="11"/>
  </r>
  <r>
    <s v="534-01-4457"/>
    <x v="0"/>
    <s v="Yangon"/>
    <s v="Normal"/>
    <s v="Male"/>
    <s v="Food and beverages"/>
    <n v="81.709999999999994"/>
    <n v="6"/>
    <n v="24.513000000000002"/>
    <x v="521"/>
    <s v="1/27/2019"/>
    <d v="1899-12-30T14:36:00"/>
    <s v="Credit card"/>
    <n v="490.26"/>
    <n v="4.7619047620000003"/>
    <n v="24.513000000000002"/>
    <n v="8"/>
    <d v="2019-01-27T00:00:00"/>
    <n v="1"/>
    <n v="14"/>
  </r>
  <r>
    <s v="719-89-8991"/>
    <x v="0"/>
    <s v="Yangon"/>
    <s v="Member"/>
    <s v="Female"/>
    <s v="Sports and travel"/>
    <n v="91.41"/>
    <n v="5"/>
    <n v="22.852499999999999"/>
    <x v="522"/>
    <s v="2/25/2019"/>
    <d v="1899-12-30T16:03:00"/>
    <s v="Ewallet"/>
    <n v="457.05"/>
    <n v="4.7619047620000003"/>
    <n v="22.852499999999999"/>
    <n v="7.1"/>
    <d v="2019-02-25T00:00:00"/>
    <n v="2"/>
    <n v="16"/>
  </r>
  <r>
    <s v="286-62-6248"/>
    <x v="2"/>
    <s v="Mandalay"/>
    <s v="Normal"/>
    <s v="Male"/>
    <s v="Fashion accessories"/>
    <n v="39.21"/>
    <n v="4"/>
    <n v="7.8419999999999996"/>
    <x v="523"/>
    <s v="1/16/2019"/>
    <d v="1899-12-30T20:03:00"/>
    <s v="Credit card"/>
    <n v="156.84"/>
    <n v="4.7619047620000003"/>
    <n v="7.8419999999999996"/>
    <n v="9"/>
    <d v="2019-01-16T00:00:00"/>
    <n v="1"/>
    <n v="20"/>
  </r>
  <r>
    <s v="339-38-9982"/>
    <x v="2"/>
    <s v="Mandalay"/>
    <s v="Member"/>
    <s v="Male"/>
    <s v="Fashion accessories"/>
    <n v="59.86"/>
    <n v="2"/>
    <n v="5.9859999999999998"/>
    <x v="524"/>
    <s v="1/13/2019"/>
    <d v="1899-12-30T14:55:00"/>
    <s v="Ewallet"/>
    <n v="119.72"/>
    <n v="4.7619047620000003"/>
    <n v="5.9859999999999998"/>
    <n v="6.7"/>
    <d v="2019-01-13T00:00:00"/>
    <n v="1"/>
    <n v="14"/>
  </r>
  <r>
    <s v="827-44-5872"/>
    <x v="2"/>
    <s v="Mandalay"/>
    <s v="Member"/>
    <s v="Female"/>
    <s v="Food and beverages"/>
    <n v="54.36"/>
    <n v="10"/>
    <n v="27.18"/>
    <x v="525"/>
    <d v="2019-07-02T00:00:00"/>
    <d v="1899-12-30T11:28:00"/>
    <s v="Credit card"/>
    <n v="543.6"/>
    <n v="4.7619047620000003"/>
    <n v="27.18"/>
    <n v="6.1"/>
    <d v="2019-02-07T00:00:00"/>
    <n v="2"/>
    <n v="11"/>
  </r>
  <r>
    <s v="827-77-7633"/>
    <x v="0"/>
    <s v="Yangon"/>
    <s v="Normal"/>
    <s v="Male"/>
    <s v="Sports and travel"/>
    <n v="98.09"/>
    <n v="9"/>
    <n v="44.140500000000003"/>
    <x v="526"/>
    <s v="2/17/2019"/>
    <d v="1899-12-30T19:41:00"/>
    <s v="Cash"/>
    <n v="882.81"/>
    <n v="4.7619047620000003"/>
    <n v="44.140500000000003"/>
    <n v="9.3000000000000007"/>
    <d v="2019-02-17T00:00:00"/>
    <n v="2"/>
    <n v="19"/>
  </r>
  <r>
    <s v="287-83-1405"/>
    <x v="0"/>
    <s v="Yangon"/>
    <s v="Normal"/>
    <s v="Male"/>
    <s v="Health and beauty"/>
    <n v="25.43"/>
    <n v="6"/>
    <n v="7.6289999999999996"/>
    <x v="527"/>
    <d v="2019-12-02T00:00:00"/>
    <d v="1899-12-30T19:01:00"/>
    <s v="Ewallet"/>
    <n v="152.58000000000001"/>
    <n v="4.7619047620000003"/>
    <n v="7.6289999999999996"/>
    <n v="7"/>
    <d v="2019-02-12T00:00:00"/>
    <n v="2"/>
    <n v="19"/>
  </r>
  <r>
    <s v="435-13-4908"/>
    <x v="0"/>
    <s v="Yangon"/>
    <s v="Member"/>
    <s v="Male"/>
    <s v="Fashion accessories"/>
    <n v="86.68"/>
    <n v="8"/>
    <n v="34.671999999999997"/>
    <x v="528"/>
    <s v="1/24/2019"/>
    <d v="1899-12-30T18:04:00"/>
    <s v="Credit card"/>
    <n v="693.44"/>
    <n v="4.7619047620000003"/>
    <n v="34.671999999999997"/>
    <n v="7.2"/>
    <d v="2019-01-24T00:00:00"/>
    <n v="1"/>
    <n v="18"/>
  </r>
  <r>
    <s v="857-67-9057"/>
    <x v="2"/>
    <s v="Mandalay"/>
    <s v="Normal"/>
    <s v="Male"/>
    <s v="Electronic accessories"/>
    <n v="22.95"/>
    <n v="10"/>
    <n v="11.475"/>
    <x v="529"/>
    <d v="2019-06-02T00:00:00"/>
    <d v="1899-12-30T19:20:00"/>
    <s v="Ewallet"/>
    <n v="229.5"/>
    <n v="4.7619047620000003"/>
    <n v="11.475"/>
    <n v="8.1999999999999993"/>
    <d v="2019-02-06T00:00:00"/>
    <n v="2"/>
    <n v="19"/>
  </r>
  <r>
    <s v="236-27-1144"/>
    <x v="1"/>
    <s v="Naypyitaw"/>
    <s v="Normal"/>
    <s v="Female"/>
    <s v="Food and beverages"/>
    <n v="16.309999999999999"/>
    <n v="9"/>
    <n v="7.3395000000000001"/>
    <x v="530"/>
    <s v="3/26/2019"/>
    <d v="1899-12-30T10:31:00"/>
    <s v="Ewallet"/>
    <n v="146.79"/>
    <n v="4.7619047620000003"/>
    <n v="7.3395000000000001"/>
    <n v="8.4"/>
    <d v="2019-03-26T00:00:00"/>
    <n v="3"/>
    <n v="10"/>
  </r>
  <r>
    <s v="892-05-6689"/>
    <x v="0"/>
    <s v="Yangon"/>
    <s v="Normal"/>
    <s v="Female"/>
    <s v="Home and lifestyle"/>
    <n v="28.32"/>
    <n v="5"/>
    <n v="7.08"/>
    <x v="531"/>
    <d v="2019-11-03T00:00:00"/>
    <d v="1899-12-30T13:28:00"/>
    <s v="Ewallet"/>
    <n v="141.6"/>
    <n v="4.7619047620000003"/>
    <n v="7.08"/>
    <n v="6.2"/>
    <d v="2019-03-11T00:00:00"/>
    <n v="3"/>
    <n v="13"/>
  </r>
  <r>
    <s v="583-41-4548"/>
    <x v="1"/>
    <s v="Naypyitaw"/>
    <s v="Normal"/>
    <s v="Male"/>
    <s v="Home and lifestyle"/>
    <n v="16.670000000000002"/>
    <n v="7"/>
    <n v="5.8345000000000002"/>
    <x v="532"/>
    <d v="2019-07-02T00:00:00"/>
    <d v="1899-12-30T11:36:00"/>
    <s v="Ewallet"/>
    <n v="116.69"/>
    <n v="4.7619047620000003"/>
    <n v="5.8345000000000002"/>
    <n v="7.4"/>
    <d v="2019-02-07T00:00:00"/>
    <n v="2"/>
    <n v="11"/>
  </r>
  <r>
    <s v="339-12-4827"/>
    <x v="2"/>
    <s v="Mandalay"/>
    <s v="Member"/>
    <s v="Female"/>
    <s v="Fashion accessories"/>
    <n v="73.959999999999994"/>
    <n v="1"/>
    <n v="3.698"/>
    <x v="533"/>
    <d v="2019-05-01T00:00:00"/>
    <d v="1899-12-30T11:32:00"/>
    <s v="Credit card"/>
    <n v="73.959999999999994"/>
    <n v="4.7619047620000003"/>
    <n v="3.698"/>
    <n v="5"/>
    <d v="2019-01-05T00:00:00"/>
    <n v="1"/>
    <n v="11"/>
  </r>
  <r>
    <s v="643-38-7867"/>
    <x v="0"/>
    <s v="Yangon"/>
    <s v="Normal"/>
    <s v="Male"/>
    <s v="Home and lifestyle"/>
    <n v="97.94"/>
    <n v="1"/>
    <n v="4.8970000000000002"/>
    <x v="534"/>
    <d v="2019-07-03T00:00:00"/>
    <d v="1899-12-30T11:44:00"/>
    <s v="Ewallet"/>
    <n v="97.94"/>
    <n v="4.7619047620000003"/>
    <n v="4.8970000000000002"/>
    <n v="6.9"/>
    <d v="2019-03-07T00:00:00"/>
    <n v="3"/>
    <n v="11"/>
  </r>
  <r>
    <s v="308-81-0538"/>
    <x v="0"/>
    <s v="Yangon"/>
    <s v="Normal"/>
    <s v="Female"/>
    <s v="Fashion accessories"/>
    <n v="73.05"/>
    <n v="4"/>
    <n v="14.61"/>
    <x v="535"/>
    <s v="2/25/2019"/>
    <d v="1899-12-30T17:16:00"/>
    <s v="Credit card"/>
    <n v="292.2"/>
    <n v="4.7619047620000003"/>
    <n v="14.61"/>
    <n v="4.9000000000000004"/>
    <d v="2019-02-25T00:00:00"/>
    <n v="2"/>
    <n v="17"/>
  </r>
  <r>
    <s v="358-88-9262"/>
    <x v="1"/>
    <s v="Naypyitaw"/>
    <s v="Member"/>
    <s v="Female"/>
    <s v="Food and beverages"/>
    <n v="87.48"/>
    <n v="6"/>
    <n v="26.244"/>
    <x v="536"/>
    <d v="2019-01-02T00:00:00"/>
    <d v="1899-12-30T18:43:00"/>
    <s v="Ewallet"/>
    <n v="524.88"/>
    <n v="4.7619047620000003"/>
    <n v="26.244"/>
    <n v="5.0999999999999996"/>
    <d v="2019-02-01T00:00:00"/>
    <n v="2"/>
    <n v="18"/>
  </r>
  <r>
    <s v="460-35-4390"/>
    <x v="0"/>
    <s v="Yangon"/>
    <s v="Normal"/>
    <s v="Male"/>
    <s v="Home and lifestyle"/>
    <n v="30.68"/>
    <n v="3"/>
    <n v="4.6020000000000003"/>
    <x v="537"/>
    <s v="1/22/2019"/>
    <d v="1899-12-30T11:00:00"/>
    <s v="Ewallet"/>
    <n v="92.04"/>
    <n v="4.7619047620000003"/>
    <n v="4.6020000000000003"/>
    <n v="9.1"/>
    <d v="2019-01-22T00:00:00"/>
    <n v="1"/>
    <n v="11"/>
  </r>
  <r>
    <s v="343-87-0864"/>
    <x v="1"/>
    <s v="Naypyitaw"/>
    <s v="Member"/>
    <s v="Male"/>
    <s v="Health and beauty"/>
    <n v="75.88"/>
    <n v="1"/>
    <n v="3.794"/>
    <x v="538"/>
    <d v="2019-03-01T00:00:00"/>
    <d v="1899-12-30T10:30:00"/>
    <s v="Credit card"/>
    <n v="75.88"/>
    <n v="4.7619047620000003"/>
    <n v="3.794"/>
    <n v="7.1"/>
    <d v="2019-01-03T00:00:00"/>
    <n v="1"/>
    <n v="10"/>
  </r>
  <r>
    <s v="173-50-1108"/>
    <x v="2"/>
    <s v="Mandalay"/>
    <s v="Member"/>
    <s v="Female"/>
    <s v="Sports and travel"/>
    <n v="20.18"/>
    <n v="4"/>
    <n v="4.0359999999999996"/>
    <x v="539"/>
    <s v="2/13/2019"/>
    <d v="1899-12-30T12:14:00"/>
    <s v="Credit card"/>
    <n v="80.72"/>
    <n v="4.7619047620000003"/>
    <n v="4.0359999999999996"/>
    <n v="5"/>
    <d v="2019-02-13T00:00:00"/>
    <n v="2"/>
    <n v="12"/>
  </r>
  <r>
    <s v="243-47-2663"/>
    <x v="1"/>
    <s v="Naypyitaw"/>
    <s v="Member"/>
    <s v="Male"/>
    <s v="Electronic accessories"/>
    <n v="18.77"/>
    <n v="6"/>
    <n v="5.6310000000000002"/>
    <x v="540"/>
    <s v="1/28/2019"/>
    <d v="1899-12-30T16:43:00"/>
    <s v="Credit card"/>
    <n v="112.62"/>
    <n v="4.7619047620000003"/>
    <n v="5.6310000000000002"/>
    <n v="5.5"/>
    <d v="2019-01-28T00:00:00"/>
    <n v="1"/>
    <n v="16"/>
  </r>
  <r>
    <s v="841-18-8232"/>
    <x v="2"/>
    <s v="Mandalay"/>
    <s v="Normal"/>
    <s v="Female"/>
    <s v="Food and beverages"/>
    <n v="71.2"/>
    <n v="1"/>
    <n v="3.56"/>
    <x v="541"/>
    <d v="2019-05-01T00:00:00"/>
    <d v="1899-12-30T20:40:00"/>
    <s v="Credit card"/>
    <n v="71.2"/>
    <n v="4.7619047620000003"/>
    <n v="3.56"/>
    <n v="9.1999999999999993"/>
    <d v="2019-01-05T00:00:00"/>
    <n v="1"/>
    <n v="20"/>
  </r>
  <r>
    <s v="701-23-5550"/>
    <x v="2"/>
    <s v="Mandalay"/>
    <s v="Member"/>
    <s v="Male"/>
    <s v="Home and lifestyle"/>
    <n v="38.81"/>
    <n v="4"/>
    <n v="7.7619999999999996"/>
    <x v="542"/>
    <s v="3/19/2019"/>
    <d v="1899-12-30T13:40:00"/>
    <s v="Ewallet"/>
    <n v="155.24"/>
    <n v="4.7619047620000003"/>
    <n v="7.7619999999999996"/>
    <n v="4.9000000000000004"/>
    <d v="2019-03-19T00:00:00"/>
    <n v="3"/>
    <n v="13"/>
  </r>
  <r>
    <s v="647-50-1224"/>
    <x v="0"/>
    <s v="Yangon"/>
    <s v="Normal"/>
    <s v="Female"/>
    <s v="Fashion accessories"/>
    <n v="29.42"/>
    <n v="10"/>
    <n v="14.71"/>
    <x v="543"/>
    <d v="2019-12-01T00:00:00"/>
    <d v="1899-12-30T16:23:00"/>
    <s v="Ewallet"/>
    <n v="294.2"/>
    <n v="4.7619047620000003"/>
    <n v="14.71"/>
    <n v="8.9"/>
    <d v="2019-01-12T00:00:00"/>
    <n v="1"/>
    <n v="16"/>
  </r>
  <r>
    <s v="541-48-8554"/>
    <x v="0"/>
    <s v="Yangon"/>
    <s v="Normal"/>
    <s v="Male"/>
    <s v="Sports and travel"/>
    <n v="60.95"/>
    <n v="9"/>
    <n v="27.427499999999998"/>
    <x v="544"/>
    <d v="2019-07-01T00:00:00"/>
    <d v="1899-12-30T12:08:00"/>
    <s v="Credit card"/>
    <n v="548.54999999999995"/>
    <n v="4.7619047620000003"/>
    <n v="27.427499999999998"/>
    <n v="6"/>
    <d v="2019-01-07T00:00:00"/>
    <n v="1"/>
    <n v="12"/>
  </r>
  <r>
    <s v="539-21-7227"/>
    <x v="2"/>
    <s v="Mandalay"/>
    <s v="Normal"/>
    <s v="Female"/>
    <s v="Sports and travel"/>
    <n v="51.54"/>
    <n v="5"/>
    <n v="12.885"/>
    <x v="545"/>
    <s v="1/26/2019"/>
    <d v="1899-12-30T17:45:00"/>
    <s v="Cash"/>
    <n v="257.7"/>
    <n v="4.7619047620000003"/>
    <n v="12.885"/>
    <n v="4.2"/>
    <d v="2019-01-26T00:00:00"/>
    <n v="1"/>
    <n v="17"/>
  </r>
  <r>
    <s v="213-32-1216"/>
    <x v="0"/>
    <s v="Yangon"/>
    <s v="Normal"/>
    <s v="Female"/>
    <s v="Electronic accessories"/>
    <n v="66.06"/>
    <n v="6"/>
    <n v="19.818000000000001"/>
    <x v="546"/>
    <s v="1/23/2019"/>
    <d v="1899-12-30T10:28:00"/>
    <s v="Cash"/>
    <n v="396.36"/>
    <n v="4.7619047620000003"/>
    <n v="19.818000000000001"/>
    <n v="7.3"/>
    <d v="2019-01-23T00:00:00"/>
    <n v="1"/>
    <n v="10"/>
  </r>
  <r>
    <s v="747-58-7183"/>
    <x v="2"/>
    <s v="Mandalay"/>
    <s v="Normal"/>
    <s v="Male"/>
    <s v="Fashion accessories"/>
    <n v="57.27"/>
    <n v="3"/>
    <n v="8.5905000000000005"/>
    <x v="547"/>
    <d v="2019-09-02T00:00:00"/>
    <d v="1899-12-30T20:31:00"/>
    <s v="Ewallet"/>
    <n v="171.81"/>
    <n v="4.7619047620000003"/>
    <n v="8.5905000000000005"/>
    <n v="6.5"/>
    <d v="2019-02-09T00:00:00"/>
    <n v="2"/>
    <n v="20"/>
  </r>
  <r>
    <s v="582-52-8065"/>
    <x v="2"/>
    <s v="Mandalay"/>
    <s v="Normal"/>
    <s v="Female"/>
    <s v="Fashion accessories"/>
    <n v="54.31"/>
    <n v="9"/>
    <n v="24.439499999999999"/>
    <x v="548"/>
    <s v="2/22/2019"/>
    <d v="1899-12-30T10:49:00"/>
    <s v="Cash"/>
    <n v="488.79"/>
    <n v="4.7619047620000003"/>
    <n v="24.439499999999999"/>
    <n v="8.9"/>
    <d v="2019-02-22T00:00:00"/>
    <n v="2"/>
    <n v="10"/>
  </r>
  <r>
    <s v="210-57-1719"/>
    <x v="2"/>
    <s v="Mandalay"/>
    <s v="Normal"/>
    <s v="Female"/>
    <s v="Health and beauty"/>
    <n v="58.24"/>
    <n v="9"/>
    <n v="26.207999999999998"/>
    <x v="549"/>
    <d v="2019-05-02T00:00:00"/>
    <d v="1899-12-30T12:34:00"/>
    <s v="Cash"/>
    <n v="524.16"/>
    <n v="4.7619047620000003"/>
    <n v="26.207999999999998"/>
    <n v="9.6999999999999993"/>
    <d v="2019-02-05T00:00:00"/>
    <n v="2"/>
    <n v="12"/>
  </r>
  <r>
    <s v="399-69-4630"/>
    <x v="1"/>
    <s v="Naypyitaw"/>
    <s v="Normal"/>
    <s v="Male"/>
    <s v="Electronic accessories"/>
    <n v="22.21"/>
    <n v="6"/>
    <n v="6.6630000000000003"/>
    <x v="550"/>
    <d v="2019-07-03T00:00:00"/>
    <d v="1899-12-30T10:23:00"/>
    <s v="Credit card"/>
    <n v="133.26"/>
    <n v="4.7619047620000003"/>
    <n v="6.6630000000000003"/>
    <n v="8.6"/>
    <d v="2019-03-07T00:00:00"/>
    <n v="3"/>
    <n v="10"/>
  </r>
  <r>
    <s v="134-75-2619"/>
    <x v="0"/>
    <s v="Yangon"/>
    <s v="Member"/>
    <s v="Male"/>
    <s v="Electronic accessories"/>
    <n v="19.32"/>
    <n v="7"/>
    <n v="6.7619999999999996"/>
    <x v="551"/>
    <s v="3/25/2019"/>
    <d v="1899-12-30T18:51:00"/>
    <s v="Cash"/>
    <n v="135.24"/>
    <n v="4.7619047620000003"/>
    <n v="6.7619999999999996"/>
    <n v="6.9"/>
    <d v="2019-03-25T00:00:00"/>
    <n v="3"/>
    <n v="18"/>
  </r>
  <r>
    <s v="356-44-8813"/>
    <x v="2"/>
    <s v="Mandalay"/>
    <s v="Normal"/>
    <s v="Male"/>
    <s v="Home and lifestyle"/>
    <n v="37.479999999999997"/>
    <n v="3"/>
    <n v="5.6219999999999999"/>
    <x v="552"/>
    <s v="1/20/2019"/>
    <d v="1899-12-30T13:45:00"/>
    <s v="Credit card"/>
    <n v="112.44"/>
    <n v="4.7619047620000003"/>
    <n v="5.6219999999999999"/>
    <n v="7.7"/>
    <d v="2019-01-20T00:00:00"/>
    <n v="1"/>
    <n v="13"/>
  </r>
  <r>
    <s v="198-66-9832"/>
    <x v="2"/>
    <s v="Mandalay"/>
    <s v="Member"/>
    <s v="Female"/>
    <s v="Fashion accessories"/>
    <n v="72.040000000000006"/>
    <n v="2"/>
    <n v="7.2039999999999997"/>
    <x v="553"/>
    <d v="2019-04-02T00:00:00"/>
    <d v="1899-12-30T19:38:00"/>
    <s v="Cash"/>
    <n v="144.08000000000001"/>
    <n v="4.7619047620000003"/>
    <n v="7.2039999999999997"/>
    <n v="9.5"/>
    <d v="2019-02-04T00:00:00"/>
    <n v="2"/>
    <n v="19"/>
  </r>
  <r>
    <s v="283-26-5248"/>
    <x v="1"/>
    <s v="Naypyitaw"/>
    <s v="Member"/>
    <s v="Female"/>
    <s v="Food and beverages"/>
    <n v="98.52"/>
    <n v="10"/>
    <n v="49.26"/>
    <x v="554"/>
    <s v="1/30/2019"/>
    <d v="1899-12-30T20:23:00"/>
    <s v="Ewallet"/>
    <n v="985.2"/>
    <n v="4.7619047620000003"/>
    <n v="49.26"/>
    <n v="4.5"/>
    <d v="2019-01-30T00:00:00"/>
    <n v="1"/>
    <n v="20"/>
  </r>
  <r>
    <s v="712-39-0363"/>
    <x v="0"/>
    <s v="Yangon"/>
    <s v="Member"/>
    <s v="Male"/>
    <s v="Food and beverages"/>
    <n v="41.66"/>
    <n v="6"/>
    <n v="12.497999999999999"/>
    <x v="555"/>
    <d v="2019-02-01T00:00:00"/>
    <d v="1899-12-30T15:24:00"/>
    <s v="Ewallet"/>
    <n v="249.96"/>
    <n v="4.7619047620000003"/>
    <n v="12.497999999999999"/>
    <n v="5.6"/>
    <d v="2019-01-02T00:00:00"/>
    <n v="1"/>
    <n v="15"/>
  </r>
  <r>
    <s v="218-59-9410"/>
    <x v="0"/>
    <s v="Yangon"/>
    <s v="Member"/>
    <s v="Female"/>
    <s v="Home and lifestyle"/>
    <n v="72.42"/>
    <n v="3"/>
    <n v="10.863"/>
    <x v="556"/>
    <s v="3/29/2019"/>
    <d v="1899-12-30T16:54:00"/>
    <s v="Ewallet"/>
    <n v="217.26"/>
    <n v="4.7619047620000003"/>
    <n v="10.863"/>
    <n v="8.1999999999999993"/>
    <d v="2019-03-29T00:00:00"/>
    <n v="3"/>
    <n v="16"/>
  </r>
  <r>
    <s v="174-75-0888"/>
    <x v="2"/>
    <s v="Mandalay"/>
    <s v="Normal"/>
    <s v="Male"/>
    <s v="Electronic accessories"/>
    <n v="21.58"/>
    <n v="9"/>
    <n v="9.7110000000000003"/>
    <x v="557"/>
    <s v="3/14/2019"/>
    <d v="1899-12-30T12:32:00"/>
    <s v="Cash"/>
    <n v="194.22"/>
    <n v="4.7619047620000003"/>
    <n v="9.7110000000000003"/>
    <n v="7.3"/>
    <d v="2019-03-14T00:00:00"/>
    <n v="3"/>
    <n v="12"/>
  </r>
  <r>
    <s v="866-99-7614"/>
    <x v="1"/>
    <s v="Naypyitaw"/>
    <s v="Normal"/>
    <s v="Male"/>
    <s v="Food and beverages"/>
    <n v="89.2"/>
    <n v="10"/>
    <n v="44.6"/>
    <x v="558"/>
    <d v="2019-11-02T00:00:00"/>
    <d v="1899-12-30T15:42:00"/>
    <s v="Credit card"/>
    <n v="892"/>
    <n v="4.7619047620000003"/>
    <n v="44.6"/>
    <n v="4.4000000000000004"/>
    <d v="2019-02-11T00:00:00"/>
    <n v="2"/>
    <n v="15"/>
  </r>
  <r>
    <s v="134-54-4720"/>
    <x v="2"/>
    <s v="Mandalay"/>
    <s v="Normal"/>
    <s v="Female"/>
    <s v="Electronic accessories"/>
    <n v="42.42"/>
    <n v="8"/>
    <n v="16.968"/>
    <x v="559"/>
    <s v="1/30/2019"/>
    <d v="1899-12-30T13:58:00"/>
    <s v="Ewallet"/>
    <n v="339.36"/>
    <n v="4.7619047620000003"/>
    <n v="16.968"/>
    <n v="5.7"/>
    <d v="2019-01-30T00:00:00"/>
    <n v="1"/>
    <n v="13"/>
  </r>
  <r>
    <s v="760-90-2357"/>
    <x v="0"/>
    <s v="Yangon"/>
    <s v="Member"/>
    <s v="Male"/>
    <s v="Electronic accessories"/>
    <n v="74.510000000000005"/>
    <n v="6"/>
    <n v="22.353000000000002"/>
    <x v="560"/>
    <s v="3/20/2019"/>
    <d v="1899-12-30T15:08:00"/>
    <s v="Ewallet"/>
    <n v="447.06"/>
    <n v="4.7619047620000003"/>
    <n v="22.353000000000002"/>
    <n v="5"/>
    <d v="2019-03-20T00:00:00"/>
    <n v="3"/>
    <n v="15"/>
  </r>
  <r>
    <s v="514-37-2845"/>
    <x v="2"/>
    <s v="Mandalay"/>
    <s v="Normal"/>
    <s v="Male"/>
    <s v="Fashion accessories"/>
    <n v="99.25"/>
    <n v="2"/>
    <n v="9.9250000000000007"/>
    <x v="561"/>
    <s v="3/20/2019"/>
    <d v="1899-12-30T13:02:00"/>
    <s v="Cash"/>
    <n v="198.5"/>
    <n v="4.7619047620000003"/>
    <n v="9.9250000000000007"/>
    <n v="9"/>
    <d v="2019-03-20T00:00:00"/>
    <n v="3"/>
    <n v="13"/>
  </r>
  <r>
    <s v="698-98-5964"/>
    <x v="0"/>
    <s v="Yangon"/>
    <s v="Normal"/>
    <s v="Female"/>
    <s v="Food and beverages"/>
    <n v="81.209999999999994"/>
    <n v="10"/>
    <n v="40.604999999999997"/>
    <x v="562"/>
    <s v="1/17/2019"/>
    <d v="1899-12-30T13:01:00"/>
    <s v="Credit card"/>
    <n v="812.1"/>
    <n v="4.7619047620000003"/>
    <n v="40.604999999999997"/>
    <n v="6.3"/>
    <d v="2019-01-17T00:00:00"/>
    <n v="1"/>
    <n v="13"/>
  </r>
  <r>
    <s v="718-57-9773"/>
    <x v="1"/>
    <s v="Naypyitaw"/>
    <s v="Normal"/>
    <s v="Female"/>
    <s v="Sports and travel"/>
    <n v="49.33"/>
    <n v="10"/>
    <n v="24.664999999999999"/>
    <x v="563"/>
    <d v="2019-03-02T00:00:00"/>
    <d v="1899-12-30T16:40:00"/>
    <s v="Credit card"/>
    <n v="493.3"/>
    <n v="4.7619047620000003"/>
    <n v="24.664999999999999"/>
    <n v="9.4"/>
    <d v="2019-02-03T00:00:00"/>
    <n v="2"/>
    <n v="16"/>
  </r>
  <r>
    <s v="651-88-7328"/>
    <x v="0"/>
    <s v="Yangon"/>
    <s v="Normal"/>
    <s v="Female"/>
    <s v="Fashion accessories"/>
    <n v="65.739999999999995"/>
    <n v="9"/>
    <n v="29.582999999999998"/>
    <x v="564"/>
    <d v="2019-01-01T00:00:00"/>
    <d v="1899-12-30T13:55:00"/>
    <s v="Cash"/>
    <n v="591.66"/>
    <n v="4.7619047620000003"/>
    <n v="29.582999999999998"/>
    <n v="7.7"/>
    <d v="2019-01-01T00:00:00"/>
    <n v="1"/>
    <n v="13"/>
  </r>
  <r>
    <s v="241-11-2261"/>
    <x v="2"/>
    <s v="Mandalay"/>
    <s v="Normal"/>
    <s v="Female"/>
    <s v="Fashion accessories"/>
    <n v="79.86"/>
    <n v="7"/>
    <n v="27.951000000000001"/>
    <x v="565"/>
    <d v="2019-10-01T00:00:00"/>
    <d v="1899-12-30T10:33:00"/>
    <s v="Credit card"/>
    <n v="559.02"/>
    <n v="4.7619047620000003"/>
    <n v="27.951000000000001"/>
    <n v="5.5"/>
    <d v="2019-01-10T00:00:00"/>
    <n v="1"/>
    <n v="10"/>
  </r>
  <r>
    <s v="408-26-9866"/>
    <x v="1"/>
    <s v="Naypyitaw"/>
    <s v="Normal"/>
    <s v="Female"/>
    <s v="Sports and travel"/>
    <n v="73.98"/>
    <n v="7"/>
    <n v="25.893000000000001"/>
    <x v="566"/>
    <d v="2019-02-03T00:00:00"/>
    <d v="1899-12-30T16:42:00"/>
    <s v="Ewallet"/>
    <n v="517.86"/>
    <n v="4.7619047620000003"/>
    <n v="25.893000000000001"/>
    <n v="4.0999999999999996"/>
    <d v="2019-03-02T00:00:00"/>
    <n v="3"/>
    <n v="16"/>
  </r>
  <r>
    <s v="834-83-1826"/>
    <x v="2"/>
    <s v="Mandalay"/>
    <s v="Member"/>
    <s v="Female"/>
    <s v="Home and lifestyle"/>
    <n v="82.04"/>
    <n v="5"/>
    <n v="20.51"/>
    <x v="567"/>
    <s v="2/25/2019"/>
    <d v="1899-12-30T17:16:00"/>
    <s v="Credit card"/>
    <n v="410.2"/>
    <n v="4.7619047620000003"/>
    <n v="20.51"/>
    <n v="7.6"/>
    <d v="2019-02-25T00:00:00"/>
    <n v="2"/>
    <n v="17"/>
  </r>
  <r>
    <s v="343-61-3544"/>
    <x v="2"/>
    <s v="Mandalay"/>
    <s v="Member"/>
    <s v="Male"/>
    <s v="Sports and travel"/>
    <n v="26.67"/>
    <n v="10"/>
    <n v="13.335000000000001"/>
    <x v="568"/>
    <s v="1/29/2019"/>
    <d v="1899-12-30T11:48:00"/>
    <s v="Cash"/>
    <n v="266.7"/>
    <n v="4.7619047620000003"/>
    <n v="13.335000000000001"/>
    <n v="8.6"/>
    <d v="2019-01-29T00:00:00"/>
    <n v="1"/>
    <n v="11"/>
  </r>
  <r>
    <s v="239-48-4278"/>
    <x v="0"/>
    <s v="Yangon"/>
    <s v="Member"/>
    <s v="Male"/>
    <s v="Food and beverages"/>
    <n v="10.130000000000001"/>
    <n v="7"/>
    <n v="3.5455000000000001"/>
    <x v="569"/>
    <d v="2019-10-03T00:00:00"/>
    <d v="1899-12-30T19:35:00"/>
    <s v="Ewallet"/>
    <n v="70.91"/>
    <n v="4.7619047620000003"/>
    <n v="3.5455000000000001"/>
    <n v="8.3000000000000007"/>
    <d v="2019-03-10T00:00:00"/>
    <n v="3"/>
    <n v="19"/>
  </r>
  <r>
    <s v="355-34-6244"/>
    <x v="2"/>
    <s v="Mandalay"/>
    <s v="Normal"/>
    <s v="Male"/>
    <s v="Food and beverages"/>
    <n v="72.39"/>
    <n v="2"/>
    <n v="7.2389999999999999"/>
    <x v="570"/>
    <s v="1/13/2019"/>
    <d v="1899-12-30T19:55:00"/>
    <s v="Credit card"/>
    <n v="144.78"/>
    <n v="4.7619047620000003"/>
    <n v="7.2389999999999999"/>
    <n v="8.1"/>
    <d v="2019-01-13T00:00:00"/>
    <n v="1"/>
    <n v="19"/>
  </r>
  <r>
    <s v="550-84-8664"/>
    <x v="0"/>
    <s v="Yangon"/>
    <s v="Normal"/>
    <s v="Male"/>
    <s v="Sports and travel"/>
    <n v="85.91"/>
    <n v="5"/>
    <n v="21.477499999999999"/>
    <x v="571"/>
    <s v="3/22/2019"/>
    <d v="1899-12-30T14:33:00"/>
    <s v="Credit card"/>
    <n v="429.55"/>
    <n v="4.7619047620000003"/>
    <n v="21.477499999999999"/>
    <n v="8.6"/>
    <d v="2019-03-22T00:00:00"/>
    <n v="3"/>
    <n v="14"/>
  </r>
  <r>
    <s v="339-96-8318"/>
    <x v="2"/>
    <s v="Mandalay"/>
    <s v="Member"/>
    <s v="Male"/>
    <s v="Fashion accessories"/>
    <n v="81.31"/>
    <n v="7"/>
    <n v="28.458500000000001"/>
    <x v="572"/>
    <d v="2019-01-03T00:00:00"/>
    <d v="1899-12-30T19:49:00"/>
    <s v="Ewallet"/>
    <n v="569.16999999999996"/>
    <n v="4.7619047620000003"/>
    <n v="28.458500000000001"/>
    <n v="6.3"/>
    <d v="2019-03-01T00:00:00"/>
    <n v="3"/>
    <n v="19"/>
  </r>
  <r>
    <s v="458-61-0011"/>
    <x v="2"/>
    <s v="Mandalay"/>
    <s v="Normal"/>
    <s v="Male"/>
    <s v="Food and beverages"/>
    <n v="60.3"/>
    <n v="4"/>
    <n v="12.06"/>
    <x v="573"/>
    <s v="2/20/2019"/>
    <d v="1899-12-30T18:43:00"/>
    <s v="Cash"/>
    <n v="241.2"/>
    <n v="4.7619047620000003"/>
    <n v="12.06"/>
    <n v="5.8"/>
    <d v="2019-02-20T00:00:00"/>
    <n v="2"/>
    <n v="18"/>
  </r>
  <r>
    <s v="592-34-6155"/>
    <x v="1"/>
    <s v="Naypyitaw"/>
    <s v="Normal"/>
    <s v="Male"/>
    <s v="Food and beverages"/>
    <n v="31.77"/>
    <n v="4"/>
    <n v="6.3540000000000001"/>
    <x v="574"/>
    <s v="1/14/2019"/>
    <d v="1899-12-30T14:43:00"/>
    <s v="Ewallet"/>
    <n v="127.08"/>
    <n v="4.7619047620000003"/>
    <n v="6.3540000000000001"/>
    <n v="6.2"/>
    <d v="2019-01-14T00:00:00"/>
    <n v="1"/>
    <n v="14"/>
  </r>
  <r>
    <s v="797-88-0493"/>
    <x v="0"/>
    <s v="Yangon"/>
    <s v="Normal"/>
    <s v="Female"/>
    <s v="Health and beauty"/>
    <n v="64.27"/>
    <n v="4"/>
    <n v="12.853999999999999"/>
    <x v="575"/>
    <s v="3/26/2019"/>
    <d v="1899-12-30T13:54:00"/>
    <s v="Cash"/>
    <n v="257.08"/>
    <n v="4.7619047620000003"/>
    <n v="12.853999999999999"/>
    <n v="7.7"/>
    <d v="2019-03-26T00:00:00"/>
    <n v="3"/>
    <n v="13"/>
  </r>
  <r>
    <s v="207-73-1363"/>
    <x v="2"/>
    <s v="Mandalay"/>
    <s v="Normal"/>
    <s v="Male"/>
    <s v="Health and beauty"/>
    <n v="69.510000000000005"/>
    <n v="2"/>
    <n v="6.9509999999999996"/>
    <x v="576"/>
    <d v="2019-01-03T00:00:00"/>
    <d v="1899-12-30T12:15:00"/>
    <s v="Ewallet"/>
    <n v="139.02000000000001"/>
    <n v="4.7619047620000003"/>
    <n v="6.9509999999999996"/>
    <n v="8.1"/>
    <d v="2019-03-01T00:00:00"/>
    <n v="3"/>
    <n v="12"/>
  </r>
  <r>
    <s v="390-31-6381"/>
    <x v="1"/>
    <s v="Naypyitaw"/>
    <s v="Normal"/>
    <s v="Male"/>
    <s v="Food and beverages"/>
    <n v="27.22"/>
    <n v="3"/>
    <n v="4.0830000000000002"/>
    <x v="577"/>
    <d v="2019-07-01T00:00:00"/>
    <d v="1899-12-30T12:37:00"/>
    <s v="Cash"/>
    <n v="81.66"/>
    <n v="4.7619047620000003"/>
    <n v="4.0830000000000002"/>
    <n v="7.3"/>
    <d v="2019-01-07T00:00:00"/>
    <n v="1"/>
    <n v="12"/>
  </r>
  <r>
    <s v="443-82-0585"/>
    <x v="0"/>
    <s v="Yangon"/>
    <s v="Member"/>
    <s v="Female"/>
    <s v="Health and beauty"/>
    <n v="77.680000000000007"/>
    <n v="4"/>
    <n v="15.536"/>
    <x v="578"/>
    <d v="2019-01-02T00:00:00"/>
    <d v="1899-12-30T19:54:00"/>
    <s v="Cash"/>
    <n v="310.72000000000003"/>
    <n v="4.7619047620000003"/>
    <n v="15.536"/>
    <n v="8.4"/>
    <d v="2019-02-01T00:00:00"/>
    <n v="2"/>
    <n v="19"/>
  </r>
  <r>
    <s v="339-18-7061"/>
    <x v="1"/>
    <s v="Naypyitaw"/>
    <s v="Member"/>
    <s v="Female"/>
    <s v="Fashion accessories"/>
    <n v="92.98"/>
    <n v="2"/>
    <n v="9.298"/>
    <x v="579"/>
    <s v="2/13/2019"/>
    <d v="1899-12-30T15:06:00"/>
    <s v="Credit card"/>
    <n v="185.96"/>
    <n v="4.7619047620000003"/>
    <n v="9.298"/>
    <n v="8"/>
    <d v="2019-02-13T00:00:00"/>
    <n v="2"/>
    <n v="15"/>
  </r>
  <r>
    <s v="359-90-3665"/>
    <x v="2"/>
    <s v="Mandalay"/>
    <s v="Member"/>
    <s v="Female"/>
    <s v="Fashion accessories"/>
    <n v="18.079999999999998"/>
    <n v="4"/>
    <n v="3.6160000000000001"/>
    <x v="580"/>
    <s v="1/14/2019"/>
    <d v="1899-12-30T18:03:00"/>
    <s v="Credit card"/>
    <n v="72.319999999999993"/>
    <n v="4.7619047620000003"/>
    <n v="3.6160000000000001"/>
    <n v="9.5"/>
    <d v="2019-01-14T00:00:00"/>
    <n v="1"/>
    <n v="18"/>
  </r>
  <r>
    <s v="375-72-3056"/>
    <x v="2"/>
    <s v="Mandalay"/>
    <s v="Normal"/>
    <s v="Male"/>
    <s v="Sports and travel"/>
    <n v="63.06"/>
    <n v="3"/>
    <n v="9.4589999999999996"/>
    <x v="581"/>
    <s v="1/19/2019"/>
    <d v="1899-12-30T15:58:00"/>
    <s v="Ewallet"/>
    <n v="189.18"/>
    <n v="4.7619047620000003"/>
    <n v="9.4589999999999996"/>
    <n v="7"/>
    <d v="2019-01-19T00:00:00"/>
    <n v="1"/>
    <n v="15"/>
  </r>
  <r>
    <s v="127-47-6963"/>
    <x v="0"/>
    <s v="Yangon"/>
    <s v="Normal"/>
    <s v="Male"/>
    <s v="Health and beauty"/>
    <n v="51.71"/>
    <n v="4"/>
    <n v="10.342000000000001"/>
    <x v="582"/>
    <d v="2019-09-03T00:00:00"/>
    <d v="1899-12-30T13:53:00"/>
    <s v="Credit card"/>
    <n v="206.84"/>
    <n v="4.7619047620000003"/>
    <n v="10.342000000000001"/>
    <n v="9.8000000000000007"/>
    <d v="2019-03-09T00:00:00"/>
    <n v="3"/>
    <n v="13"/>
  </r>
  <r>
    <s v="278-86-2735"/>
    <x v="0"/>
    <s v="Yangon"/>
    <s v="Normal"/>
    <s v="Female"/>
    <s v="Food and beverages"/>
    <n v="52.34"/>
    <n v="3"/>
    <n v="7.851"/>
    <x v="583"/>
    <s v="3/27/2019"/>
    <d v="1899-12-30T14:03:00"/>
    <s v="Cash"/>
    <n v="157.02000000000001"/>
    <n v="4.7619047620000003"/>
    <n v="7.851"/>
    <n v="9.1999999999999993"/>
    <d v="2019-03-27T00:00:00"/>
    <n v="3"/>
    <n v="14"/>
  </r>
  <r>
    <s v="695-28-6250"/>
    <x v="0"/>
    <s v="Yangon"/>
    <s v="Normal"/>
    <s v="Female"/>
    <s v="Sports and travel"/>
    <n v="43.06"/>
    <n v="5"/>
    <n v="10.765000000000001"/>
    <x v="584"/>
    <d v="2019-04-02T00:00:00"/>
    <d v="1899-12-30T16:38:00"/>
    <s v="Ewallet"/>
    <n v="215.3"/>
    <n v="4.7619047620000003"/>
    <n v="10.765000000000001"/>
    <n v="7.7"/>
    <d v="2019-02-04T00:00:00"/>
    <n v="2"/>
    <n v="16"/>
  </r>
  <r>
    <s v="379-17-6588"/>
    <x v="1"/>
    <s v="Naypyitaw"/>
    <s v="Normal"/>
    <s v="Male"/>
    <s v="Fashion accessories"/>
    <n v="59.61"/>
    <n v="10"/>
    <n v="29.805"/>
    <x v="585"/>
    <s v="3/14/2019"/>
    <d v="1899-12-30T11:07:00"/>
    <s v="Cash"/>
    <n v="596.1"/>
    <n v="4.7619047620000003"/>
    <n v="29.805"/>
    <n v="5.3"/>
    <d v="2019-03-14T00:00:00"/>
    <n v="3"/>
    <n v="11"/>
  </r>
  <r>
    <s v="227-50-3718"/>
    <x v="0"/>
    <s v="Yangon"/>
    <s v="Normal"/>
    <s v="Male"/>
    <s v="Health and beauty"/>
    <n v="14.62"/>
    <n v="5"/>
    <n v="3.6549999999999998"/>
    <x v="586"/>
    <d v="2019-04-03T00:00:00"/>
    <d v="1899-12-30T12:23:00"/>
    <s v="Cash"/>
    <n v="73.099999999999994"/>
    <n v="4.7619047620000003"/>
    <n v="3.6549999999999998"/>
    <n v="4.4000000000000004"/>
    <d v="2019-03-04T00:00:00"/>
    <n v="3"/>
    <n v="12"/>
  </r>
  <r>
    <s v="302-15-2162"/>
    <x v="1"/>
    <s v="Naypyitaw"/>
    <s v="Member"/>
    <s v="Male"/>
    <s v="Health and beauty"/>
    <n v="46.53"/>
    <n v="6"/>
    <n v="13.959"/>
    <x v="587"/>
    <d v="2019-03-03T00:00:00"/>
    <d v="1899-12-30T10:54:00"/>
    <s v="Credit card"/>
    <n v="279.18"/>
    <n v="4.7619047620000003"/>
    <n v="13.959"/>
    <n v="4.3"/>
    <d v="2019-03-03T00:00:00"/>
    <n v="3"/>
    <n v="10"/>
  </r>
  <r>
    <s v="788-07-8452"/>
    <x v="1"/>
    <s v="Naypyitaw"/>
    <s v="Member"/>
    <s v="Female"/>
    <s v="Home and lifestyle"/>
    <n v="24.24"/>
    <n v="7"/>
    <n v="8.484"/>
    <x v="588"/>
    <s v="1/27/2019"/>
    <d v="1899-12-30T17:38:00"/>
    <s v="Ewallet"/>
    <n v="169.68"/>
    <n v="4.7619047620000003"/>
    <n v="8.484"/>
    <n v="9.4"/>
    <d v="2019-01-27T00:00:00"/>
    <n v="1"/>
    <n v="17"/>
  </r>
  <r>
    <s v="560-49-6611"/>
    <x v="0"/>
    <s v="Yangon"/>
    <s v="Member"/>
    <s v="Female"/>
    <s v="Sports and travel"/>
    <n v="45.58"/>
    <n v="1"/>
    <n v="2.2789999999999999"/>
    <x v="589"/>
    <d v="2019-07-02T00:00:00"/>
    <d v="1899-12-30T14:13:00"/>
    <s v="Cash"/>
    <n v="45.58"/>
    <n v="4.7619047620000003"/>
    <n v="2.2789999999999999"/>
    <n v="9.8000000000000007"/>
    <d v="2019-02-07T00:00:00"/>
    <n v="2"/>
    <n v="14"/>
  </r>
  <r>
    <s v="880-35-0356"/>
    <x v="0"/>
    <s v="Yangon"/>
    <s v="Member"/>
    <s v="Female"/>
    <s v="Sports and travel"/>
    <n v="75.2"/>
    <n v="3"/>
    <n v="11.28"/>
    <x v="590"/>
    <d v="2019-05-02T00:00:00"/>
    <d v="1899-12-30T11:51:00"/>
    <s v="Ewallet"/>
    <n v="225.6"/>
    <n v="4.7619047620000003"/>
    <n v="11.28"/>
    <n v="4.8"/>
    <d v="2019-02-05T00:00:00"/>
    <n v="2"/>
    <n v="11"/>
  </r>
  <r>
    <s v="585-11-6748"/>
    <x v="2"/>
    <s v="Mandalay"/>
    <s v="Member"/>
    <s v="Male"/>
    <s v="Sports and travel"/>
    <n v="96.8"/>
    <n v="3"/>
    <n v="14.52"/>
    <x v="591"/>
    <s v="3/15/2019"/>
    <d v="1899-12-30T13:05:00"/>
    <s v="Cash"/>
    <n v="290.39999999999998"/>
    <n v="4.7619047620000003"/>
    <n v="14.52"/>
    <n v="5.3"/>
    <d v="2019-03-15T00:00:00"/>
    <n v="3"/>
    <n v="13"/>
  </r>
  <r>
    <s v="470-31-3286"/>
    <x v="2"/>
    <s v="Mandalay"/>
    <s v="Normal"/>
    <s v="Male"/>
    <s v="Health and beauty"/>
    <n v="14.82"/>
    <n v="3"/>
    <n v="2.2229999999999999"/>
    <x v="592"/>
    <d v="2019-01-03T00:00:00"/>
    <d v="1899-12-30T11:30:00"/>
    <s v="Credit card"/>
    <n v="44.46"/>
    <n v="4.7619047620000003"/>
    <n v="2.2229999999999999"/>
    <n v="8.6999999999999993"/>
    <d v="2019-03-01T00:00:00"/>
    <n v="3"/>
    <n v="11"/>
  </r>
  <r>
    <s v="152-68-2907"/>
    <x v="0"/>
    <s v="Yangon"/>
    <s v="Normal"/>
    <s v="Male"/>
    <s v="Food and beverages"/>
    <n v="52.2"/>
    <n v="3"/>
    <n v="7.83"/>
    <x v="593"/>
    <s v="2/15/2019"/>
    <d v="1899-12-30T13:30:00"/>
    <s v="Credit card"/>
    <n v="156.6"/>
    <n v="4.7619047620000003"/>
    <n v="7.83"/>
    <n v="9.5"/>
    <d v="2019-02-15T00:00:00"/>
    <n v="2"/>
    <n v="13"/>
  </r>
  <r>
    <s v="123-35-4896"/>
    <x v="1"/>
    <s v="Naypyitaw"/>
    <s v="Normal"/>
    <s v="Female"/>
    <s v="Sports and travel"/>
    <n v="46.66"/>
    <n v="9"/>
    <n v="20.997"/>
    <x v="594"/>
    <s v="2/17/2019"/>
    <d v="1899-12-30T19:11:00"/>
    <s v="Ewallet"/>
    <n v="419.94"/>
    <n v="4.7619047620000003"/>
    <n v="20.997"/>
    <n v="5.3"/>
    <d v="2019-02-17T00:00:00"/>
    <n v="2"/>
    <n v="19"/>
  </r>
  <r>
    <s v="258-69-7810"/>
    <x v="1"/>
    <s v="Naypyitaw"/>
    <s v="Normal"/>
    <s v="Female"/>
    <s v="Fashion accessories"/>
    <n v="36.85"/>
    <n v="5"/>
    <n v="9.2125000000000004"/>
    <x v="595"/>
    <s v="1/26/2019"/>
    <d v="1899-12-30T18:53:00"/>
    <s v="Cash"/>
    <n v="184.25"/>
    <n v="4.7619047620000003"/>
    <n v="9.2125000000000004"/>
    <n v="9.1999999999999993"/>
    <d v="2019-01-26T00:00:00"/>
    <n v="1"/>
    <n v="18"/>
  </r>
  <r>
    <s v="334-64-2006"/>
    <x v="0"/>
    <s v="Yangon"/>
    <s v="Member"/>
    <s v="Female"/>
    <s v="Home and lifestyle"/>
    <n v="70.319999999999993"/>
    <n v="2"/>
    <n v="7.032"/>
    <x v="596"/>
    <s v="3/24/2019"/>
    <d v="1899-12-30T14:22:00"/>
    <s v="Ewallet"/>
    <n v="140.63999999999999"/>
    <n v="4.7619047620000003"/>
    <n v="7.032"/>
    <n v="9.6"/>
    <d v="2019-03-24T00:00:00"/>
    <n v="3"/>
    <n v="14"/>
  </r>
  <r>
    <s v="219-61-4139"/>
    <x v="1"/>
    <s v="Naypyitaw"/>
    <s v="Normal"/>
    <s v="Male"/>
    <s v="Electronic accessories"/>
    <n v="83.08"/>
    <n v="1"/>
    <n v="4.1539999999999999"/>
    <x v="451"/>
    <s v="1/23/2019"/>
    <d v="1899-12-30T17:16:00"/>
    <s v="Ewallet"/>
    <n v="83.08"/>
    <n v="4.7619047620000003"/>
    <n v="4.1539999999999999"/>
    <n v="6.4"/>
    <d v="2019-01-23T00:00:00"/>
    <n v="1"/>
    <n v="17"/>
  </r>
  <r>
    <s v="881-41-7302"/>
    <x v="1"/>
    <s v="Naypyitaw"/>
    <s v="Normal"/>
    <s v="Female"/>
    <s v="Fashion accessories"/>
    <n v="64.989999999999995"/>
    <n v="1"/>
    <n v="3.2494999999999998"/>
    <x v="597"/>
    <s v="1/26/2019"/>
    <d v="1899-12-30T10:06:00"/>
    <s v="Credit card"/>
    <n v="64.989999999999995"/>
    <n v="4.7619047620000003"/>
    <n v="3.2494999999999998"/>
    <n v="4.5"/>
    <d v="2019-01-26T00:00:00"/>
    <n v="1"/>
    <n v="10"/>
  </r>
  <r>
    <s v="373-09-4567"/>
    <x v="1"/>
    <s v="Naypyitaw"/>
    <s v="Normal"/>
    <s v="Male"/>
    <s v="Food and beverages"/>
    <n v="77.56"/>
    <n v="10"/>
    <n v="38.78"/>
    <x v="598"/>
    <s v="3/14/2019"/>
    <d v="1899-12-30T20:35:00"/>
    <s v="Ewallet"/>
    <n v="775.6"/>
    <n v="4.7619047620000003"/>
    <n v="38.78"/>
    <n v="6.9"/>
    <d v="2019-03-14T00:00:00"/>
    <n v="3"/>
    <n v="20"/>
  </r>
  <r>
    <s v="642-30-6693"/>
    <x v="2"/>
    <s v="Mandalay"/>
    <s v="Normal"/>
    <s v="Female"/>
    <s v="Sports and travel"/>
    <n v="54.51"/>
    <n v="6"/>
    <n v="16.353000000000002"/>
    <x v="599"/>
    <s v="3/17/2019"/>
    <d v="1899-12-30T13:54:00"/>
    <s v="Ewallet"/>
    <n v="327.06"/>
    <n v="4.7619047620000003"/>
    <n v="16.353000000000002"/>
    <n v="7.8"/>
    <d v="2019-03-17T00:00:00"/>
    <n v="3"/>
    <n v="13"/>
  </r>
  <r>
    <s v="484-22-8230"/>
    <x v="1"/>
    <s v="Naypyitaw"/>
    <s v="Member"/>
    <s v="Female"/>
    <s v="Fashion accessories"/>
    <n v="51.89"/>
    <n v="7"/>
    <n v="18.1615"/>
    <x v="600"/>
    <d v="2019-08-01T00:00:00"/>
    <d v="1899-12-30T20:08:00"/>
    <s v="Cash"/>
    <n v="363.23"/>
    <n v="4.7619047620000003"/>
    <n v="18.1615"/>
    <n v="4.5"/>
    <d v="2019-01-08T00:00:00"/>
    <n v="1"/>
    <n v="20"/>
  </r>
  <r>
    <s v="830-58-2383"/>
    <x v="2"/>
    <s v="Mandalay"/>
    <s v="Normal"/>
    <s v="Male"/>
    <s v="Home and lifestyle"/>
    <n v="31.75"/>
    <n v="4"/>
    <n v="6.35"/>
    <x v="601"/>
    <d v="2019-08-02T00:00:00"/>
    <d v="1899-12-30T15:26:00"/>
    <s v="Cash"/>
    <n v="127"/>
    <n v="4.7619047620000003"/>
    <n v="6.35"/>
    <n v="8.6"/>
    <d v="2019-02-08T00:00:00"/>
    <n v="2"/>
    <n v="15"/>
  </r>
  <r>
    <s v="559-98-9873"/>
    <x v="0"/>
    <s v="Yangon"/>
    <s v="Member"/>
    <s v="Female"/>
    <s v="Fashion accessories"/>
    <n v="53.65"/>
    <n v="7"/>
    <n v="18.7775"/>
    <x v="602"/>
    <d v="2019-10-02T00:00:00"/>
    <d v="1899-12-30T12:56:00"/>
    <s v="Ewallet"/>
    <n v="375.55"/>
    <n v="4.7619047620000003"/>
    <n v="18.7775"/>
    <n v="5.2"/>
    <d v="2019-02-10T00:00:00"/>
    <n v="2"/>
    <n v="12"/>
  </r>
  <r>
    <s v="544-32-5024"/>
    <x v="1"/>
    <s v="Naypyitaw"/>
    <s v="Member"/>
    <s v="Female"/>
    <s v="Food and beverages"/>
    <n v="49.79"/>
    <n v="4"/>
    <n v="9.9580000000000002"/>
    <x v="603"/>
    <s v="3/28/2019"/>
    <d v="1899-12-30T19:16:00"/>
    <s v="Credit card"/>
    <n v="199.16"/>
    <n v="4.7619047620000003"/>
    <n v="9.9580000000000002"/>
    <n v="6.4"/>
    <d v="2019-03-28T00:00:00"/>
    <n v="3"/>
    <n v="19"/>
  </r>
  <r>
    <s v="318-12-0304"/>
    <x v="0"/>
    <s v="Yangon"/>
    <s v="Normal"/>
    <s v="Male"/>
    <s v="Fashion accessories"/>
    <n v="30.61"/>
    <n v="1"/>
    <n v="1.5305"/>
    <x v="604"/>
    <s v="1/23/2019"/>
    <d v="1899-12-30T12:20:00"/>
    <s v="Ewallet"/>
    <n v="30.61"/>
    <n v="4.7619047620000003"/>
    <n v="1.5305"/>
    <n v="5.2"/>
    <d v="2019-01-23T00:00:00"/>
    <n v="1"/>
    <n v="12"/>
  </r>
  <r>
    <s v="349-97-8902"/>
    <x v="2"/>
    <s v="Mandalay"/>
    <s v="Member"/>
    <s v="Male"/>
    <s v="Food and beverages"/>
    <n v="57.89"/>
    <n v="2"/>
    <n v="5.7889999999999997"/>
    <x v="605"/>
    <s v="1/17/2019"/>
    <d v="1899-12-30T10:37:00"/>
    <s v="Ewallet"/>
    <n v="115.78"/>
    <n v="4.7619047620000003"/>
    <n v="5.7889999999999997"/>
    <n v="8.9"/>
    <d v="2019-01-17T00:00:00"/>
    <n v="1"/>
    <n v="10"/>
  </r>
  <r>
    <s v="421-95-9805"/>
    <x v="0"/>
    <s v="Yangon"/>
    <s v="Normal"/>
    <s v="Female"/>
    <s v="Electronic accessories"/>
    <n v="28.96"/>
    <n v="1"/>
    <n v="1.448"/>
    <x v="606"/>
    <d v="2019-07-02T00:00:00"/>
    <d v="1899-12-30T10:18:00"/>
    <s v="Credit card"/>
    <n v="28.96"/>
    <n v="4.7619047620000003"/>
    <n v="1.448"/>
    <n v="6.2"/>
    <d v="2019-02-07T00:00:00"/>
    <n v="2"/>
    <n v="10"/>
  </r>
  <r>
    <s v="277-35-5865"/>
    <x v="1"/>
    <s v="Naypyitaw"/>
    <s v="Member"/>
    <s v="Female"/>
    <s v="Food and beverages"/>
    <n v="98.97"/>
    <n v="9"/>
    <n v="44.536499999999997"/>
    <x v="607"/>
    <d v="2019-09-03T00:00:00"/>
    <d v="1899-12-30T11:23:00"/>
    <s v="Cash"/>
    <n v="890.73"/>
    <n v="4.7619047620000003"/>
    <n v="44.536499999999997"/>
    <n v="6.7"/>
    <d v="2019-03-09T00:00:00"/>
    <n v="3"/>
    <n v="11"/>
  </r>
  <r>
    <s v="789-23-8625"/>
    <x v="2"/>
    <s v="Mandalay"/>
    <s v="Member"/>
    <s v="Male"/>
    <s v="Fashion accessories"/>
    <n v="93.22"/>
    <n v="3"/>
    <n v="13.983000000000001"/>
    <x v="608"/>
    <s v="1/24/2019"/>
    <d v="1899-12-30T11:45:00"/>
    <s v="Cash"/>
    <n v="279.66000000000003"/>
    <n v="4.7619047620000003"/>
    <n v="13.983000000000001"/>
    <n v="7.2"/>
    <d v="2019-01-24T00:00:00"/>
    <n v="1"/>
    <n v="11"/>
  </r>
  <r>
    <s v="284-54-4231"/>
    <x v="1"/>
    <s v="Naypyitaw"/>
    <s v="Member"/>
    <s v="Male"/>
    <s v="Sports and travel"/>
    <n v="80.930000000000007"/>
    <n v="1"/>
    <n v="4.0465"/>
    <x v="609"/>
    <s v="1/19/2019"/>
    <d v="1899-12-30T16:08:00"/>
    <s v="Credit card"/>
    <n v="80.930000000000007"/>
    <n v="4.7619047620000003"/>
    <n v="4.0465"/>
    <n v="9"/>
    <d v="2019-01-19T00:00:00"/>
    <n v="1"/>
    <n v="16"/>
  </r>
  <r>
    <s v="443-59-0061"/>
    <x v="0"/>
    <s v="Yangon"/>
    <s v="Member"/>
    <s v="Male"/>
    <s v="Food and beverages"/>
    <n v="67.45"/>
    <n v="10"/>
    <n v="33.725000000000001"/>
    <x v="610"/>
    <d v="2019-03-02T00:00:00"/>
    <d v="1899-12-30T11:25:00"/>
    <s v="Ewallet"/>
    <n v="674.5"/>
    <n v="4.7619047620000003"/>
    <n v="33.725000000000001"/>
    <n v="4.2"/>
    <d v="2019-02-03T00:00:00"/>
    <n v="2"/>
    <n v="11"/>
  </r>
  <r>
    <s v="509-29-3912"/>
    <x v="0"/>
    <s v="Yangon"/>
    <s v="Member"/>
    <s v="Female"/>
    <s v="Sports and travel"/>
    <n v="38.72"/>
    <n v="9"/>
    <n v="17.423999999999999"/>
    <x v="611"/>
    <s v="3/20/2019"/>
    <d v="1899-12-30T12:24:00"/>
    <s v="Ewallet"/>
    <n v="348.48"/>
    <n v="4.7619047620000003"/>
    <n v="17.423999999999999"/>
    <n v="4.2"/>
    <d v="2019-03-20T00:00:00"/>
    <n v="3"/>
    <n v="12"/>
  </r>
  <r>
    <s v="327-40-9673"/>
    <x v="2"/>
    <s v="Mandalay"/>
    <s v="Member"/>
    <s v="Male"/>
    <s v="Sports and travel"/>
    <n v="72.599999999999994"/>
    <n v="6"/>
    <n v="21.78"/>
    <x v="612"/>
    <s v="1/13/2019"/>
    <d v="1899-12-30T19:51:00"/>
    <s v="Cash"/>
    <n v="435.6"/>
    <n v="4.7619047620000003"/>
    <n v="21.78"/>
    <n v="6.9"/>
    <d v="2019-01-13T00:00:00"/>
    <n v="1"/>
    <n v="19"/>
  </r>
  <r>
    <s v="840-19-2096"/>
    <x v="1"/>
    <s v="Naypyitaw"/>
    <s v="Member"/>
    <s v="Male"/>
    <s v="Electronic accessories"/>
    <n v="87.91"/>
    <n v="5"/>
    <n v="21.977499999999999"/>
    <x v="613"/>
    <s v="3/14/2019"/>
    <d v="1899-12-30T18:10:00"/>
    <s v="Ewallet"/>
    <n v="439.55"/>
    <n v="4.7619047620000003"/>
    <n v="21.977499999999999"/>
    <n v="4.4000000000000004"/>
    <d v="2019-03-14T00:00:00"/>
    <n v="3"/>
    <n v="18"/>
  </r>
  <r>
    <s v="828-46-6863"/>
    <x v="0"/>
    <s v="Yangon"/>
    <s v="Member"/>
    <s v="Male"/>
    <s v="Food and beverages"/>
    <n v="98.53"/>
    <n v="6"/>
    <n v="29.559000000000001"/>
    <x v="614"/>
    <s v="1/23/2019"/>
    <d v="1899-12-30T11:22:00"/>
    <s v="Credit card"/>
    <n v="591.17999999999995"/>
    <n v="4.7619047620000003"/>
    <n v="29.559000000000001"/>
    <n v="4"/>
    <d v="2019-01-23T00:00:00"/>
    <n v="1"/>
    <n v="11"/>
  </r>
  <r>
    <s v="641-96-3695"/>
    <x v="1"/>
    <s v="Naypyitaw"/>
    <s v="Member"/>
    <s v="Female"/>
    <s v="Fashion accessories"/>
    <n v="43.46"/>
    <n v="6"/>
    <n v="13.038"/>
    <x v="615"/>
    <d v="2019-07-02T00:00:00"/>
    <d v="1899-12-30T17:55:00"/>
    <s v="Ewallet"/>
    <n v="260.76"/>
    <n v="4.7619047620000003"/>
    <n v="13.038"/>
    <n v="8.5"/>
    <d v="2019-02-07T00:00:00"/>
    <n v="2"/>
    <n v="17"/>
  </r>
  <r>
    <s v="420-97-3340"/>
    <x v="0"/>
    <s v="Yangon"/>
    <s v="Normal"/>
    <s v="Female"/>
    <s v="Food and beverages"/>
    <n v="71.680000000000007"/>
    <n v="3"/>
    <n v="10.752000000000001"/>
    <x v="616"/>
    <s v="3/28/2019"/>
    <d v="1899-12-30T15:30:00"/>
    <s v="Credit card"/>
    <n v="215.04"/>
    <n v="4.7619047620000003"/>
    <n v="10.752000000000001"/>
    <n v="9.1999999999999993"/>
    <d v="2019-03-28T00:00:00"/>
    <n v="3"/>
    <n v="15"/>
  </r>
  <r>
    <s v="436-54-4512"/>
    <x v="0"/>
    <s v="Yangon"/>
    <s v="Member"/>
    <s v="Female"/>
    <s v="Food and beverages"/>
    <n v="91.61"/>
    <n v="1"/>
    <n v="4.5804999999999998"/>
    <x v="617"/>
    <s v="3/20/2019"/>
    <d v="1899-12-30T19:44:00"/>
    <s v="Cash"/>
    <n v="91.61"/>
    <n v="4.7619047620000003"/>
    <n v="4.5804999999999998"/>
    <n v="9.8000000000000007"/>
    <d v="2019-03-20T00:00:00"/>
    <n v="3"/>
    <n v="19"/>
  </r>
  <r>
    <s v="670-79-6321"/>
    <x v="2"/>
    <s v="Mandalay"/>
    <s v="Member"/>
    <s v="Female"/>
    <s v="Home and lifestyle"/>
    <n v="94.59"/>
    <n v="7"/>
    <n v="33.106499999999997"/>
    <x v="618"/>
    <s v="1/17/2019"/>
    <d v="1899-12-30T15:27:00"/>
    <s v="Credit card"/>
    <n v="662.13"/>
    <n v="4.7619047620000003"/>
    <n v="33.106499999999997"/>
    <n v="4.9000000000000004"/>
    <d v="2019-01-17T00:00:00"/>
    <n v="1"/>
    <n v="15"/>
  </r>
  <r>
    <s v="852-62-7105"/>
    <x v="2"/>
    <s v="Mandalay"/>
    <s v="Normal"/>
    <s v="Female"/>
    <s v="Fashion accessories"/>
    <n v="83.25"/>
    <n v="10"/>
    <n v="41.625"/>
    <x v="619"/>
    <d v="2019-12-01T00:00:00"/>
    <d v="1899-12-30T11:25:00"/>
    <s v="Credit card"/>
    <n v="832.5"/>
    <n v="4.7619047620000003"/>
    <n v="41.625"/>
    <n v="4.4000000000000004"/>
    <d v="2019-01-12T00:00:00"/>
    <n v="1"/>
    <n v="11"/>
  </r>
  <r>
    <s v="598-06-7312"/>
    <x v="2"/>
    <s v="Mandalay"/>
    <s v="Member"/>
    <s v="Male"/>
    <s v="Fashion accessories"/>
    <n v="91.35"/>
    <n v="1"/>
    <n v="4.5674999999999999"/>
    <x v="620"/>
    <s v="2/16/2019"/>
    <d v="1899-12-30T15:42:00"/>
    <s v="Cash"/>
    <n v="91.35"/>
    <n v="4.7619047620000003"/>
    <n v="4.5674999999999999"/>
    <n v="6.8"/>
    <d v="2019-02-16T00:00:00"/>
    <n v="2"/>
    <n v="15"/>
  </r>
  <r>
    <s v="135-13-8269"/>
    <x v="2"/>
    <s v="Mandalay"/>
    <s v="Member"/>
    <s v="Female"/>
    <s v="Food and beverages"/>
    <n v="78.88"/>
    <n v="2"/>
    <n v="7.8879999999999999"/>
    <x v="621"/>
    <s v="1/26/2019"/>
    <d v="1899-12-30T16:04:00"/>
    <s v="Cash"/>
    <n v="157.76"/>
    <n v="4.7619047620000003"/>
    <n v="7.8879999999999999"/>
    <n v="9.1"/>
    <d v="2019-01-26T00:00:00"/>
    <n v="1"/>
    <n v="16"/>
  </r>
  <r>
    <s v="816-57-2053"/>
    <x v="0"/>
    <s v="Yangon"/>
    <s v="Normal"/>
    <s v="Male"/>
    <s v="Sports and travel"/>
    <n v="60.87"/>
    <n v="2"/>
    <n v="6.0869999999999997"/>
    <x v="622"/>
    <d v="2019-09-03T00:00:00"/>
    <d v="1899-12-30T12:37:00"/>
    <s v="Ewallet"/>
    <n v="121.74"/>
    <n v="4.7619047620000003"/>
    <n v="6.0869999999999997"/>
    <n v="8.6999999999999993"/>
    <d v="2019-03-09T00:00:00"/>
    <n v="3"/>
    <n v="12"/>
  </r>
  <r>
    <s v="628-90-8624"/>
    <x v="2"/>
    <s v="Mandalay"/>
    <s v="Member"/>
    <s v="Male"/>
    <s v="Health and beauty"/>
    <n v="82.58"/>
    <n v="10"/>
    <n v="41.29"/>
    <x v="623"/>
    <s v="3/14/2019"/>
    <d v="1899-12-30T14:41:00"/>
    <s v="Cash"/>
    <n v="825.8"/>
    <n v="4.7619047620000003"/>
    <n v="41.29"/>
    <n v="5"/>
    <d v="2019-03-14T00:00:00"/>
    <n v="3"/>
    <n v="14"/>
  </r>
  <r>
    <s v="856-66-2701"/>
    <x v="0"/>
    <s v="Yangon"/>
    <s v="Member"/>
    <s v="Male"/>
    <s v="Home and lifestyle"/>
    <n v="53.3"/>
    <n v="3"/>
    <n v="7.9950000000000001"/>
    <x v="624"/>
    <s v="1/25/2019"/>
    <d v="1899-12-30T14:19:00"/>
    <s v="Ewallet"/>
    <n v="159.9"/>
    <n v="4.7619047620000003"/>
    <n v="7.9950000000000001"/>
    <n v="7.5"/>
    <d v="2019-01-25T00:00:00"/>
    <n v="1"/>
    <n v="14"/>
  </r>
  <r>
    <s v="308-39-1707"/>
    <x v="0"/>
    <s v="Yangon"/>
    <s v="Normal"/>
    <s v="Female"/>
    <s v="Fashion accessories"/>
    <n v="12.09"/>
    <n v="1"/>
    <n v="0.60450000000000004"/>
    <x v="625"/>
    <s v="1/26/2019"/>
    <d v="1899-12-30T18:19:00"/>
    <s v="Credit card"/>
    <n v="12.09"/>
    <n v="4.7619047620000003"/>
    <n v="0.60450000000000004"/>
    <n v="8.1999999999999993"/>
    <d v="2019-01-26T00:00:00"/>
    <n v="1"/>
    <n v="18"/>
  </r>
  <r>
    <s v="149-61-1929"/>
    <x v="0"/>
    <s v="Yangon"/>
    <s v="Normal"/>
    <s v="Male"/>
    <s v="Sports and travel"/>
    <n v="64.19"/>
    <n v="10"/>
    <n v="32.094999999999999"/>
    <x v="626"/>
    <s v="1/19/2019"/>
    <d v="1899-12-30T14:08:00"/>
    <s v="Credit card"/>
    <n v="641.9"/>
    <n v="4.7619047620000003"/>
    <n v="32.094999999999999"/>
    <n v="6.7"/>
    <d v="2019-01-19T00:00:00"/>
    <n v="1"/>
    <n v="14"/>
  </r>
  <r>
    <s v="655-07-2265"/>
    <x v="0"/>
    <s v="Yangon"/>
    <s v="Normal"/>
    <s v="Male"/>
    <s v="Electronic accessories"/>
    <n v="78.31"/>
    <n v="3"/>
    <n v="11.746499999999999"/>
    <x v="627"/>
    <d v="2019-05-03T00:00:00"/>
    <d v="1899-12-30T16:38:00"/>
    <s v="Ewallet"/>
    <n v="234.93"/>
    <n v="4.7619047620000003"/>
    <n v="11.746499999999999"/>
    <n v="5.4"/>
    <d v="2019-03-05T00:00:00"/>
    <n v="3"/>
    <n v="16"/>
  </r>
  <r>
    <s v="589-02-8023"/>
    <x v="0"/>
    <s v="Yangon"/>
    <s v="Member"/>
    <s v="Male"/>
    <s v="Food and beverages"/>
    <n v="83.77"/>
    <n v="2"/>
    <n v="8.3770000000000007"/>
    <x v="628"/>
    <s v="1/15/2019"/>
    <d v="1899-12-30T10:54:00"/>
    <s v="Credit card"/>
    <n v="167.54"/>
    <n v="4.7619047620000003"/>
    <n v="8.3770000000000007"/>
    <n v="7"/>
    <d v="2019-01-15T00:00:00"/>
    <n v="1"/>
    <n v="10"/>
  </r>
  <r>
    <s v="420-04-7590"/>
    <x v="2"/>
    <s v="Mandalay"/>
    <s v="Normal"/>
    <s v="Male"/>
    <s v="Home and lifestyle"/>
    <n v="99.7"/>
    <n v="3"/>
    <n v="14.955"/>
    <x v="629"/>
    <s v="3/18/2019"/>
    <d v="1899-12-30T11:29:00"/>
    <s v="Ewallet"/>
    <n v="299.10000000000002"/>
    <n v="4.7619047620000003"/>
    <n v="14.955"/>
    <n v="4.7"/>
    <d v="2019-03-18T00:00:00"/>
    <n v="3"/>
    <n v="11"/>
  </r>
  <r>
    <s v="182-88-2763"/>
    <x v="2"/>
    <s v="Mandalay"/>
    <s v="Member"/>
    <s v="Male"/>
    <s v="Food and beverages"/>
    <n v="79.91"/>
    <n v="3"/>
    <n v="11.986499999999999"/>
    <x v="630"/>
    <s v="3/20/2019"/>
    <d v="1899-12-30T19:28:00"/>
    <s v="Credit card"/>
    <n v="239.73"/>
    <n v="4.7619047620000003"/>
    <n v="11.986499999999999"/>
    <n v="5"/>
    <d v="2019-03-20T00:00:00"/>
    <n v="3"/>
    <n v="19"/>
  </r>
  <r>
    <s v="188-55-0967"/>
    <x v="2"/>
    <s v="Mandalay"/>
    <s v="Member"/>
    <s v="Male"/>
    <s v="Health and beauty"/>
    <n v="66.47"/>
    <n v="10"/>
    <n v="33.234999999999999"/>
    <x v="631"/>
    <s v="1/15/2019"/>
    <d v="1899-12-30T15:01:00"/>
    <s v="Credit card"/>
    <n v="664.7"/>
    <n v="4.7619047620000003"/>
    <n v="33.234999999999999"/>
    <n v="5"/>
    <d v="2019-01-15T00:00:00"/>
    <n v="1"/>
    <n v="15"/>
  </r>
  <r>
    <s v="610-46-4100"/>
    <x v="0"/>
    <s v="Yangon"/>
    <s v="Normal"/>
    <s v="Male"/>
    <s v="Health and beauty"/>
    <n v="28.95"/>
    <n v="7"/>
    <n v="10.1325"/>
    <x v="632"/>
    <d v="2019-03-03T00:00:00"/>
    <d v="1899-12-30T20:31:00"/>
    <s v="Credit card"/>
    <n v="202.65"/>
    <n v="4.7619047620000003"/>
    <n v="10.1325"/>
    <n v="6"/>
    <d v="2019-03-03T00:00:00"/>
    <n v="3"/>
    <n v="20"/>
  </r>
  <r>
    <s v="318-81-2368"/>
    <x v="1"/>
    <s v="Naypyitaw"/>
    <s v="Normal"/>
    <s v="Female"/>
    <s v="Electronic accessories"/>
    <n v="46.2"/>
    <n v="1"/>
    <n v="2.31"/>
    <x v="633"/>
    <s v="3/19/2019"/>
    <d v="1899-12-30T12:16:00"/>
    <s v="Cash"/>
    <n v="46.2"/>
    <n v="4.7619047620000003"/>
    <n v="2.31"/>
    <n v="6.3"/>
    <d v="2019-03-19T00:00:00"/>
    <n v="3"/>
    <n v="12"/>
  </r>
  <r>
    <s v="364-33-8584"/>
    <x v="2"/>
    <s v="Mandalay"/>
    <s v="Member"/>
    <s v="Female"/>
    <s v="Food and beverages"/>
    <n v="17.63"/>
    <n v="5"/>
    <n v="4.4074999999999998"/>
    <x v="634"/>
    <d v="2019-08-03T00:00:00"/>
    <d v="1899-12-30T15:27:00"/>
    <s v="Cash"/>
    <n v="88.15"/>
    <n v="4.7619047620000003"/>
    <n v="4.4074999999999998"/>
    <n v="8.5"/>
    <d v="2019-03-08T00:00:00"/>
    <n v="3"/>
    <n v="15"/>
  </r>
  <r>
    <s v="665-63-9737"/>
    <x v="2"/>
    <s v="Mandalay"/>
    <s v="Normal"/>
    <s v="Male"/>
    <s v="Fashion accessories"/>
    <n v="52.42"/>
    <n v="3"/>
    <n v="7.8630000000000004"/>
    <x v="635"/>
    <s v="2/27/2019"/>
    <d v="1899-12-30T17:36:00"/>
    <s v="Ewallet"/>
    <n v="157.26"/>
    <n v="4.7619047620000003"/>
    <n v="7.8630000000000004"/>
    <n v="7.5"/>
    <d v="2019-02-27T00:00:00"/>
    <n v="2"/>
    <n v="17"/>
  </r>
  <r>
    <s v="695-09-5146"/>
    <x v="2"/>
    <s v="Mandalay"/>
    <s v="Member"/>
    <s v="Female"/>
    <s v="Food and beverages"/>
    <n v="98.79"/>
    <n v="3"/>
    <n v="14.8185"/>
    <x v="636"/>
    <s v="2/23/2019"/>
    <d v="1899-12-30T20:00:00"/>
    <s v="Ewallet"/>
    <n v="296.37"/>
    <n v="4.7619047620000003"/>
    <n v="14.8185"/>
    <n v="6.4"/>
    <d v="2019-02-23T00:00:00"/>
    <n v="2"/>
    <n v="20"/>
  </r>
  <r>
    <s v="155-45-3814"/>
    <x v="1"/>
    <s v="Naypyitaw"/>
    <s v="Member"/>
    <s v="Female"/>
    <s v="Electronic accessories"/>
    <n v="88.55"/>
    <n v="8"/>
    <n v="35.42"/>
    <x v="637"/>
    <s v="3/19/2019"/>
    <d v="1899-12-30T15:29:00"/>
    <s v="Ewallet"/>
    <n v="708.4"/>
    <n v="4.7619047620000003"/>
    <n v="35.42"/>
    <n v="4.7"/>
    <d v="2019-03-19T00:00:00"/>
    <n v="3"/>
    <n v="15"/>
  </r>
  <r>
    <s v="794-32-2436"/>
    <x v="2"/>
    <s v="Mandalay"/>
    <s v="Member"/>
    <s v="Male"/>
    <s v="Electronic accessories"/>
    <n v="55.67"/>
    <n v="2"/>
    <n v="5.5670000000000002"/>
    <x v="638"/>
    <s v="3/27/2019"/>
    <d v="1899-12-30T15:08:00"/>
    <s v="Ewallet"/>
    <n v="111.34"/>
    <n v="4.7619047620000003"/>
    <n v="5.5670000000000002"/>
    <n v="6"/>
    <d v="2019-03-27T00:00:00"/>
    <n v="3"/>
    <n v="15"/>
  </r>
  <r>
    <s v="131-15-8856"/>
    <x v="1"/>
    <s v="Naypyitaw"/>
    <s v="Member"/>
    <s v="Female"/>
    <s v="Food and beverages"/>
    <n v="72.52"/>
    <n v="8"/>
    <n v="29.007999999999999"/>
    <x v="639"/>
    <s v="3/30/2019"/>
    <d v="1899-12-30T19:26:00"/>
    <s v="Credit card"/>
    <n v="580.16"/>
    <n v="4.7619047620000003"/>
    <n v="29.007999999999999"/>
    <n v="4"/>
    <d v="2019-03-30T00:00:00"/>
    <n v="3"/>
    <n v="19"/>
  </r>
  <r>
    <s v="273-84-2164"/>
    <x v="1"/>
    <s v="Naypyitaw"/>
    <s v="Member"/>
    <s v="Male"/>
    <s v="Electronic accessories"/>
    <n v="12.05"/>
    <n v="5"/>
    <n v="3.0125000000000002"/>
    <x v="640"/>
    <s v="2/16/2019"/>
    <d v="1899-12-30T15:53:00"/>
    <s v="Ewallet"/>
    <n v="60.25"/>
    <n v="4.7619047620000003"/>
    <n v="3.0125000000000002"/>
    <n v="5.5"/>
    <d v="2019-02-16T00:00:00"/>
    <n v="2"/>
    <n v="15"/>
  </r>
  <r>
    <s v="706-36-6154"/>
    <x v="0"/>
    <s v="Yangon"/>
    <s v="Member"/>
    <s v="Male"/>
    <s v="Home and lifestyle"/>
    <n v="19.36"/>
    <n v="9"/>
    <n v="8.7119999999999997"/>
    <x v="641"/>
    <s v="1/18/2019"/>
    <d v="1899-12-30T18:43:00"/>
    <s v="Ewallet"/>
    <n v="174.24"/>
    <n v="4.7619047620000003"/>
    <n v="8.7119999999999997"/>
    <n v="8.6999999999999993"/>
    <d v="2019-01-18T00:00:00"/>
    <n v="1"/>
    <n v="18"/>
  </r>
  <r>
    <s v="778-89-7974"/>
    <x v="1"/>
    <s v="Naypyitaw"/>
    <s v="Normal"/>
    <s v="Male"/>
    <s v="Health and beauty"/>
    <n v="70.209999999999994"/>
    <n v="6"/>
    <n v="21.062999999999999"/>
    <x v="642"/>
    <s v="3/30/2019"/>
    <d v="1899-12-30T14:58:00"/>
    <s v="Cash"/>
    <n v="421.26"/>
    <n v="4.7619047620000003"/>
    <n v="21.062999999999999"/>
    <n v="7.4"/>
    <d v="2019-03-30T00:00:00"/>
    <n v="3"/>
    <n v="14"/>
  </r>
  <r>
    <s v="574-31-8277"/>
    <x v="2"/>
    <s v="Mandalay"/>
    <s v="Member"/>
    <s v="Male"/>
    <s v="Fashion accessories"/>
    <n v="33.630000000000003"/>
    <n v="1"/>
    <n v="1.6815"/>
    <x v="643"/>
    <s v="3/20/2019"/>
    <d v="1899-12-30T19:55:00"/>
    <s v="Cash"/>
    <n v="33.630000000000003"/>
    <n v="4.7619047620000003"/>
    <n v="1.6815"/>
    <n v="5.6"/>
    <d v="2019-03-20T00:00:00"/>
    <n v="3"/>
    <n v="19"/>
  </r>
  <r>
    <s v="859-71-0933"/>
    <x v="1"/>
    <s v="Naypyitaw"/>
    <s v="Member"/>
    <s v="Female"/>
    <s v="Sports and travel"/>
    <n v="15.49"/>
    <n v="2"/>
    <n v="1.5489999999999999"/>
    <x v="644"/>
    <s v="1/16/2019"/>
    <d v="1899-12-30T15:10:00"/>
    <s v="Cash"/>
    <n v="30.98"/>
    <n v="4.7619047620000003"/>
    <n v="1.5489999999999999"/>
    <n v="6.3"/>
    <d v="2019-01-16T00:00:00"/>
    <n v="1"/>
    <n v="15"/>
  </r>
  <r>
    <s v="740-11-5257"/>
    <x v="1"/>
    <s v="Naypyitaw"/>
    <s v="Normal"/>
    <s v="Male"/>
    <s v="Electronic accessories"/>
    <n v="24.74"/>
    <n v="10"/>
    <n v="12.37"/>
    <x v="645"/>
    <s v="2/24/2019"/>
    <d v="1899-12-30T16:44:00"/>
    <s v="Cash"/>
    <n v="247.4"/>
    <n v="4.7619047620000003"/>
    <n v="12.37"/>
    <n v="7.1"/>
    <d v="2019-02-24T00:00:00"/>
    <n v="2"/>
    <n v="16"/>
  </r>
  <r>
    <s v="369-82-2676"/>
    <x v="2"/>
    <s v="Mandalay"/>
    <s v="Normal"/>
    <s v="Male"/>
    <s v="Electronic accessories"/>
    <n v="75.66"/>
    <n v="5"/>
    <n v="18.914999999999999"/>
    <x v="646"/>
    <s v="1/15/2019"/>
    <d v="1899-12-30T18:22:00"/>
    <s v="Ewallet"/>
    <n v="378.3"/>
    <n v="4.7619047620000003"/>
    <n v="18.914999999999999"/>
    <n v="7.8"/>
    <d v="2019-01-15T00:00:00"/>
    <n v="1"/>
    <n v="18"/>
  </r>
  <r>
    <s v="563-47-4072"/>
    <x v="2"/>
    <s v="Mandalay"/>
    <s v="Normal"/>
    <s v="Female"/>
    <s v="Health and beauty"/>
    <n v="55.81"/>
    <n v="6"/>
    <n v="16.742999999999999"/>
    <x v="647"/>
    <s v="1/22/2019"/>
    <d v="1899-12-30T11:52:00"/>
    <s v="Cash"/>
    <n v="334.86"/>
    <n v="4.7619047620000003"/>
    <n v="16.742999999999999"/>
    <n v="9.9"/>
    <d v="2019-01-22T00:00:00"/>
    <n v="1"/>
    <n v="11"/>
  </r>
  <r>
    <s v="742-04-5161"/>
    <x v="0"/>
    <s v="Yangon"/>
    <s v="Member"/>
    <s v="Male"/>
    <s v="Home and lifestyle"/>
    <n v="72.78"/>
    <n v="10"/>
    <n v="36.39"/>
    <x v="648"/>
    <d v="2019-03-02T00:00:00"/>
    <d v="1899-12-30T17:24:00"/>
    <s v="Cash"/>
    <n v="727.8"/>
    <n v="4.7619047620000003"/>
    <n v="36.39"/>
    <n v="7.3"/>
    <d v="2019-02-03T00:00:00"/>
    <n v="2"/>
    <n v="17"/>
  </r>
  <r>
    <s v="149-15-7606"/>
    <x v="2"/>
    <s v="Mandalay"/>
    <s v="Member"/>
    <s v="Male"/>
    <s v="Sports and travel"/>
    <n v="37.32"/>
    <n v="9"/>
    <n v="16.794"/>
    <x v="649"/>
    <d v="2019-06-03T00:00:00"/>
    <d v="1899-12-30T15:31:00"/>
    <s v="Ewallet"/>
    <n v="335.88"/>
    <n v="4.7619047620000003"/>
    <n v="16.794"/>
    <n v="5.0999999999999996"/>
    <d v="2019-03-06T00:00:00"/>
    <n v="3"/>
    <n v="15"/>
  </r>
  <r>
    <s v="133-77-3154"/>
    <x v="2"/>
    <s v="Mandalay"/>
    <s v="Member"/>
    <s v="Male"/>
    <s v="Fashion accessories"/>
    <n v="60.18"/>
    <n v="4"/>
    <n v="12.036"/>
    <x v="650"/>
    <s v="2/16/2019"/>
    <d v="1899-12-30T18:04:00"/>
    <s v="Credit card"/>
    <n v="240.72"/>
    <n v="4.7619047620000003"/>
    <n v="12.036"/>
    <n v="9.4"/>
    <d v="2019-02-16T00:00:00"/>
    <n v="2"/>
    <n v="18"/>
  </r>
  <r>
    <s v="169-52-4504"/>
    <x v="0"/>
    <s v="Yangon"/>
    <s v="Normal"/>
    <s v="Female"/>
    <s v="Electronic accessories"/>
    <n v="15.69"/>
    <n v="3"/>
    <n v="2.3534999999999999"/>
    <x v="651"/>
    <s v="3/14/2019"/>
    <d v="1899-12-30T14:13:00"/>
    <s v="Credit card"/>
    <n v="47.07"/>
    <n v="4.7619047620000003"/>
    <n v="2.3534999999999999"/>
    <n v="5.8"/>
    <d v="2019-03-14T00:00:00"/>
    <n v="3"/>
    <n v="14"/>
  </r>
  <r>
    <s v="250-81-7186"/>
    <x v="1"/>
    <s v="Naypyitaw"/>
    <s v="Normal"/>
    <s v="Female"/>
    <s v="Electronic accessories"/>
    <n v="99.69"/>
    <n v="1"/>
    <n v="4.9844999999999997"/>
    <x v="652"/>
    <s v="2/27/2019"/>
    <d v="1899-12-30T10:23:00"/>
    <s v="Credit card"/>
    <n v="99.69"/>
    <n v="4.7619047620000003"/>
    <n v="4.9844999999999997"/>
    <n v="8"/>
    <d v="2019-02-27T00:00:00"/>
    <n v="2"/>
    <n v="10"/>
  </r>
  <r>
    <s v="562-12-5430"/>
    <x v="0"/>
    <s v="Yangon"/>
    <s v="Member"/>
    <s v="Female"/>
    <s v="Fashion accessories"/>
    <n v="88.15"/>
    <n v="3"/>
    <n v="13.2225"/>
    <x v="653"/>
    <s v="1/18/2019"/>
    <d v="1899-12-30T10:11:00"/>
    <s v="Ewallet"/>
    <n v="264.45"/>
    <n v="4.7619047620000003"/>
    <n v="13.2225"/>
    <n v="7.9"/>
    <d v="2019-01-18T00:00:00"/>
    <n v="1"/>
    <n v="10"/>
  </r>
  <r>
    <s v="816-72-8853"/>
    <x v="0"/>
    <s v="Yangon"/>
    <s v="Member"/>
    <s v="Female"/>
    <s v="Sports and travel"/>
    <n v="27.93"/>
    <n v="5"/>
    <n v="6.9824999999999999"/>
    <x v="654"/>
    <s v="1/29/2019"/>
    <d v="1899-12-30T15:48:00"/>
    <s v="Cash"/>
    <n v="139.65"/>
    <n v="4.7619047620000003"/>
    <n v="6.9824999999999999"/>
    <n v="5.9"/>
    <d v="2019-01-29T00:00:00"/>
    <n v="1"/>
    <n v="15"/>
  </r>
  <r>
    <s v="491-38-3499"/>
    <x v="0"/>
    <s v="Yangon"/>
    <s v="Member"/>
    <s v="Male"/>
    <s v="Fashion accessories"/>
    <n v="55.45"/>
    <n v="1"/>
    <n v="2.7725"/>
    <x v="655"/>
    <s v="2/26/2019"/>
    <d v="1899-12-30T17:46:00"/>
    <s v="Credit card"/>
    <n v="55.45"/>
    <n v="4.7619047620000003"/>
    <n v="2.7725"/>
    <n v="4.9000000000000004"/>
    <d v="2019-02-26T00:00:00"/>
    <n v="2"/>
    <n v="17"/>
  </r>
  <r>
    <s v="322-02-2271"/>
    <x v="2"/>
    <s v="Mandalay"/>
    <s v="Normal"/>
    <s v="Female"/>
    <s v="Sports and travel"/>
    <n v="42.97"/>
    <n v="3"/>
    <n v="6.4455"/>
    <x v="656"/>
    <d v="2019-03-02T00:00:00"/>
    <d v="1899-12-30T11:46:00"/>
    <s v="Cash"/>
    <n v="128.91"/>
    <n v="4.7619047620000003"/>
    <n v="6.4455"/>
    <n v="9.3000000000000007"/>
    <d v="2019-02-03T00:00:00"/>
    <n v="2"/>
    <n v="11"/>
  </r>
  <r>
    <s v="842-29-4695"/>
    <x v="1"/>
    <s v="Naypyitaw"/>
    <s v="Member"/>
    <s v="Male"/>
    <s v="Sports and travel"/>
    <n v="17.14"/>
    <n v="7"/>
    <n v="5.9989999999999997"/>
    <x v="657"/>
    <s v="1/16/2019"/>
    <d v="1899-12-30T12:07:00"/>
    <s v="Credit card"/>
    <n v="119.98"/>
    <n v="4.7619047620000003"/>
    <n v="5.9989999999999997"/>
    <n v="7.9"/>
    <d v="2019-01-16T00:00:00"/>
    <n v="1"/>
    <n v="12"/>
  </r>
  <r>
    <s v="725-67-2480"/>
    <x v="2"/>
    <s v="Mandalay"/>
    <s v="Member"/>
    <s v="Female"/>
    <s v="Fashion accessories"/>
    <n v="58.75"/>
    <n v="6"/>
    <n v="17.625"/>
    <x v="658"/>
    <s v="3/24/2019"/>
    <d v="1899-12-30T18:14:00"/>
    <s v="Credit card"/>
    <n v="352.5"/>
    <n v="4.7619047620000003"/>
    <n v="17.625"/>
    <n v="5.9"/>
    <d v="2019-03-24T00:00:00"/>
    <n v="3"/>
    <n v="18"/>
  </r>
  <r>
    <s v="641-51-2661"/>
    <x v="1"/>
    <s v="Naypyitaw"/>
    <s v="Member"/>
    <s v="Female"/>
    <s v="Food and beverages"/>
    <n v="87.1"/>
    <n v="10"/>
    <n v="43.55"/>
    <x v="659"/>
    <d v="2019-12-02T00:00:00"/>
    <d v="1899-12-30T14:45:00"/>
    <s v="Credit card"/>
    <n v="871"/>
    <n v="4.7619047620000003"/>
    <n v="43.55"/>
    <n v="9.9"/>
    <d v="2019-02-12T00:00:00"/>
    <n v="2"/>
    <n v="14"/>
  </r>
  <r>
    <s v="714-02-3114"/>
    <x v="1"/>
    <s v="Naypyitaw"/>
    <s v="Normal"/>
    <s v="Female"/>
    <s v="Sports and travel"/>
    <n v="98.8"/>
    <n v="2"/>
    <n v="9.8800000000000008"/>
    <x v="660"/>
    <s v="2/21/2019"/>
    <d v="1899-12-30T11:39:00"/>
    <s v="Cash"/>
    <n v="197.6"/>
    <n v="4.7619047620000003"/>
    <n v="9.8800000000000008"/>
    <n v="7.7"/>
    <d v="2019-02-21T00:00:00"/>
    <n v="2"/>
    <n v="11"/>
  </r>
  <r>
    <s v="518-17-2983"/>
    <x v="0"/>
    <s v="Yangon"/>
    <s v="Normal"/>
    <s v="Female"/>
    <s v="Fashion accessories"/>
    <n v="48.63"/>
    <n v="4"/>
    <n v="9.7260000000000009"/>
    <x v="661"/>
    <d v="2019-04-02T00:00:00"/>
    <d v="1899-12-30T15:44:00"/>
    <s v="Ewallet"/>
    <n v="194.52"/>
    <n v="4.7619047620000003"/>
    <n v="9.7260000000000009"/>
    <n v="7.6"/>
    <d v="2019-02-04T00:00:00"/>
    <n v="2"/>
    <n v="15"/>
  </r>
  <r>
    <s v="779-42-2410"/>
    <x v="2"/>
    <s v="Mandalay"/>
    <s v="Member"/>
    <s v="Male"/>
    <s v="Food and beverages"/>
    <n v="57.74"/>
    <n v="3"/>
    <n v="8.6609999999999996"/>
    <x v="662"/>
    <s v="2/20/2019"/>
    <d v="1899-12-30T13:06:00"/>
    <s v="Ewallet"/>
    <n v="173.22"/>
    <n v="4.7619047620000003"/>
    <n v="8.6609999999999996"/>
    <n v="7.7"/>
    <d v="2019-02-20T00:00:00"/>
    <n v="2"/>
    <n v="13"/>
  </r>
  <r>
    <s v="190-14-3147"/>
    <x v="2"/>
    <s v="Mandalay"/>
    <s v="Normal"/>
    <s v="Female"/>
    <s v="Health and beauty"/>
    <n v="17.97"/>
    <n v="4"/>
    <n v="3.5939999999999999"/>
    <x v="663"/>
    <s v="2/23/2019"/>
    <d v="1899-12-30T20:43:00"/>
    <s v="Ewallet"/>
    <n v="71.88"/>
    <n v="4.7619047620000003"/>
    <n v="3.5939999999999999"/>
    <n v="6.4"/>
    <d v="2019-02-23T00:00:00"/>
    <n v="2"/>
    <n v="20"/>
  </r>
  <r>
    <s v="408-66-6712"/>
    <x v="1"/>
    <s v="Naypyitaw"/>
    <s v="Member"/>
    <s v="Female"/>
    <s v="Health and beauty"/>
    <n v="47.71"/>
    <n v="6"/>
    <n v="14.313000000000001"/>
    <x v="664"/>
    <s v="2/16/2019"/>
    <d v="1899-12-30T14:19:00"/>
    <s v="Ewallet"/>
    <n v="286.26"/>
    <n v="4.7619047620000003"/>
    <n v="14.313000000000001"/>
    <n v="4.4000000000000004"/>
    <d v="2019-02-16T00:00:00"/>
    <n v="2"/>
    <n v="14"/>
  </r>
  <r>
    <s v="679-22-6530"/>
    <x v="2"/>
    <s v="Mandalay"/>
    <s v="Normal"/>
    <s v="Female"/>
    <s v="Sports and travel"/>
    <n v="40.619999999999997"/>
    <n v="2"/>
    <n v="4.0620000000000003"/>
    <x v="665"/>
    <s v="1/17/2019"/>
    <d v="1899-12-30T10:01:00"/>
    <s v="Credit card"/>
    <n v="81.239999999999995"/>
    <n v="4.7619047620000003"/>
    <n v="4.0620000000000003"/>
    <n v="4.0999999999999996"/>
    <d v="2019-01-17T00:00:00"/>
    <n v="1"/>
    <n v="10"/>
  </r>
  <r>
    <s v="588-47-8641"/>
    <x v="0"/>
    <s v="Yangon"/>
    <s v="Member"/>
    <s v="Male"/>
    <s v="Fashion accessories"/>
    <n v="56.04"/>
    <n v="10"/>
    <n v="28.02"/>
    <x v="666"/>
    <s v="1/14/2019"/>
    <d v="1899-12-30T19:30:00"/>
    <s v="Ewallet"/>
    <n v="560.4"/>
    <n v="4.7619047620000003"/>
    <n v="28.02"/>
    <n v="4.4000000000000004"/>
    <d v="2019-01-14T00:00:00"/>
    <n v="1"/>
    <n v="19"/>
  </r>
  <r>
    <s v="642-61-4706"/>
    <x v="2"/>
    <s v="Mandalay"/>
    <s v="Member"/>
    <s v="Male"/>
    <s v="Food and beverages"/>
    <n v="93.4"/>
    <n v="2"/>
    <n v="9.34"/>
    <x v="667"/>
    <s v="3/30/2019"/>
    <d v="1899-12-30T16:34:00"/>
    <s v="Cash"/>
    <n v="186.8"/>
    <n v="4.7619047620000003"/>
    <n v="9.34"/>
    <n v="5.5"/>
    <d v="2019-03-30T00:00:00"/>
    <n v="3"/>
    <n v="16"/>
  </r>
  <r>
    <s v="576-31-4774"/>
    <x v="2"/>
    <s v="Mandalay"/>
    <s v="Normal"/>
    <s v="Female"/>
    <s v="Health and beauty"/>
    <n v="73.41"/>
    <n v="3"/>
    <n v="11.0115"/>
    <x v="668"/>
    <d v="2019-02-03T00:00:00"/>
    <d v="1899-12-30T13:10:00"/>
    <s v="Ewallet"/>
    <n v="220.23"/>
    <n v="4.7619047620000003"/>
    <n v="11.0115"/>
    <n v="4"/>
    <d v="2019-03-02T00:00:00"/>
    <n v="3"/>
    <n v="13"/>
  </r>
  <r>
    <s v="556-41-6224"/>
    <x v="1"/>
    <s v="Naypyitaw"/>
    <s v="Normal"/>
    <s v="Male"/>
    <s v="Health and beauty"/>
    <n v="33.64"/>
    <n v="8"/>
    <n v="13.456"/>
    <x v="669"/>
    <s v="2/15/2019"/>
    <d v="1899-12-30T17:10:00"/>
    <s v="Credit card"/>
    <n v="269.12"/>
    <n v="4.7619047620000003"/>
    <n v="13.456"/>
    <n v="9.3000000000000007"/>
    <d v="2019-02-15T00:00:00"/>
    <n v="2"/>
    <n v="17"/>
  </r>
  <r>
    <s v="811-03-8790"/>
    <x v="0"/>
    <s v="Yangon"/>
    <s v="Normal"/>
    <s v="Female"/>
    <s v="Electronic accessories"/>
    <n v="45.48"/>
    <n v="10"/>
    <n v="22.74"/>
    <x v="670"/>
    <d v="2019-01-03T00:00:00"/>
    <d v="1899-12-30T10:22:00"/>
    <s v="Credit card"/>
    <n v="454.8"/>
    <n v="4.7619047620000003"/>
    <n v="22.74"/>
    <n v="4.8"/>
    <d v="2019-03-01T00:00:00"/>
    <n v="3"/>
    <n v="10"/>
  </r>
  <r>
    <s v="242-11-3142"/>
    <x v="2"/>
    <s v="Mandalay"/>
    <s v="Member"/>
    <s v="Male"/>
    <s v="Fashion accessories"/>
    <n v="83.77"/>
    <n v="2"/>
    <n v="8.3770000000000007"/>
    <x v="628"/>
    <s v="2/24/2019"/>
    <d v="1899-12-30T19:57:00"/>
    <s v="Cash"/>
    <n v="167.54"/>
    <n v="4.7619047620000003"/>
    <n v="8.3770000000000007"/>
    <n v="4.5999999999999996"/>
    <d v="2019-02-24T00:00:00"/>
    <n v="2"/>
    <n v="19"/>
  </r>
  <r>
    <s v="752-23-3760"/>
    <x v="2"/>
    <s v="Mandalay"/>
    <s v="Member"/>
    <s v="Female"/>
    <s v="Sports and travel"/>
    <n v="64.08"/>
    <n v="7"/>
    <n v="22.428000000000001"/>
    <x v="671"/>
    <s v="2/19/2019"/>
    <d v="1899-12-30T19:29:00"/>
    <s v="Credit card"/>
    <n v="448.56"/>
    <n v="4.7619047620000003"/>
    <n v="22.428000000000001"/>
    <n v="7.3"/>
    <d v="2019-02-19T00:00:00"/>
    <n v="2"/>
    <n v="19"/>
  </r>
  <r>
    <s v="274-05-5470"/>
    <x v="0"/>
    <s v="Yangon"/>
    <s v="Member"/>
    <s v="Female"/>
    <s v="Food and beverages"/>
    <n v="73.47"/>
    <n v="4"/>
    <n v="14.694000000000001"/>
    <x v="672"/>
    <s v="2/23/2019"/>
    <d v="1899-12-30T18:30:00"/>
    <s v="Cash"/>
    <n v="293.88"/>
    <n v="4.7619047620000003"/>
    <n v="14.694000000000001"/>
    <n v="6"/>
    <d v="2019-02-23T00:00:00"/>
    <n v="2"/>
    <n v="18"/>
  </r>
  <r>
    <s v="648-94-3045"/>
    <x v="1"/>
    <s v="Naypyitaw"/>
    <s v="Normal"/>
    <s v="Male"/>
    <s v="Health and beauty"/>
    <n v="58.95"/>
    <n v="10"/>
    <n v="29.475000000000001"/>
    <x v="673"/>
    <d v="2019-07-02T00:00:00"/>
    <d v="1899-12-30T14:27:00"/>
    <s v="Ewallet"/>
    <n v="589.5"/>
    <n v="4.7619047620000003"/>
    <n v="29.475000000000001"/>
    <n v="8.1"/>
    <d v="2019-02-07T00:00:00"/>
    <n v="2"/>
    <n v="14"/>
  </r>
  <r>
    <s v="130-67-4723"/>
    <x v="0"/>
    <s v="Yangon"/>
    <s v="Member"/>
    <s v="Male"/>
    <s v="Food and beverages"/>
    <n v="48.5"/>
    <n v="6"/>
    <n v="14.55"/>
    <x v="674"/>
    <d v="2019-11-01T00:00:00"/>
    <d v="1899-12-30T13:57:00"/>
    <s v="Ewallet"/>
    <n v="291"/>
    <n v="4.7619047620000003"/>
    <n v="14.55"/>
    <n v="9.4"/>
    <d v="2019-01-11T00:00:00"/>
    <n v="1"/>
    <n v="13"/>
  </r>
  <r>
    <s v="528-87-5606"/>
    <x v="2"/>
    <s v="Mandalay"/>
    <s v="Member"/>
    <s v="Female"/>
    <s v="Electronic accessories"/>
    <n v="39.479999999999997"/>
    <n v="1"/>
    <n v="1.974"/>
    <x v="675"/>
    <d v="2019-12-02T00:00:00"/>
    <d v="1899-12-30T19:43:00"/>
    <s v="Cash"/>
    <n v="39.479999999999997"/>
    <n v="4.7619047620000003"/>
    <n v="1.974"/>
    <n v="6.5"/>
    <d v="2019-02-12T00:00:00"/>
    <n v="2"/>
    <n v="19"/>
  </r>
  <r>
    <s v="320-85-2052"/>
    <x v="2"/>
    <s v="Mandalay"/>
    <s v="Normal"/>
    <s v="Female"/>
    <s v="Sports and travel"/>
    <n v="34.81"/>
    <n v="1"/>
    <n v="1.7404999999999999"/>
    <x v="676"/>
    <s v="1/14/2019"/>
    <d v="1899-12-30T10:11:00"/>
    <s v="Credit card"/>
    <n v="34.81"/>
    <n v="4.7619047620000003"/>
    <n v="1.7404999999999999"/>
    <n v="7"/>
    <d v="2019-01-14T00:00:00"/>
    <n v="1"/>
    <n v="10"/>
  </r>
  <r>
    <s v="370-96-0655"/>
    <x v="1"/>
    <s v="Naypyitaw"/>
    <s v="Normal"/>
    <s v="Female"/>
    <s v="Fashion accessories"/>
    <n v="49.32"/>
    <n v="6"/>
    <n v="14.795999999999999"/>
    <x v="677"/>
    <d v="2019-09-01T00:00:00"/>
    <d v="1899-12-30T13:46:00"/>
    <s v="Ewallet"/>
    <n v="295.92"/>
    <n v="4.7619047620000003"/>
    <n v="14.795999999999999"/>
    <n v="7.1"/>
    <d v="2019-01-09T00:00:00"/>
    <n v="1"/>
    <n v="13"/>
  </r>
  <r>
    <s v="105-10-6182"/>
    <x v="0"/>
    <s v="Yangon"/>
    <s v="Member"/>
    <s v="Male"/>
    <s v="Fashion accessories"/>
    <n v="21.48"/>
    <n v="2"/>
    <n v="2.1480000000000001"/>
    <x v="678"/>
    <s v="2/27/2019"/>
    <d v="1899-12-30T12:22:00"/>
    <s v="Ewallet"/>
    <n v="42.96"/>
    <n v="4.7619047620000003"/>
    <n v="2.1480000000000001"/>
    <n v="6.6"/>
    <d v="2019-02-27T00:00:00"/>
    <n v="2"/>
    <n v="12"/>
  </r>
  <r>
    <s v="510-79-0415"/>
    <x v="2"/>
    <s v="Mandalay"/>
    <s v="Member"/>
    <s v="Female"/>
    <s v="Sports and travel"/>
    <n v="23.08"/>
    <n v="6"/>
    <n v="6.9240000000000004"/>
    <x v="679"/>
    <s v="1/24/2019"/>
    <d v="1899-12-30T19:20:00"/>
    <s v="Ewallet"/>
    <n v="138.47999999999999"/>
    <n v="4.7619047620000003"/>
    <n v="6.9240000000000004"/>
    <n v="4.9000000000000004"/>
    <d v="2019-01-24T00:00:00"/>
    <n v="1"/>
    <n v="19"/>
  </r>
  <r>
    <s v="241-96-5076"/>
    <x v="2"/>
    <s v="Mandalay"/>
    <s v="Member"/>
    <s v="Female"/>
    <s v="Home and lifestyle"/>
    <n v="49.1"/>
    <n v="2"/>
    <n v="4.91"/>
    <x v="680"/>
    <d v="2019-08-01T00:00:00"/>
    <d v="1899-12-30T12:58:00"/>
    <s v="Credit card"/>
    <n v="98.2"/>
    <n v="4.7619047620000003"/>
    <n v="4.91"/>
    <n v="6.4"/>
    <d v="2019-01-08T00:00:00"/>
    <n v="1"/>
    <n v="12"/>
  </r>
  <r>
    <s v="767-97-4650"/>
    <x v="2"/>
    <s v="Mandalay"/>
    <s v="Member"/>
    <s v="Female"/>
    <s v="Sports and travel"/>
    <n v="64.83"/>
    <n v="2"/>
    <n v="6.4829999999999997"/>
    <x v="681"/>
    <d v="2019-08-01T00:00:00"/>
    <d v="1899-12-30T11:59:00"/>
    <s v="Credit card"/>
    <n v="129.66"/>
    <n v="4.7619047620000003"/>
    <n v="6.4829999999999997"/>
    <n v="8"/>
    <d v="2019-01-08T00:00:00"/>
    <n v="1"/>
    <n v="11"/>
  </r>
  <r>
    <s v="648-83-1321"/>
    <x v="0"/>
    <s v="Yangon"/>
    <s v="Member"/>
    <s v="Male"/>
    <s v="Home and lifestyle"/>
    <n v="63.56"/>
    <n v="10"/>
    <n v="31.78"/>
    <x v="682"/>
    <s v="1/16/2019"/>
    <d v="1899-12-30T17:59:00"/>
    <s v="Cash"/>
    <n v="635.6"/>
    <n v="4.7619047620000003"/>
    <n v="31.78"/>
    <n v="4.3"/>
    <d v="2019-01-16T00:00:00"/>
    <n v="1"/>
    <n v="17"/>
  </r>
  <r>
    <s v="173-57-2300"/>
    <x v="1"/>
    <s v="Naypyitaw"/>
    <s v="Member"/>
    <s v="Male"/>
    <s v="Sports and travel"/>
    <n v="72.88"/>
    <n v="2"/>
    <n v="7.2880000000000003"/>
    <x v="683"/>
    <s v="3/13/2019"/>
    <d v="1899-12-30T12:51:00"/>
    <s v="Cash"/>
    <n v="145.76"/>
    <n v="4.7619047620000003"/>
    <n v="7.2880000000000003"/>
    <n v="6.1"/>
    <d v="2019-03-13T00:00:00"/>
    <n v="3"/>
    <n v="12"/>
  </r>
  <r>
    <s v="305-03-2383"/>
    <x v="0"/>
    <s v="Yangon"/>
    <s v="Normal"/>
    <s v="Female"/>
    <s v="Food and beverages"/>
    <n v="67.099999999999994"/>
    <n v="3"/>
    <n v="10.065"/>
    <x v="684"/>
    <s v="2/15/2019"/>
    <d v="1899-12-30T10:36:00"/>
    <s v="Cash"/>
    <n v="201.3"/>
    <n v="4.7619047620000003"/>
    <n v="10.065"/>
    <n v="7.5"/>
    <d v="2019-02-15T00:00:00"/>
    <n v="2"/>
    <n v="10"/>
  </r>
  <r>
    <s v="394-55-6384"/>
    <x v="1"/>
    <s v="Naypyitaw"/>
    <s v="Member"/>
    <s v="Female"/>
    <s v="Sports and travel"/>
    <n v="70.19"/>
    <n v="9"/>
    <n v="31.5855"/>
    <x v="685"/>
    <s v="1/25/2019"/>
    <d v="1899-12-30T13:38:00"/>
    <s v="Cash"/>
    <n v="631.71"/>
    <n v="4.7619047620000003"/>
    <n v="31.5855"/>
    <n v="6.7"/>
    <d v="2019-01-25T00:00:00"/>
    <n v="1"/>
    <n v="13"/>
  </r>
  <r>
    <s v="266-20-6657"/>
    <x v="1"/>
    <s v="Naypyitaw"/>
    <s v="Member"/>
    <s v="Male"/>
    <s v="Food and beverages"/>
    <n v="55.04"/>
    <n v="7"/>
    <n v="19.263999999999999"/>
    <x v="686"/>
    <d v="2019-12-03T00:00:00"/>
    <d v="1899-12-30T19:39:00"/>
    <s v="Ewallet"/>
    <n v="385.28"/>
    <n v="4.7619047620000003"/>
    <n v="19.263999999999999"/>
    <n v="5.2"/>
    <d v="2019-03-12T00:00:00"/>
    <n v="3"/>
    <n v="19"/>
  </r>
  <r>
    <s v="689-05-1884"/>
    <x v="0"/>
    <s v="Yangon"/>
    <s v="Member"/>
    <s v="Male"/>
    <s v="Health and beauty"/>
    <n v="48.63"/>
    <n v="10"/>
    <n v="24.315000000000001"/>
    <x v="687"/>
    <d v="2019-04-03T00:00:00"/>
    <d v="1899-12-30T12:44:00"/>
    <s v="Cash"/>
    <n v="486.3"/>
    <n v="4.7619047620000003"/>
    <n v="24.315000000000001"/>
    <n v="8.8000000000000007"/>
    <d v="2019-03-04T00:00:00"/>
    <n v="3"/>
    <n v="12"/>
  </r>
  <r>
    <s v="196-01-2849"/>
    <x v="1"/>
    <s v="Naypyitaw"/>
    <s v="Member"/>
    <s v="Female"/>
    <s v="Fashion accessories"/>
    <n v="73.38"/>
    <n v="7"/>
    <n v="25.683"/>
    <x v="688"/>
    <d v="2019-10-02T00:00:00"/>
    <d v="1899-12-30T13:56:00"/>
    <s v="Cash"/>
    <n v="513.66"/>
    <n v="4.7619047620000003"/>
    <n v="25.683"/>
    <n v="9.5"/>
    <d v="2019-02-10T00:00:00"/>
    <n v="2"/>
    <n v="13"/>
  </r>
  <r>
    <s v="372-62-5264"/>
    <x v="1"/>
    <s v="Naypyitaw"/>
    <s v="Normal"/>
    <s v="Female"/>
    <s v="Food and beverages"/>
    <n v="52.6"/>
    <n v="9"/>
    <n v="23.67"/>
    <x v="689"/>
    <s v="1/16/2019"/>
    <d v="1899-12-30T14:42:00"/>
    <s v="Cash"/>
    <n v="473.4"/>
    <n v="4.7619047620000003"/>
    <n v="23.67"/>
    <n v="7.6"/>
    <d v="2019-01-16T00:00:00"/>
    <n v="1"/>
    <n v="14"/>
  </r>
  <r>
    <s v="800-09-8606"/>
    <x v="0"/>
    <s v="Yangon"/>
    <s v="Member"/>
    <s v="Female"/>
    <s v="Home and lifestyle"/>
    <n v="87.37"/>
    <n v="5"/>
    <n v="21.842500000000001"/>
    <x v="690"/>
    <s v="1/29/2019"/>
    <d v="1899-12-30T19:45:00"/>
    <s v="Cash"/>
    <n v="436.85"/>
    <n v="4.7619047620000003"/>
    <n v="21.842500000000001"/>
    <n v="6.6"/>
    <d v="2019-01-29T00:00:00"/>
    <n v="1"/>
    <n v="19"/>
  </r>
  <r>
    <s v="182-52-7000"/>
    <x v="0"/>
    <s v="Yangon"/>
    <s v="Member"/>
    <s v="Female"/>
    <s v="Sports and travel"/>
    <n v="27.04"/>
    <n v="4"/>
    <n v="5.4080000000000004"/>
    <x v="691"/>
    <d v="2019-01-01T00:00:00"/>
    <d v="1899-12-30T20:26:00"/>
    <s v="Ewallet"/>
    <n v="108.16"/>
    <n v="4.7619047620000003"/>
    <n v="5.4080000000000004"/>
    <n v="6.9"/>
    <d v="2019-01-01T00:00:00"/>
    <n v="1"/>
    <n v="20"/>
  </r>
  <r>
    <s v="826-58-8051"/>
    <x v="2"/>
    <s v="Mandalay"/>
    <s v="Normal"/>
    <s v="Male"/>
    <s v="Home and lifestyle"/>
    <n v="62.19"/>
    <n v="4"/>
    <n v="12.438000000000001"/>
    <x v="692"/>
    <d v="2019-06-01T00:00:00"/>
    <d v="1899-12-30T19:46:00"/>
    <s v="Ewallet"/>
    <n v="248.76"/>
    <n v="4.7619047620000003"/>
    <n v="12.438000000000001"/>
    <n v="4.3"/>
    <d v="2019-01-06T00:00:00"/>
    <n v="1"/>
    <n v="19"/>
  </r>
  <r>
    <s v="868-06-0466"/>
    <x v="0"/>
    <s v="Yangon"/>
    <s v="Member"/>
    <s v="Male"/>
    <s v="Electronic accessories"/>
    <n v="69.58"/>
    <n v="9"/>
    <n v="31.311"/>
    <x v="693"/>
    <s v="2/19/2019"/>
    <d v="1899-12-30T19:38:00"/>
    <s v="Credit card"/>
    <n v="626.22"/>
    <n v="4.7619047620000003"/>
    <n v="31.311"/>
    <n v="7.8"/>
    <d v="2019-02-19T00:00:00"/>
    <n v="2"/>
    <n v="19"/>
  </r>
  <r>
    <s v="751-41-9720"/>
    <x v="1"/>
    <s v="Naypyitaw"/>
    <s v="Normal"/>
    <s v="Male"/>
    <s v="Home and lifestyle"/>
    <n v="97.5"/>
    <n v="10"/>
    <n v="48.75"/>
    <x v="694"/>
    <d v="2019-12-01T00:00:00"/>
    <d v="1899-12-30T16:18:00"/>
    <s v="Ewallet"/>
    <n v="975"/>
    <n v="4.7619047620000003"/>
    <n v="48.75"/>
    <n v="8"/>
    <d v="2019-01-12T00:00:00"/>
    <n v="1"/>
    <n v="16"/>
  </r>
  <r>
    <s v="626-43-7888"/>
    <x v="1"/>
    <s v="Naypyitaw"/>
    <s v="Normal"/>
    <s v="Female"/>
    <s v="Fashion accessories"/>
    <n v="60.41"/>
    <n v="8"/>
    <n v="24.164000000000001"/>
    <x v="695"/>
    <d v="2019-07-02T00:00:00"/>
    <d v="1899-12-30T12:23:00"/>
    <s v="Ewallet"/>
    <n v="483.28"/>
    <n v="4.7619047620000003"/>
    <n v="24.164000000000001"/>
    <n v="9.6"/>
    <d v="2019-02-07T00:00:00"/>
    <n v="2"/>
    <n v="12"/>
  </r>
  <r>
    <s v="176-64-7711"/>
    <x v="2"/>
    <s v="Mandalay"/>
    <s v="Normal"/>
    <s v="Male"/>
    <s v="Food and beverages"/>
    <n v="32.32"/>
    <n v="3"/>
    <n v="4.8479999999999999"/>
    <x v="696"/>
    <s v="3/27/2019"/>
    <d v="1899-12-30T19:11:00"/>
    <s v="Credit card"/>
    <n v="96.96"/>
    <n v="4.7619047620000003"/>
    <n v="4.8479999999999999"/>
    <n v="4.3"/>
    <d v="2019-03-27T00:00:00"/>
    <n v="3"/>
    <n v="19"/>
  </r>
  <r>
    <s v="191-29-0321"/>
    <x v="2"/>
    <s v="Mandalay"/>
    <s v="Member"/>
    <s v="Female"/>
    <s v="Fashion accessories"/>
    <n v="19.77"/>
    <n v="10"/>
    <n v="9.8849999999999998"/>
    <x v="697"/>
    <s v="2/27/2019"/>
    <d v="1899-12-30T18:57:00"/>
    <s v="Credit card"/>
    <n v="197.7"/>
    <n v="4.7619047620000003"/>
    <n v="9.8849999999999998"/>
    <n v="5"/>
    <d v="2019-02-27T00:00:00"/>
    <n v="2"/>
    <n v="18"/>
  </r>
  <r>
    <s v="729-06-2010"/>
    <x v="2"/>
    <s v="Mandalay"/>
    <s v="Member"/>
    <s v="Male"/>
    <s v="Health and beauty"/>
    <n v="80.47"/>
    <n v="9"/>
    <n v="36.211500000000001"/>
    <x v="698"/>
    <d v="2019-06-01T00:00:00"/>
    <d v="1899-12-30T11:18:00"/>
    <s v="Cash"/>
    <n v="724.23"/>
    <n v="4.7619047620000003"/>
    <n v="36.211500000000001"/>
    <n v="9.1999999999999993"/>
    <d v="2019-01-06T00:00:00"/>
    <n v="1"/>
    <n v="11"/>
  </r>
  <r>
    <s v="640-48-5028"/>
    <x v="2"/>
    <s v="Mandalay"/>
    <s v="Member"/>
    <s v="Female"/>
    <s v="Home and lifestyle"/>
    <n v="88.39"/>
    <n v="9"/>
    <n v="39.775500000000001"/>
    <x v="699"/>
    <d v="2019-02-03T00:00:00"/>
    <d v="1899-12-30T12:40:00"/>
    <s v="Cash"/>
    <n v="795.51"/>
    <n v="4.7619047620000003"/>
    <n v="39.775500000000001"/>
    <n v="6.3"/>
    <d v="2019-03-02T00:00:00"/>
    <n v="3"/>
    <n v="12"/>
  </r>
  <r>
    <s v="186-79-9562"/>
    <x v="2"/>
    <s v="Mandalay"/>
    <s v="Normal"/>
    <s v="Male"/>
    <s v="Health and beauty"/>
    <n v="71.77"/>
    <n v="7"/>
    <n v="25.119499999999999"/>
    <x v="700"/>
    <s v="3/29/2019"/>
    <d v="1899-12-30T14:06:00"/>
    <s v="Cash"/>
    <n v="502.39"/>
    <n v="4.7619047620000003"/>
    <n v="25.119499999999999"/>
    <n v="8.9"/>
    <d v="2019-03-29T00:00:00"/>
    <n v="3"/>
    <n v="14"/>
  </r>
  <r>
    <s v="834-45-5519"/>
    <x v="2"/>
    <s v="Mandalay"/>
    <s v="Normal"/>
    <s v="Female"/>
    <s v="Electronic accessories"/>
    <n v="43"/>
    <n v="4"/>
    <n v="8.6"/>
    <x v="701"/>
    <s v="1/31/2019"/>
    <d v="1899-12-30T20:48:00"/>
    <s v="Ewallet"/>
    <n v="172"/>
    <n v="4.7619047620000003"/>
    <n v="8.6"/>
    <n v="7.6"/>
    <d v="2019-01-31T00:00:00"/>
    <n v="1"/>
    <n v="20"/>
  </r>
  <r>
    <s v="162-65-8559"/>
    <x v="1"/>
    <s v="Naypyitaw"/>
    <s v="Member"/>
    <s v="Male"/>
    <s v="Food and beverages"/>
    <n v="68.98"/>
    <n v="1"/>
    <n v="3.4489999999999998"/>
    <x v="702"/>
    <s v="1/21/2019"/>
    <d v="1899-12-30T20:13:00"/>
    <s v="Cash"/>
    <n v="68.98"/>
    <n v="4.7619047620000003"/>
    <n v="3.4489999999999998"/>
    <n v="4.8"/>
    <d v="2019-01-21T00:00:00"/>
    <n v="1"/>
    <n v="20"/>
  </r>
  <r>
    <s v="760-27-5490"/>
    <x v="1"/>
    <s v="Naypyitaw"/>
    <s v="Normal"/>
    <s v="Male"/>
    <s v="Fashion accessories"/>
    <n v="15.62"/>
    <n v="8"/>
    <n v="6.2480000000000002"/>
    <x v="703"/>
    <s v="1/20/2019"/>
    <d v="1899-12-30T20:37:00"/>
    <s v="Ewallet"/>
    <n v="124.96"/>
    <n v="4.7619047620000003"/>
    <n v="6.2480000000000002"/>
    <n v="9.1"/>
    <d v="2019-01-20T00:00:00"/>
    <n v="1"/>
    <n v="20"/>
  </r>
  <r>
    <s v="445-30-9252"/>
    <x v="0"/>
    <s v="Yangon"/>
    <s v="Normal"/>
    <s v="Male"/>
    <s v="Sports and travel"/>
    <n v="25.7"/>
    <n v="3"/>
    <n v="3.855"/>
    <x v="704"/>
    <s v="1/17/2019"/>
    <d v="1899-12-30T17:59:00"/>
    <s v="Ewallet"/>
    <n v="77.099999999999994"/>
    <n v="4.7619047620000003"/>
    <n v="3.855"/>
    <n v="6.1"/>
    <d v="2019-01-17T00:00:00"/>
    <n v="1"/>
    <n v="17"/>
  </r>
  <r>
    <s v="786-94-2700"/>
    <x v="0"/>
    <s v="Yangon"/>
    <s v="Member"/>
    <s v="Male"/>
    <s v="Food and beverages"/>
    <n v="80.62"/>
    <n v="6"/>
    <n v="24.186"/>
    <x v="705"/>
    <s v="2/28/2019"/>
    <d v="1899-12-30T20:18:00"/>
    <s v="Cash"/>
    <n v="483.72"/>
    <n v="4.7619047620000003"/>
    <n v="24.186"/>
    <n v="9.1"/>
    <d v="2019-02-28T00:00:00"/>
    <n v="2"/>
    <n v="20"/>
  </r>
  <r>
    <s v="728-88-7867"/>
    <x v="1"/>
    <s v="Naypyitaw"/>
    <s v="Member"/>
    <s v="Female"/>
    <s v="Home and lifestyle"/>
    <n v="75.53"/>
    <n v="4"/>
    <n v="15.106"/>
    <x v="706"/>
    <s v="3/19/2019"/>
    <d v="1899-12-30T15:52:00"/>
    <s v="Ewallet"/>
    <n v="302.12"/>
    <n v="4.7619047620000003"/>
    <n v="15.106"/>
    <n v="8.3000000000000007"/>
    <d v="2019-03-19T00:00:00"/>
    <n v="3"/>
    <n v="15"/>
  </r>
  <r>
    <s v="183-21-3799"/>
    <x v="1"/>
    <s v="Naypyitaw"/>
    <s v="Normal"/>
    <s v="Female"/>
    <s v="Electronic accessories"/>
    <n v="77.63"/>
    <n v="9"/>
    <n v="34.933500000000002"/>
    <x v="707"/>
    <s v="2/19/2019"/>
    <d v="1899-12-30T15:14:00"/>
    <s v="Ewallet"/>
    <n v="698.67"/>
    <n v="4.7619047620000003"/>
    <n v="34.933500000000002"/>
    <n v="7.2"/>
    <d v="2019-02-19T00:00:00"/>
    <n v="2"/>
    <n v="15"/>
  </r>
  <r>
    <s v="268-20-3585"/>
    <x v="1"/>
    <s v="Naypyitaw"/>
    <s v="Normal"/>
    <s v="Female"/>
    <s v="Health and beauty"/>
    <n v="13.85"/>
    <n v="9"/>
    <n v="6.2324999999999999"/>
    <x v="708"/>
    <d v="2019-04-02T00:00:00"/>
    <d v="1899-12-30T12:50:00"/>
    <s v="Ewallet"/>
    <n v="124.65"/>
    <n v="4.7619047620000003"/>
    <n v="6.2324999999999999"/>
    <n v="6"/>
    <d v="2019-02-04T00:00:00"/>
    <n v="2"/>
    <n v="12"/>
  </r>
  <r>
    <s v="735-32-9839"/>
    <x v="1"/>
    <s v="Naypyitaw"/>
    <s v="Member"/>
    <s v="Male"/>
    <s v="Fashion accessories"/>
    <n v="98.7"/>
    <n v="8"/>
    <n v="39.479999999999997"/>
    <x v="43"/>
    <s v="1/31/2019"/>
    <d v="1899-12-30T10:36:00"/>
    <s v="Ewallet"/>
    <n v="789.6"/>
    <n v="4.7619047620000003"/>
    <n v="39.479999999999997"/>
    <n v="8.5"/>
    <d v="2019-01-31T00:00:00"/>
    <n v="1"/>
    <n v="10"/>
  </r>
  <r>
    <s v="258-92-7466"/>
    <x v="0"/>
    <s v="Yangon"/>
    <s v="Normal"/>
    <s v="Female"/>
    <s v="Health and beauty"/>
    <n v="35.68"/>
    <n v="5"/>
    <n v="8.92"/>
    <x v="709"/>
    <d v="2019-06-02T00:00:00"/>
    <d v="1899-12-30T18:33:00"/>
    <s v="Credit card"/>
    <n v="178.4"/>
    <n v="4.7619047620000003"/>
    <n v="8.92"/>
    <n v="6.6"/>
    <d v="2019-02-06T00:00:00"/>
    <n v="2"/>
    <n v="18"/>
  </r>
  <r>
    <s v="857-16-3520"/>
    <x v="0"/>
    <s v="Yangon"/>
    <s v="Member"/>
    <s v="Female"/>
    <s v="Fashion accessories"/>
    <n v="71.459999999999994"/>
    <n v="7"/>
    <n v="25.010999999999999"/>
    <x v="710"/>
    <s v="3/28/2019"/>
    <d v="1899-12-30T16:06:00"/>
    <s v="Ewallet"/>
    <n v="500.22"/>
    <n v="4.7619047620000003"/>
    <n v="25.010999999999999"/>
    <n v="4.5"/>
    <d v="2019-03-28T00:00:00"/>
    <n v="3"/>
    <n v="16"/>
  </r>
  <r>
    <s v="482-17-1179"/>
    <x v="0"/>
    <s v="Yangon"/>
    <s v="Member"/>
    <s v="Male"/>
    <s v="Electronic accessories"/>
    <n v="11.94"/>
    <n v="3"/>
    <n v="1.7909999999999999"/>
    <x v="711"/>
    <s v="1/19/2019"/>
    <d v="1899-12-30T12:47:00"/>
    <s v="Credit card"/>
    <n v="35.82"/>
    <n v="4.7619047620000003"/>
    <n v="1.7909999999999999"/>
    <n v="8.1"/>
    <d v="2019-01-19T00:00:00"/>
    <n v="1"/>
    <n v="12"/>
  </r>
  <r>
    <s v="788-21-5741"/>
    <x v="0"/>
    <s v="Yangon"/>
    <s v="Normal"/>
    <s v="Male"/>
    <s v="Fashion accessories"/>
    <n v="45.38"/>
    <n v="3"/>
    <n v="6.8070000000000004"/>
    <x v="712"/>
    <s v="2/17/2019"/>
    <d v="1899-12-30T13:34:00"/>
    <s v="Credit card"/>
    <n v="136.13999999999999"/>
    <n v="4.7619047620000003"/>
    <n v="6.8070000000000004"/>
    <n v="7.2"/>
    <d v="2019-02-17T00:00:00"/>
    <n v="2"/>
    <n v="13"/>
  </r>
  <r>
    <s v="821-14-9046"/>
    <x v="2"/>
    <s v="Mandalay"/>
    <s v="Member"/>
    <s v="Female"/>
    <s v="Fashion accessories"/>
    <n v="17.48"/>
    <n v="6"/>
    <n v="5.2439999999999998"/>
    <x v="713"/>
    <s v="1/18/2019"/>
    <d v="1899-12-30T15:04:00"/>
    <s v="Credit card"/>
    <n v="104.88"/>
    <n v="4.7619047620000003"/>
    <n v="5.2439999999999998"/>
    <n v="6.1"/>
    <d v="2019-01-18T00:00:00"/>
    <n v="1"/>
    <n v="15"/>
  </r>
  <r>
    <s v="418-05-0656"/>
    <x v="2"/>
    <s v="Mandalay"/>
    <s v="Normal"/>
    <s v="Female"/>
    <s v="Fashion accessories"/>
    <n v="25.56"/>
    <n v="7"/>
    <n v="8.9459999999999997"/>
    <x v="714"/>
    <d v="2019-02-02T00:00:00"/>
    <d v="1899-12-30T20:42:00"/>
    <s v="Cash"/>
    <n v="178.92"/>
    <n v="4.7619047620000003"/>
    <n v="8.9459999999999997"/>
    <n v="7.1"/>
    <d v="2019-02-02T00:00:00"/>
    <n v="2"/>
    <n v="20"/>
  </r>
  <r>
    <s v="678-79-0726"/>
    <x v="1"/>
    <s v="Naypyitaw"/>
    <s v="Member"/>
    <s v="Female"/>
    <s v="Sports and travel"/>
    <n v="90.63"/>
    <n v="9"/>
    <n v="40.783499999999997"/>
    <x v="715"/>
    <s v="1/18/2019"/>
    <d v="1899-12-30T15:28:00"/>
    <s v="Cash"/>
    <n v="815.67"/>
    <n v="4.7619047620000003"/>
    <n v="40.783499999999997"/>
    <n v="5.0999999999999996"/>
    <d v="2019-01-18T00:00:00"/>
    <n v="1"/>
    <n v="15"/>
  </r>
  <r>
    <s v="776-68-1096"/>
    <x v="2"/>
    <s v="Mandalay"/>
    <s v="Normal"/>
    <s v="Male"/>
    <s v="Home and lifestyle"/>
    <n v="44.12"/>
    <n v="3"/>
    <n v="6.6180000000000003"/>
    <x v="716"/>
    <s v="3/18/2019"/>
    <d v="1899-12-30T13:45:00"/>
    <s v="Credit card"/>
    <n v="132.36000000000001"/>
    <n v="4.7619047620000003"/>
    <n v="6.6180000000000003"/>
    <n v="7.9"/>
    <d v="2019-03-18T00:00:00"/>
    <n v="3"/>
    <n v="13"/>
  </r>
  <r>
    <s v="592-46-1692"/>
    <x v="1"/>
    <s v="Naypyitaw"/>
    <s v="Member"/>
    <s v="Female"/>
    <s v="Food and beverages"/>
    <n v="36.770000000000003"/>
    <n v="7"/>
    <n v="12.8695"/>
    <x v="717"/>
    <d v="2019-11-01T00:00:00"/>
    <d v="1899-12-30T20:10:00"/>
    <s v="Cash"/>
    <n v="257.39"/>
    <n v="4.7619047620000003"/>
    <n v="12.8695"/>
    <n v="7.4"/>
    <d v="2019-01-11T00:00:00"/>
    <n v="1"/>
    <n v="20"/>
  </r>
  <r>
    <s v="434-35-9162"/>
    <x v="2"/>
    <s v="Mandalay"/>
    <s v="Member"/>
    <s v="Male"/>
    <s v="Food and beverages"/>
    <n v="23.34"/>
    <n v="4"/>
    <n v="4.6680000000000001"/>
    <x v="718"/>
    <d v="2019-04-02T00:00:00"/>
    <d v="1899-12-30T18:53:00"/>
    <s v="Ewallet"/>
    <n v="93.36"/>
    <n v="4.7619047620000003"/>
    <n v="4.6680000000000001"/>
    <n v="7.4"/>
    <d v="2019-02-04T00:00:00"/>
    <n v="2"/>
    <n v="18"/>
  </r>
  <r>
    <s v="149-14-0304"/>
    <x v="1"/>
    <s v="Naypyitaw"/>
    <s v="Member"/>
    <s v="Female"/>
    <s v="Health and beauty"/>
    <n v="28.5"/>
    <n v="8"/>
    <n v="11.4"/>
    <x v="719"/>
    <d v="2019-06-02T00:00:00"/>
    <d v="1899-12-30T14:24:00"/>
    <s v="Cash"/>
    <n v="228"/>
    <n v="4.7619047620000003"/>
    <n v="11.4"/>
    <n v="6.6"/>
    <d v="2019-02-06T00:00:00"/>
    <n v="2"/>
    <n v="14"/>
  </r>
  <r>
    <s v="442-44-6497"/>
    <x v="1"/>
    <s v="Naypyitaw"/>
    <s v="Member"/>
    <s v="Male"/>
    <s v="Home and lifestyle"/>
    <n v="55.57"/>
    <n v="3"/>
    <n v="8.3354999999999997"/>
    <x v="720"/>
    <d v="2019-08-01T00:00:00"/>
    <d v="1899-12-30T11:42:00"/>
    <s v="Credit card"/>
    <n v="166.71"/>
    <n v="4.7619047620000003"/>
    <n v="8.3354999999999997"/>
    <n v="5.9"/>
    <d v="2019-01-08T00:00:00"/>
    <n v="1"/>
    <n v="11"/>
  </r>
  <r>
    <s v="174-64-0215"/>
    <x v="2"/>
    <s v="Mandalay"/>
    <s v="Normal"/>
    <s v="Male"/>
    <s v="Sports and travel"/>
    <n v="69.739999999999995"/>
    <n v="10"/>
    <n v="34.869999999999997"/>
    <x v="721"/>
    <d v="2019-05-03T00:00:00"/>
    <d v="1899-12-30T17:49:00"/>
    <s v="Credit card"/>
    <n v="697.4"/>
    <n v="4.7619047620000003"/>
    <n v="34.869999999999997"/>
    <n v="8.9"/>
    <d v="2019-03-05T00:00:00"/>
    <n v="3"/>
    <n v="17"/>
  </r>
  <r>
    <s v="210-74-9613"/>
    <x v="1"/>
    <s v="Naypyitaw"/>
    <s v="Normal"/>
    <s v="Male"/>
    <s v="Fashion accessories"/>
    <n v="97.26"/>
    <n v="4"/>
    <n v="19.452000000000002"/>
    <x v="722"/>
    <s v="3/16/2019"/>
    <d v="1899-12-30T15:33:00"/>
    <s v="Ewallet"/>
    <n v="389.04"/>
    <n v="4.7619047620000003"/>
    <n v="19.452000000000002"/>
    <n v="6.8"/>
    <d v="2019-03-16T00:00:00"/>
    <n v="3"/>
    <n v="15"/>
  </r>
  <r>
    <s v="299-29-0180"/>
    <x v="2"/>
    <s v="Mandalay"/>
    <s v="Member"/>
    <s v="Female"/>
    <s v="Home and lifestyle"/>
    <n v="52.18"/>
    <n v="7"/>
    <n v="18.263000000000002"/>
    <x v="723"/>
    <d v="2019-09-03T00:00:00"/>
    <d v="1899-12-30T10:54:00"/>
    <s v="Cash"/>
    <n v="365.26"/>
    <n v="4.7619047620000003"/>
    <n v="18.263000000000002"/>
    <n v="9.3000000000000007"/>
    <d v="2019-03-09T00:00:00"/>
    <n v="3"/>
    <n v="10"/>
  </r>
  <r>
    <s v="247-11-2470"/>
    <x v="0"/>
    <s v="Yangon"/>
    <s v="Member"/>
    <s v="Female"/>
    <s v="Fashion accessories"/>
    <n v="22.32"/>
    <n v="4"/>
    <n v="4.4640000000000004"/>
    <x v="724"/>
    <d v="2019-01-03T00:00:00"/>
    <d v="1899-12-30T16:23:00"/>
    <s v="Credit card"/>
    <n v="89.28"/>
    <n v="4.7619047620000003"/>
    <n v="4.4640000000000004"/>
    <n v="4.4000000000000004"/>
    <d v="2019-03-01T00:00:00"/>
    <n v="3"/>
    <n v="16"/>
  </r>
  <r>
    <s v="635-28-5728"/>
    <x v="0"/>
    <s v="Yangon"/>
    <s v="Normal"/>
    <s v="Male"/>
    <s v="Health and beauty"/>
    <n v="56"/>
    <n v="3"/>
    <n v="8.4"/>
    <x v="725"/>
    <s v="2/28/2019"/>
    <d v="1899-12-30T19:33:00"/>
    <s v="Ewallet"/>
    <n v="168"/>
    <n v="4.7619047620000003"/>
    <n v="8.4"/>
    <n v="4.8"/>
    <d v="2019-02-28T00:00:00"/>
    <n v="2"/>
    <n v="19"/>
  </r>
  <r>
    <s v="756-49-0168"/>
    <x v="0"/>
    <s v="Yangon"/>
    <s v="Member"/>
    <s v="Male"/>
    <s v="Fashion accessories"/>
    <n v="19.7"/>
    <n v="1"/>
    <n v="0.98499999999999999"/>
    <x v="726"/>
    <d v="2019-08-02T00:00:00"/>
    <d v="1899-12-30T11:39:00"/>
    <s v="Ewallet"/>
    <n v="19.7"/>
    <n v="4.7619047620000003"/>
    <n v="0.98499999999999999"/>
    <n v="9.5"/>
    <d v="2019-02-08T00:00:00"/>
    <n v="2"/>
    <n v="11"/>
  </r>
  <r>
    <s v="438-23-1242"/>
    <x v="2"/>
    <s v="Mandalay"/>
    <s v="Normal"/>
    <s v="Male"/>
    <s v="Electronic accessories"/>
    <n v="75.88"/>
    <n v="7"/>
    <n v="26.558"/>
    <x v="727"/>
    <s v="1/24/2019"/>
    <d v="1899-12-30T10:38:00"/>
    <s v="Ewallet"/>
    <n v="531.16"/>
    <n v="4.7619047620000003"/>
    <n v="26.558"/>
    <n v="8.9"/>
    <d v="2019-01-24T00:00:00"/>
    <n v="1"/>
    <n v="10"/>
  </r>
  <r>
    <s v="238-45-6950"/>
    <x v="2"/>
    <s v="Mandalay"/>
    <s v="Member"/>
    <s v="Male"/>
    <s v="Food and beverages"/>
    <n v="53.72"/>
    <n v="1"/>
    <n v="2.6859999999999999"/>
    <x v="728"/>
    <d v="2019-01-03T00:00:00"/>
    <d v="1899-12-30T20:03:00"/>
    <s v="Ewallet"/>
    <n v="53.72"/>
    <n v="4.7619047620000003"/>
    <n v="2.6859999999999999"/>
    <n v="6.4"/>
    <d v="2019-03-01T00:00:00"/>
    <n v="3"/>
    <n v="20"/>
  </r>
  <r>
    <s v="607-65-2441"/>
    <x v="1"/>
    <s v="Naypyitaw"/>
    <s v="Member"/>
    <s v="Male"/>
    <s v="Health and beauty"/>
    <n v="81.95"/>
    <n v="10"/>
    <n v="40.975000000000001"/>
    <x v="729"/>
    <d v="2019-10-03T00:00:00"/>
    <d v="1899-12-30T12:39:00"/>
    <s v="Credit card"/>
    <n v="819.5"/>
    <n v="4.7619047620000003"/>
    <n v="40.975000000000001"/>
    <n v="6"/>
    <d v="2019-03-10T00:00:00"/>
    <n v="3"/>
    <n v="12"/>
  </r>
  <r>
    <s v="386-27-7606"/>
    <x v="1"/>
    <s v="Naypyitaw"/>
    <s v="Member"/>
    <s v="Female"/>
    <s v="Home and lifestyle"/>
    <n v="81.2"/>
    <n v="7"/>
    <n v="28.42"/>
    <x v="730"/>
    <s v="3/23/2019"/>
    <d v="1899-12-30T15:59:00"/>
    <s v="Credit card"/>
    <n v="568.4"/>
    <n v="4.7619047620000003"/>
    <n v="28.42"/>
    <n v="8.1"/>
    <d v="2019-03-23T00:00:00"/>
    <n v="3"/>
    <n v="15"/>
  </r>
  <r>
    <s v="137-63-5492"/>
    <x v="1"/>
    <s v="Naypyitaw"/>
    <s v="Normal"/>
    <s v="Male"/>
    <s v="Electronic accessories"/>
    <n v="58.76"/>
    <n v="10"/>
    <n v="29.38"/>
    <x v="731"/>
    <s v="1/29/2019"/>
    <d v="1899-12-30T14:26:00"/>
    <s v="Ewallet"/>
    <n v="587.6"/>
    <n v="4.7619047620000003"/>
    <n v="29.38"/>
    <n v="9"/>
    <d v="2019-01-29T00:00:00"/>
    <n v="1"/>
    <n v="14"/>
  </r>
  <r>
    <s v="197-77-7132"/>
    <x v="2"/>
    <s v="Mandalay"/>
    <s v="Member"/>
    <s v="Male"/>
    <s v="Electronic accessories"/>
    <n v="91.56"/>
    <n v="8"/>
    <n v="36.624000000000002"/>
    <x v="732"/>
    <d v="2019-12-01T00:00:00"/>
    <d v="1899-12-30T18:22:00"/>
    <s v="Ewallet"/>
    <n v="732.48"/>
    <n v="4.7619047620000003"/>
    <n v="36.624000000000002"/>
    <n v="6"/>
    <d v="2019-01-12T00:00:00"/>
    <n v="1"/>
    <n v="18"/>
  </r>
  <r>
    <s v="805-86-0265"/>
    <x v="0"/>
    <s v="Yangon"/>
    <s v="Normal"/>
    <s v="Male"/>
    <s v="Home and lifestyle"/>
    <n v="93.96"/>
    <n v="9"/>
    <n v="42.281999999999996"/>
    <x v="733"/>
    <s v="3/20/2019"/>
    <d v="1899-12-30T11:32:00"/>
    <s v="Cash"/>
    <n v="845.64"/>
    <n v="4.7619047620000003"/>
    <n v="42.281999999999996"/>
    <n v="9.8000000000000007"/>
    <d v="2019-03-20T00:00:00"/>
    <n v="3"/>
    <n v="11"/>
  </r>
  <r>
    <s v="733-29-1227"/>
    <x v="1"/>
    <s v="Naypyitaw"/>
    <s v="Normal"/>
    <s v="Male"/>
    <s v="Home and lifestyle"/>
    <n v="55.61"/>
    <n v="7"/>
    <n v="19.4635"/>
    <x v="734"/>
    <s v="3/23/2019"/>
    <d v="1899-12-30T12:41:00"/>
    <s v="Cash"/>
    <n v="389.27"/>
    <n v="4.7619047620000003"/>
    <n v="19.4635"/>
    <n v="8.5"/>
    <d v="2019-03-23T00:00:00"/>
    <n v="3"/>
    <n v="12"/>
  </r>
  <r>
    <s v="451-73-2711"/>
    <x v="1"/>
    <s v="Naypyitaw"/>
    <s v="Normal"/>
    <s v="Male"/>
    <s v="Food and beverages"/>
    <n v="84.83"/>
    <n v="1"/>
    <n v="4.2415000000000003"/>
    <x v="735"/>
    <s v="1/14/2019"/>
    <d v="1899-12-30T15:20:00"/>
    <s v="Ewallet"/>
    <n v="84.83"/>
    <n v="4.7619047620000003"/>
    <n v="4.2415000000000003"/>
    <n v="8.8000000000000007"/>
    <d v="2019-01-14T00:00:00"/>
    <n v="1"/>
    <n v="15"/>
  </r>
  <r>
    <s v="373-14-0504"/>
    <x v="0"/>
    <s v="Yangon"/>
    <s v="Member"/>
    <s v="Female"/>
    <s v="Sports and travel"/>
    <n v="71.63"/>
    <n v="2"/>
    <n v="7.1630000000000003"/>
    <x v="736"/>
    <d v="2019-12-02T00:00:00"/>
    <d v="1899-12-30T14:33:00"/>
    <s v="Ewallet"/>
    <n v="143.26"/>
    <n v="4.7619047620000003"/>
    <n v="7.1630000000000003"/>
    <n v="8.8000000000000007"/>
    <d v="2019-02-12T00:00:00"/>
    <n v="2"/>
    <n v="14"/>
  </r>
  <r>
    <s v="546-80-2899"/>
    <x v="0"/>
    <s v="Yangon"/>
    <s v="Member"/>
    <s v="Male"/>
    <s v="Home and lifestyle"/>
    <n v="37.69"/>
    <n v="2"/>
    <n v="3.7690000000000001"/>
    <x v="737"/>
    <s v="2/20/2019"/>
    <d v="1899-12-30T15:29:00"/>
    <s v="Ewallet"/>
    <n v="75.38"/>
    <n v="4.7619047620000003"/>
    <n v="3.7690000000000001"/>
    <n v="9.5"/>
    <d v="2019-02-20T00:00:00"/>
    <n v="2"/>
    <n v="15"/>
  </r>
  <r>
    <s v="345-68-9016"/>
    <x v="1"/>
    <s v="Naypyitaw"/>
    <s v="Member"/>
    <s v="Female"/>
    <s v="Sports and travel"/>
    <n v="31.67"/>
    <n v="8"/>
    <n v="12.667999999999999"/>
    <x v="738"/>
    <d v="2019-02-01T00:00:00"/>
    <d v="1899-12-30T16:19:00"/>
    <s v="Credit card"/>
    <n v="253.36"/>
    <n v="4.7619047620000003"/>
    <n v="12.667999999999999"/>
    <n v="5.6"/>
    <d v="2019-01-02T00:00:00"/>
    <n v="1"/>
    <n v="16"/>
  </r>
  <r>
    <s v="390-17-5806"/>
    <x v="1"/>
    <s v="Naypyitaw"/>
    <s v="Member"/>
    <s v="Female"/>
    <s v="Food and beverages"/>
    <n v="38.42"/>
    <n v="1"/>
    <n v="1.921"/>
    <x v="739"/>
    <d v="2019-02-02T00:00:00"/>
    <d v="1899-12-30T16:33:00"/>
    <s v="Cash"/>
    <n v="38.42"/>
    <n v="4.7619047620000003"/>
    <n v="1.921"/>
    <n v="8.6"/>
    <d v="2019-02-02T00:00:00"/>
    <n v="2"/>
    <n v="16"/>
  </r>
  <r>
    <s v="457-13-1708"/>
    <x v="2"/>
    <s v="Mandalay"/>
    <s v="Member"/>
    <s v="Male"/>
    <s v="Fashion accessories"/>
    <n v="65.23"/>
    <n v="10"/>
    <n v="32.615000000000002"/>
    <x v="740"/>
    <d v="2019-08-01T00:00:00"/>
    <d v="1899-12-30T19:07:00"/>
    <s v="Credit card"/>
    <n v="652.29999999999995"/>
    <n v="4.7619047620000003"/>
    <n v="32.615000000000002"/>
    <n v="5.2"/>
    <d v="2019-01-08T00:00:00"/>
    <n v="1"/>
    <n v="19"/>
  </r>
  <r>
    <s v="664-14-2882"/>
    <x v="1"/>
    <s v="Naypyitaw"/>
    <s v="Member"/>
    <s v="Female"/>
    <s v="Home and lifestyle"/>
    <n v="10.53"/>
    <n v="5"/>
    <n v="2.6324999999999998"/>
    <x v="741"/>
    <s v="1/30/2019"/>
    <d v="1899-12-30T14:43:00"/>
    <s v="Credit card"/>
    <n v="52.65"/>
    <n v="4.7619047620000003"/>
    <n v="2.6324999999999998"/>
    <n v="5.8"/>
    <d v="2019-01-30T00:00:00"/>
    <n v="1"/>
    <n v="14"/>
  </r>
  <r>
    <s v="487-79-6868"/>
    <x v="2"/>
    <s v="Mandalay"/>
    <s v="Member"/>
    <s v="Female"/>
    <s v="Home and lifestyle"/>
    <n v="12.29"/>
    <n v="9"/>
    <n v="5.5305"/>
    <x v="742"/>
    <s v="3/26/2019"/>
    <d v="1899-12-30T19:28:00"/>
    <s v="Credit card"/>
    <n v="110.61"/>
    <n v="4.7619047620000003"/>
    <n v="5.5305"/>
    <n v="8"/>
    <d v="2019-03-26T00:00:00"/>
    <n v="3"/>
    <n v="19"/>
  </r>
  <r>
    <s v="314-23-4520"/>
    <x v="1"/>
    <s v="Naypyitaw"/>
    <s v="Member"/>
    <s v="Male"/>
    <s v="Health and beauty"/>
    <n v="81.23"/>
    <n v="7"/>
    <n v="28.430499999999999"/>
    <x v="743"/>
    <s v="1/15/2019"/>
    <d v="1899-12-30T20:44:00"/>
    <s v="Cash"/>
    <n v="568.61"/>
    <n v="4.7619047620000003"/>
    <n v="28.430499999999999"/>
    <n v="9"/>
    <d v="2019-01-15T00:00:00"/>
    <n v="1"/>
    <n v="20"/>
  </r>
  <r>
    <s v="210-30-7976"/>
    <x v="2"/>
    <s v="Mandalay"/>
    <s v="Member"/>
    <s v="Female"/>
    <s v="Fashion accessories"/>
    <n v="22.32"/>
    <n v="4"/>
    <n v="4.4640000000000004"/>
    <x v="724"/>
    <s v="3/14/2019"/>
    <d v="1899-12-30T11:16:00"/>
    <s v="Ewallet"/>
    <n v="89.28"/>
    <n v="4.7619047620000003"/>
    <n v="4.4640000000000004"/>
    <n v="4.0999999999999996"/>
    <d v="2019-03-14T00:00:00"/>
    <n v="3"/>
    <n v="11"/>
  </r>
  <r>
    <s v="585-86-8361"/>
    <x v="0"/>
    <s v="Yangon"/>
    <s v="Normal"/>
    <s v="Female"/>
    <s v="Food and beverages"/>
    <n v="27.28"/>
    <n v="5"/>
    <n v="6.82"/>
    <x v="744"/>
    <d v="2019-03-02T00:00:00"/>
    <d v="1899-12-30T10:31:00"/>
    <s v="Credit card"/>
    <n v="136.4"/>
    <n v="4.7619047620000003"/>
    <n v="6.82"/>
    <n v="8.6"/>
    <d v="2019-02-03T00:00:00"/>
    <n v="2"/>
    <n v="10"/>
  </r>
  <r>
    <s v="807-14-7833"/>
    <x v="0"/>
    <s v="Yangon"/>
    <s v="Member"/>
    <s v="Female"/>
    <s v="Electronic accessories"/>
    <n v="17.420000000000002"/>
    <n v="10"/>
    <n v="8.7100000000000009"/>
    <x v="745"/>
    <s v="2/22/2019"/>
    <d v="1899-12-30T12:30:00"/>
    <s v="Ewallet"/>
    <n v="174.2"/>
    <n v="4.7619047620000003"/>
    <n v="8.7100000000000009"/>
    <n v="7"/>
    <d v="2019-02-22T00:00:00"/>
    <n v="2"/>
    <n v="12"/>
  </r>
  <r>
    <s v="775-72-1988"/>
    <x v="2"/>
    <s v="Mandalay"/>
    <s v="Normal"/>
    <s v="Male"/>
    <s v="Home and lifestyle"/>
    <n v="73.28"/>
    <n v="5"/>
    <n v="18.32"/>
    <x v="746"/>
    <s v="1/24/2019"/>
    <d v="1899-12-30T15:05:00"/>
    <s v="Ewallet"/>
    <n v="366.4"/>
    <n v="4.7619047620000003"/>
    <n v="18.32"/>
    <n v="8.4"/>
    <d v="2019-01-24T00:00:00"/>
    <n v="1"/>
    <n v="15"/>
  </r>
  <r>
    <s v="288-38-3758"/>
    <x v="1"/>
    <s v="Naypyitaw"/>
    <s v="Member"/>
    <s v="Female"/>
    <s v="Fashion accessories"/>
    <n v="84.87"/>
    <n v="3"/>
    <n v="12.730499999999999"/>
    <x v="747"/>
    <s v="1/25/2019"/>
    <d v="1899-12-30T18:30:00"/>
    <s v="Ewallet"/>
    <n v="254.61"/>
    <n v="4.7619047620000003"/>
    <n v="12.730499999999999"/>
    <n v="7.4"/>
    <d v="2019-01-25T00:00:00"/>
    <n v="1"/>
    <n v="18"/>
  </r>
  <r>
    <s v="652-43-6591"/>
    <x v="0"/>
    <s v="Yangon"/>
    <s v="Normal"/>
    <s v="Female"/>
    <s v="Fashion accessories"/>
    <n v="97.29"/>
    <n v="8"/>
    <n v="38.915999999999997"/>
    <x v="748"/>
    <d v="2019-09-03T00:00:00"/>
    <d v="1899-12-30T13:18:00"/>
    <s v="Credit card"/>
    <n v="778.32"/>
    <n v="4.7619047620000003"/>
    <n v="38.915999999999997"/>
    <n v="6.2"/>
    <d v="2019-03-09T00:00:00"/>
    <n v="3"/>
    <n v="13"/>
  </r>
  <r>
    <s v="785-96-0615"/>
    <x v="2"/>
    <s v="Mandalay"/>
    <s v="Member"/>
    <s v="Female"/>
    <s v="Electronic accessories"/>
    <n v="35.74"/>
    <n v="8"/>
    <n v="14.295999999999999"/>
    <x v="749"/>
    <s v="2/17/2019"/>
    <d v="1899-12-30T15:28:00"/>
    <s v="Ewallet"/>
    <n v="285.92"/>
    <n v="4.7619047620000003"/>
    <n v="14.295999999999999"/>
    <n v="4.9000000000000004"/>
    <d v="2019-02-17T00:00:00"/>
    <n v="2"/>
    <n v="15"/>
  </r>
  <r>
    <s v="406-46-7107"/>
    <x v="0"/>
    <s v="Yangon"/>
    <s v="Normal"/>
    <s v="Female"/>
    <s v="Home and lifestyle"/>
    <n v="96.52"/>
    <n v="6"/>
    <n v="28.956"/>
    <x v="750"/>
    <d v="2019-11-01T00:00:00"/>
    <d v="1899-12-30T11:52:00"/>
    <s v="Cash"/>
    <n v="579.12"/>
    <n v="4.7619047620000003"/>
    <n v="28.956"/>
    <n v="4.5"/>
    <d v="2019-01-11T00:00:00"/>
    <n v="1"/>
    <n v="11"/>
  </r>
  <r>
    <s v="250-17-5703"/>
    <x v="0"/>
    <s v="Yangon"/>
    <s v="Member"/>
    <s v="Male"/>
    <s v="Food and beverages"/>
    <n v="18.850000000000001"/>
    <n v="10"/>
    <n v="9.4250000000000007"/>
    <x v="751"/>
    <s v="2/27/2019"/>
    <d v="1899-12-30T18:24:00"/>
    <s v="Ewallet"/>
    <n v="188.5"/>
    <n v="4.7619047620000003"/>
    <n v="9.4250000000000007"/>
    <n v="5.6"/>
    <d v="2019-02-27T00:00:00"/>
    <n v="2"/>
    <n v="18"/>
  </r>
  <r>
    <s v="156-95-3964"/>
    <x v="0"/>
    <s v="Yangon"/>
    <s v="Normal"/>
    <s v="Female"/>
    <s v="Food and beverages"/>
    <n v="55.39"/>
    <n v="4"/>
    <n v="11.077999999999999"/>
    <x v="752"/>
    <s v="3/25/2019"/>
    <d v="1899-12-30T15:19:00"/>
    <s v="Ewallet"/>
    <n v="221.56"/>
    <n v="4.7619047620000003"/>
    <n v="11.077999999999999"/>
    <n v="8"/>
    <d v="2019-03-25T00:00:00"/>
    <n v="3"/>
    <n v="15"/>
  </r>
  <r>
    <s v="842-40-8179"/>
    <x v="2"/>
    <s v="Mandalay"/>
    <s v="Member"/>
    <s v="Female"/>
    <s v="Food and beverages"/>
    <n v="77.2"/>
    <n v="10"/>
    <n v="38.6"/>
    <x v="753"/>
    <d v="2019-11-02T00:00:00"/>
    <d v="1899-12-30T10:38:00"/>
    <s v="Credit card"/>
    <n v="772"/>
    <n v="4.7619047620000003"/>
    <n v="38.6"/>
    <n v="5.6"/>
    <d v="2019-02-11T00:00:00"/>
    <n v="2"/>
    <n v="10"/>
  </r>
  <r>
    <s v="525-09-8450"/>
    <x v="2"/>
    <s v="Mandalay"/>
    <s v="Normal"/>
    <s v="Male"/>
    <s v="Electronic accessories"/>
    <n v="72.13"/>
    <n v="10"/>
    <n v="36.064999999999998"/>
    <x v="754"/>
    <s v="1/31/2019"/>
    <d v="1899-12-30T15:12:00"/>
    <s v="Credit card"/>
    <n v="721.3"/>
    <n v="4.7619047620000003"/>
    <n v="36.064999999999998"/>
    <n v="4.2"/>
    <d v="2019-01-31T00:00:00"/>
    <n v="1"/>
    <n v="15"/>
  </r>
  <r>
    <s v="410-67-1709"/>
    <x v="0"/>
    <s v="Yangon"/>
    <s v="Member"/>
    <s v="Female"/>
    <s v="Fashion accessories"/>
    <n v="63.88"/>
    <n v="8"/>
    <n v="25.552"/>
    <x v="755"/>
    <s v="1/20/2019"/>
    <d v="1899-12-30T17:48:00"/>
    <s v="Ewallet"/>
    <n v="511.04"/>
    <n v="4.7619047620000003"/>
    <n v="25.552"/>
    <n v="9.9"/>
    <d v="2019-01-20T00:00:00"/>
    <n v="1"/>
    <n v="17"/>
  </r>
  <r>
    <s v="587-73-4862"/>
    <x v="0"/>
    <s v="Yangon"/>
    <s v="Member"/>
    <s v="Female"/>
    <s v="Health and beauty"/>
    <n v="10.69"/>
    <n v="5"/>
    <n v="2.6724999999999999"/>
    <x v="756"/>
    <s v="3/26/2019"/>
    <d v="1899-12-30T11:07:00"/>
    <s v="Ewallet"/>
    <n v="53.45"/>
    <n v="4.7619047620000003"/>
    <n v="2.6724999999999999"/>
    <n v="7.6"/>
    <d v="2019-03-26T00:00:00"/>
    <n v="3"/>
    <n v="11"/>
  </r>
  <r>
    <s v="787-87-2010"/>
    <x v="0"/>
    <s v="Yangon"/>
    <s v="Member"/>
    <s v="Male"/>
    <s v="Health and beauty"/>
    <n v="55.5"/>
    <n v="4"/>
    <n v="11.1"/>
    <x v="757"/>
    <s v="1/20/2019"/>
    <d v="1899-12-30T15:48:00"/>
    <s v="Credit card"/>
    <n v="222"/>
    <n v="4.7619047620000003"/>
    <n v="11.1"/>
    <n v="6.6"/>
    <d v="2019-01-20T00:00:00"/>
    <n v="1"/>
    <n v="15"/>
  </r>
  <r>
    <s v="593-14-4239"/>
    <x v="2"/>
    <s v="Mandalay"/>
    <s v="Normal"/>
    <s v="Female"/>
    <s v="Home and lifestyle"/>
    <n v="95.46"/>
    <n v="8"/>
    <n v="38.183999999999997"/>
    <x v="758"/>
    <d v="2019-05-03T00:00:00"/>
    <d v="1899-12-30T19:40:00"/>
    <s v="Ewallet"/>
    <n v="763.68"/>
    <n v="4.7619047620000003"/>
    <n v="38.183999999999997"/>
    <n v="4.7"/>
    <d v="2019-03-05T00:00:00"/>
    <n v="3"/>
    <n v="19"/>
  </r>
  <r>
    <s v="801-88-0346"/>
    <x v="1"/>
    <s v="Naypyitaw"/>
    <s v="Normal"/>
    <s v="Female"/>
    <s v="Fashion accessories"/>
    <n v="76.06"/>
    <n v="3"/>
    <n v="11.409000000000001"/>
    <x v="759"/>
    <d v="2019-05-01T00:00:00"/>
    <d v="1899-12-30T20:30:00"/>
    <s v="Credit card"/>
    <n v="228.18"/>
    <n v="4.7619047620000003"/>
    <n v="11.409000000000001"/>
    <n v="9.8000000000000007"/>
    <d v="2019-01-05T00:00:00"/>
    <n v="1"/>
    <n v="20"/>
  </r>
  <r>
    <s v="388-76-2555"/>
    <x v="2"/>
    <s v="Mandalay"/>
    <s v="Normal"/>
    <s v="Male"/>
    <s v="Sports and travel"/>
    <n v="13.69"/>
    <n v="6"/>
    <n v="4.1070000000000002"/>
    <x v="760"/>
    <s v="2/13/2019"/>
    <d v="1899-12-30T13:59:00"/>
    <s v="Cash"/>
    <n v="82.14"/>
    <n v="4.7619047620000003"/>
    <n v="4.1070000000000002"/>
    <n v="6.3"/>
    <d v="2019-02-13T00:00:00"/>
    <n v="2"/>
    <n v="13"/>
  </r>
  <r>
    <s v="711-31-1234"/>
    <x v="2"/>
    <s v="Mandalay"/>
    <s v="Normal"/>
    <s v="Female"/>
    <s v="Electronic accessories"/>
    <n v="95.64"/>
    <n v="4"/>
    <n v="19.128"/>
    <x v="761"/>
    <s v="3/16/2019"/>
    <d v="1899-12-30T18:51:00"/>
    <s v="Cash"/>
    <n v="382.56"/>
    <n v="4.7619047620000003"/>
    <n v="19.128"/>
    <n v="7.9"/>
    <d v="2019-03-16T00:00:00"/>
    <n v="3"/>
    <n v="18"/>
  </r>
  <r>
    <s v="886-54-6089"/>
    <x v="0"/>
    <s v="Yangon"/>
    <s v="Normal"/>
    <s v="Female"/>
    <s v="Home and lifestyle"/>
    <n v="11.43"/>
    <n v="6"/>
    <n v="3.4289999999999998"/>
    <x v="762"/>
    <s v="1/15/2019"/>
    <d v="1899-12-30T17:24:00"/>
    <s v="Cash"/>
    <n v="68.58"/>
    <n v="4.7619047620000003"/>
    <n v="3.4289999999999998"/>
    <n v="7.7"/>
    <d v="2019-01-15T00:00:00"/>
    <n v="1"/>
    <n v="17"/>
  </r>
  <r>
    <s v="707-32-7409"/>
    <x v="2"/>
    <s v="Mandalay"/>
    <s v="Member"/>
    <s v="Female"/>
    <s v="Sports and travel"/>
    <n v="95.54"/>
    <n v="4"/>
    <n v="19.108000000000001"/>
    <x v="763"/>
    <s v="2/26/2019"/>
    <d v="1899-12-30T11:58:00"/>
    <s v="Ewallet"/>
    <n v="382.16"/>
    <n v="4.7619047620000003"/>
    <n v="19.108000000000001"/>
    <n v="4.5"/>
    <d v="2019-02-26T00:00:00"/>
    <n v="2"/>
    <n v="11"/>
  </r>
  <r>
    <s v="759-98-4285"/>
    <x v="1"/>
    <s v="Naypyitaw"/>
    <s v="Member"/>
    <s v="Female"/>
    <s v="Health and beauty"/>
    <n v="85.87"/>
    <n v="7"/>
    <n v="30.054500000000001"/>
    <x v="764"/>
    <s v="2/27/2019"/>
    <d v="1899-12-30T19:01:00"/>
    <s v="Credit card"/>
    <n v="601.09"/>
    <n v="4.7619047620000003"/>
    <n v="30.054500000000001"/>
    <n v="8"/>
    <d v="2019-02-27T00:00:00"/>
    <n v="2"/>
    <n v="19"/>
  </r>
  <r>
    <s v="201-63-8275"/>
    <x v="1"/>
    <s v="Naypyitaw"/>
    <s v="Member"/>
    <s v="Female"/>
    <s v="Sports and travel"/>
    <n v="67.989999999999995"/>
    <n v="7"/>
    <n v="23.796500000000002"/>
    <x v="765"/>
    <s v="2/17/2019"/>
    <d v="1899-12-30T16:50:00"/>
    <s v="Ewallet"/>
    <n v="475.93"/>
    <n v="4.7619047620000003"/>
    <n v="23.796500000000002"/>
    <n v="5.7"/>
    <d v="2019-02-17T00:00:00"/>
    <n v="2"/>
    <n v="16"/>
  </r>
  <r>
    <s v="471-06-8611"/>
    <x v="1"/>
    <s v="Naypyitaw"/>
    <s v="Normal"/>
    <s v="Female"/>
    <s v="Food and beverages"/>
    <n v="52.42"/>
    <n v="1"/>
    <n v="2.621"/>
    <x v="766"/>
    <d v="2019-06-02T00:00:00"/>
    <d v="1899-12-30T10:22:00"/>
    <s v="Credit card"/>
    <n v="52.42"/>
    <n v="4.7619047620000003"/>
    <n v="2.621"/>
    <n v="6.3"/>
    <d v="2019-02-06T00:00:00"/>
    <n v="2"/>
    <n v="10"/>
  </r>
  <r>
    <s v="200-16-5952"/>
    <x v="1"/>
    <s v="Naypyitaw"/>
    <s v="Member"/>
    <s v="Male"/>
    <s v="Food and beverages"/>
    <n v="65.650000000000006"/>
    <n v="2"/>
    <n v="6.5650000000000004"/>
    <x v="767"/>
    <s v="1/17/2019"/>
    <d v="1899-12-30T16:46:00"/>
    <s v="Cash"/>
    <n v="131.30000000000001"/>
    <n v="4.7619047620000003"/>
    <n v="6.5650000000000004"/>
    <n v="6"/>
    <d v="2019-01-17T00:00:00"/>
    <n v="1"/>
    <n v="16"/>
  </r>
  <r>
    <s v="120-54-2248"/>
    <x v="2"/>
    <s v="Mandalay"/>
    <s v="Normal"/>
    <s v="Female"/>
    <s v="Food and beverages"/>
    <n v="28.86"/>
    <n v="5"/>
    <n v="7.2149999999999999"/>
    <x v="768"/>
    <s v="1/22/2019"/>
    <d v="1899-12-30T18:08:00"/>
    <s v="Credit card"/>
    <n v="144.30000000000001"/>
    <n v="4.7619047620000003"/>
    <n v="7.2149999999999999"/>
    <n v="8"/>
    <d v="2019-01-22T00:00:00"/>
    <n v="1"/>
    <n v="18"/>
  </r>
  <r>
    <s v="102-77-2261"/>
    <x v="1"/>
    <s v="Naypyitaw"/>
    <s v="Member"/>
    <s v="Male"/>
    <s v="Health and beauty"/>
    <n v="65.31"/>
    <n v="7"/>
    <n v="22.858499999999999"/>
    <x v="769"/>
    <d v="2019-05-03T00:00:00"/>
    <d v="1899-12-30T18:02:00"/>
    <s v="Credit card"/>
    <n v="457.17"/>
    <n v="4.7619047620000003"/>
    <n v="22.858499999999999"/>
    <n v="4.2"/>
    <d v="2019-03-05T00:00:00"/>
    <n v="3"/>
    <n v="18"/>
  </r>
  <r>
    <s v="875-31-8302"/>
    <x v="2"/>
    <s v="Mandalay"/>
    <s v="Normal"/>
    <s v="Male"/>
    <s v="Sports and travel"/>
    <n v="93.38"/>
    <n v="1"/>
    <n v="4.6689999999999996"/>
    <x v="770"/>
    <d v="2019-03-01T00:00:00"/>
    <d v="1899-12-30T13:07:00"/>
    <s v="Cash"/>
    <n v="93.38"/>
    <n v="4.7619047620000003"/>
    <n v="4.6689999999999996"/>
    <n v="9.6"/>
    <d v="2019-01-03T00:00:00"/>
    <n v="1"/>
    <n v="13"/>
  </r>
  <r>
    <s v="102-06-2002"/>
    <x v="1"/>
    <s v="Naypyitaw"/>
    <s v="Member"/>
    <s v="Male"/>
    <s v="Sports and travel"/>
    <n v="25.25"/>
    <n v="5"/>
    <n v="6.3125"/>
    <x v="771"/>
    <s v="3/20/2019"/>
    <d v="1899-12-30T17:52:00"/>
    <s v="Cash"/>
    <n v="126.25"/>
    <n v="4.7619047620000003"/>
    <n v="6.3125"/>
    <n v="6.1"/>
    <d v="2019-03-20T00:00:00"/>
    <n v="3"/>
    <n v="17"/>
  </r>
  <r>
    <s v="457-94-0464"/>
    <x v="2"/>
    <s v="Mandalay"/>
    <s v="Member"/>
    <s v="Male"/>
    <s v="Electronic accessories"/>
    <n v="87.87"/>
    <n v="9"/>
    <n v="39.541499999999999"/>
    <x v="772"/>
    <s v="1/31/2019"/>
    <d v="1899-12-30T20:32:00"/>
    <s v="Ewallet"/>
    <n v="790.83"/>
    <n v="4.7619047620000003"/>
    <n v="39.541499999999999"/>
    <n v="5.6"/>
    <d v="2019-01-31T00:00:00"/>
    <n v="1"/>
    <n v="20"/>
  </r>
  <r>
    <s v="629-42-4133"/>
    <x v="1"/>
    <s v="Naypyitaw"/>
    <s v="Normal"/>
    <s v="Male"/>
    <s v="Health and beauty"/>
    <n v="21.8"/>
    <n v="8"/>
    <n v="8.7200000000000006"/>
    <x v="773"/>
    <s v="2/19/2019"/>
    <d v="1899-12-30T19:24:00"/>
    <s v="Cash"/>
    <n v="174.4"/>
    <n v="4.7619047620000003"/>
    <n v="8.7200000000000006"/>
    <n v="8.3000000000000007"/>
    <d v="2019-02-19T00:00:00"/>
    <n v="2"/>
    <n v="19"/>
  </r>
  <r>
    <s v="534-53-3526"/>
    <x v="0"/>
    <s v="Yangon"/>
    <s v="Normal"/>
    <s v="Female"/>
    <s v="Sports and travel"/>
    <n v="94.76"/>
    <n v="4"/>
    <n v="18.952000000000002"/>
    <x v="774"/>
    <d v="2019-11-02T00:00:00"/>
    <d v="1899-12-30T16:06:00"/>
    <s v="Ewallet"/>
    <n v="379.04"/>
    <n v="4.7619047620000003"/>
    <n v="18.952000000000002"/>
    <n v="7.8"/>
    <d v="2019-02-11T00:00:00"/>
    <n v="2"/>
    <n v="16"/>
  </r>
  <r>
    <s v="307-04-2070"/>
    <x v="0"/>
    <s v="Yangon"/>
    <s v="Member"/>
    <s v="Female"/>
    <s v="Fashion accessories"/>
    <n v="30.62"/>
    <n v="1"/>
    <n v="1.5309999999999999"/>
    <x v="775"/>
    <d v="2019-05-02T00:00:00"/>
    <d v="1899-12-30T14:14:00"/>
    <s v="Credit card"/>
    <n v="30.62"/>
    <n v="4.7619047620000003"/>
    <n v="1.5309999999999999"/>
    <n v="4.0999999999999996"/>
    <d v="2019-02-05T00:00:00"/>
    <n v="2"/>
    <n v="14"/>
  </r>
  <r>
    <s v="468-99-7231"/>
    <x v="1"/>
    <s v="Naypyitaw"/>
    <s v="Normal"/>
    <s v="Female"/>
    <s v="Home and lifestyle"/>
    <n v="44.01"/>
    <n v="8"/>
    <n v="17.603999999999999"/>
    <x v="776"/>
    <d v="2019-03-03T00:00:00"/>
    <d v="1899-12-30T17:36:00"/>
    <s v="Cash"/>
    <n v="352.08"/>
    <n v="4.7619047620000003"/>
    <n v="17.603999999999999"/>
    <n v="8.8000000000000007"/>
    <d v="2019-03-03T00:00:00"/>
    <n v="3"/>
    <n v="17"/>
  </r>
  <r>
    <s v="516-77-6464"/>
    <x v="1"/>
    <s v="Naypyitaw"/>
    <s v="Member"/>
    <s v="Female"/>
    <s v="Health and beauty"/>
    <n v="10.16"/>
    <n v="5"/>
    <n v="2.54"/>
    <x v="777"/>
    <s v="2/24/2019"/>
    <d v="1899-12-30T13:08:00"/>
    <s v="Ewallet"/>
    <n v="50.8"/>
    <n v="4.7619047620000003"/>
    <n v="2.54"/>
    <n v="4.0999999999999996"/>
    <d v="2019-02-24T00:00:00"/>
    <n v="2"/>
    <n v="13"/>
  </r>
  <r>
    <s v="404-91-5964"/>
    <x v="0"/>
    <s v="Yangon"/>
    <s v="Normal"/>
    <s v="Male"/>
    <s v="Electronic accessories"/>
    <n v="74.58"/>
    <n v="7"/>
    <n v="26.103000000000002"/>
    <x v="778"/>
    <d v="2019-04-02T00:00:00"/>
    <d v="1899-12-30T16:09:00"/>
    <s v="Credit card"/>
    <n v="522.05999999999995"/>
    <n v="4.7619047620000003"/>
    <n v="26.103000000000002"/>
    <n v="9"/>
    <d v="2019-02-04T00:00:00"/>
    <n v="2"/>
    <n v="16"/>
  </r>
  <r>
    <s v="886-77-9084"/>
    <x v="1"/>
    <s v="Naypyitaw"/>
    <s v="Normal"/>
    <s v="Male"/>
    <s v="Electronic accessories"/>
    <n v="71.89"/>
    <n v="8"/>
    <n v="28.756"/>
    <x v="779"/>
    <s v="2/19/2019"/>
    <d v="1899-12-30T11:33:00"/>
    <s v="Ewallet"/>
    <n v="575.12"/>
    <n v="4.7619047620000003"/>
    <n v="28.756"/>
    <n v="5.5"/>
    <d v="2019-02-19T00:00:00"/>
    <n v="2"/>
    <n v="11"/>
  </r>
  <r>
    <s v="790-38-4466"/>
    <x v="1"/>
    <s v="Naypyitaw"/>
    <s v="Normal"/>
    <s v="Female"/>
    <s v="Health and beauty"/>
    <n v="10.99"/>
    <n v="5"/>
    <n v="2.7475000000000001"/>
    <x v="780"/>
    <s v="1/23/2019"/>
    <d v="1899-12-30T10:18:00"/>
    <s v="Credit card"/>
    <n v="54.95"/>
    <n v="4.7619047620000003"/>
    <n v="2.7475000000000001"/>
    <n v="9.3000000000000007"/>
    <d v="2019-01-23T00:00:00"/>
    <n v="1"/>
    <n v="10"/>
  </r>
  <r>
    <s v="704-10-4056"/>
    <x v="1"/>
    <s v="Naypyitaw"/>
    <s v="Member"/>
    <s v="Male"/>
    <s v="Health and beauty"/>
    <n v="60.47"/>
    <n v="3"/>
    <n v="9.0704999999999991"/>
    <x v="781"/>
    <s v="1/14/2019"/>
    <d v="1899-12-30T10:55:00"/>
    <s v="Credit card"/>
    <n v="181.41"/>
    <n v="4.7619047620000003"/>
    <n v="9.0704999999999991"/>
    <n v="5.6"/>
    <d v="2019-01-14T00:00:00"/>
    <n v="1"/>
    <n v="10"/>
  </r>
  <r>
    <s v="497-37-6538"/>
    <x v="0"/>
    <s v="Yangon"/>
    <s v="Normal"/>
    <s v="Male"/>
    <s v="Sports and travel"/>
    <n v="58.91"/>
    <n v="7"/>
    <n v="20.618500000000001"/>
    <x v="782"/>
    <s v="1/17/2019"/>
    <d v="1899-12-30T15:15:00"/>
    <s v="Ewallet"/>
    <n v="412.37"/>
    <n v="4.7619047620000003"/>
    <n v="20.618500000000001"/>
    <n v="9.6999999999999993"/>
    <d v="2019-01-17T00:00:00"/>
    <n v="1"/>
    <n v="15"/>
  </r>
  <r>
    <s v="651-96-5970"/>
    <x v="0"/>
    <s v="Yangon"/>
    <s v="Normal"/>
    <s v="Male"/>
    <s v="Fashion accessories"/>
    <n v="46.41"/>
    <n v="1"/>
    <n v="2.3205"/>
    <x v="783"/>
    <d v="2019-03-03T00:00:00"/>
    <d v="1899-12-30T20:06:00"/>
    <s v="Credit card"/>
    <n v="46.41"/>
    <n v="4.7619047620000003"/>
    <n v="2.3205"/>
    <n v="4"/>
    <d v="2019-03-03T00:00:00"/>
    <n v="3"/>
    <n v="20"/>
  </r>
  <r>
    <s v="400-80-4065"/>
    <x v="1"/>
    <s v="Naypyitaw"/>
    <s v="Member"/>
    <s v="Male"/>
    <s v="Health and beauty"/>
    <n v="68.55"/>
    <n v="4"/>
    <n v="13.71"/>
    <x v="784"/>
    <s v="2/15/2019"/>
    <d v="1899-12-30T20:21:00"/>
    <s v="Credit card"/>
    <n v="274.2"/>
    <n v="4.7619047620000003"/>
    <n v="13.71"/>
    <n v="9.1999999999999993"/>
    <d v="2019-02-15T00:00:00"/>
    <n v="2"/>
    <n v="20"/>
  </r>
  <r>
    <s v="744-16-7898"/>
    <x v="2"/>
    <s v="Mandalay"/>
    <s v="Normal"/>
    <s v="Female"/>
    <s v="Home and lifestyle"/>
    <n v="97.37"/>
    <n v="10"/>
    <n v="48.685000000000002"/>
    <x v="785"/>
    <s v="1/15/2019"/>
    <d v="1899-12-30T13:48:00"/>
    <s v="Credit card"/>
    <n v="973.7"/>
    <n v="4.7619047620000003"/>
    <n v="48.685000000000002"/>
    <n v="4.9000000000000004"/>
    <d v="2019-01-15T00:00:00"/>
    <n v="1"/>
    <n v="13"/>
  </r>
  <r>
    <s v="263-12-5321"/>
    <x v="0"/>
    <s v="Yangon"/>
    <s v="Member"/>
    <s v="Male"/>
    <s v="Electronic accessories"/>
    <n v="92.6"/>
    <n v="7"/>
    <n v="32.409999999999997"/>
    <x v="786"/>
    <s v="2/27/2019"/>
    <d v="1899-12-30T12:52:00"/>
    <s v="Credit card"/>
    <n v="648.20000000000005"/>
    <n v="4.7619047620000003"/>
    <n v="32.409999999999997"/>
    <n v="9.3000000000000007"/>
    <d v="2019-02-27T00:00:00"/>
    <n v="2"/>
    <n v="12"/>
  </r>
  <r>
    <s v="702-72-0487"/>
    <x v="0"/>
    <s v="Yangon"/>
    <s v="Normal"/>
    <s v="Female"/>
    <s v="Electronic accessories"/>
    <n v="46.61"/>
    <n v="2"/>
    <n v="4.6609999999999996"/>
    <x v="787"/>
    <s v="2/26/2019"/>
    <d v="1899-12-30T12:28:00"/>
    <s v="Credit card"/>
    <n v="93.22"/>
    <n v="4.7619047620000003"/>
    <n v="4.6609999999999996"/>
    <n v="6.6"/>
    <d v="2019-02-26T00:00:00"/>
    <n v="2"/>
    <n v="12"/>
  </r>
  <r>
    <s v="605-83-1050"/>
    <x v="2"/>
    <s v="Mandalay"/>
    <s v="Normal"/>
    <s v="Male"/>
    <s v="Fashion accessories"/>
    <n v="27.18"/>
    <n v="2"/>
    <n v="2.718"/>
    <x v="788"/>
    <s v="3/15/2019"/>
    <d v="1899-12-30T16:26:00"/>
    <s v="Ewallet"/>
    <n v="54.36"/>
    <n v="4.7619047620000003"/>
    <n v="2.718"/>
    <n v="4.3"/>
    <d v="2019-03-15T00:00:00"/>
    <n v="3"/>
    <n v="16"/>
  </r>
  <r>
    <s v="443-60-9639"/>
    <x v="1"/>
    <s v="Naypyitaw"/>
    <s v="Member"/>
    <s v="Female"/>
    <s v="Home and lifestyle"/>
    <n v="60.87"/>
    <n v="1"/>
    <n v="3.0434999999999999"/>
    <x v="789"/>
    <s v="1/24/2019"/>
    <d v="1899-12-30T13:24:00"/>
    <s v="Cash"/>
    <n v="60.87"/>
    <n v="4.7619047620000003"/>
    <n v="3.0434999999999999"/>
    <n v="5.5"/>
    <d v="2019-01-24T00:00:00"/>
    <n v="1"/>
    <n v="13"/>
  </r>
  <r>
    <s v="864-24-7918"/>
    <x v="0"/>
    <s v="Yangon"/>
    <s v="Member"/>
    <s v="Female"/>
    <s v="Sports and travel"/>
    <n v="24.49"/>
    <n v="10"/>
    <n v="12.244999999999999"/>
    <x v="790"/>
    <s v="2/22/2019"/>
    <d v="1899-12-30T15:15:00"/>
    <s v="Cash"/>
    <n v="244.9"/>
    <n v="4.7619047620000003"/>
    <n v="12.244999999999999"/>
    <n v="8.1"/>
    <d v="2019-02-22T00:00:00"/>
    <n v="2"/>
    <n v="15"/>
  </r>
  <r>
    <s v="359-94-5395"/>
    <x v="2"/>
    <s v="Mandalay"/>
    <s v="Normal"/>
    <s v="Male"/>
    <s v="Health and beauty"/>
    <n v="92.78"/>
    <n v="1"/>
    <n v="4.6390000000000002"/>
    <x v="791"/>
    <s v="3/15/2019"/>
    <d v="1899-12-30T10:50:00"/>
    <s v="Credit card"/>
    <n v="92.78"/>
    <n v="4.7619047620000003"/>
    <n v="4.6390000000000002"/>
    <n v="9.8000000000000007"/>
    <d v="2019-03-15T00:00:00"/>
    <n v="3"/>
    <n v="10"/>
  </r>
  <r>
    <s v="401-09-4232"/>
    <x v="1"/>
    <s v="Naypyitaw"/>
    <s v="Member"/>
    <s v="Male"/>
    <s v="Home and lifestyle"/>
    <n v="86.69"/>
    <n v="5"/>
    <n v="21.672499999999999"/>
    <x v="792"/>
    <d v="2019-11-02T00:00:00"/>
    <d v="1899-12-30T18:38:00"/>
    <s v="Ewallet"/>
    <n v="433.45"/>
    <n v="4.7619047620000003"/>
    <n v="21.672499999999999"/>
    <n v="9.4"/>
    <d v="2019-02-11T00:00:00"/>
    <n v="2"/>
    <n v="18"/>
  </r>
  <r>
    <s v="751-15-6198"/>
    <x v="2"/>
    <s v="Mandalay"/>
    <s v="Normal"/>
    <s v="Male"/>
    <s v="Sports and travel"/>
    <n v="23.01"/>
    <n v="6"/>
    <n v="6.9029999999999996"/>
    <x v="793"/>
    <d v="2019-12-01T00:00:00"/>
    <d v="1899-12-30T16:45:00"/>
    <s v="Ewallet"/>
    <n v="138.06"/>
    <n v="4.7619047620000003"/>
    <n v="6.9029999999999996"/>
    <n v="7.9"/>
    <d v="2019-01-12T00:00:00"/>
    <n v="1"/>
    <n v="16"/>
  </r>
  <r>
    <s v="324-41-6833"/>
    <x v="1"/>
    <s v="Naypyitaw"/>
    <s v="Member"/>
    <s v="Female"/>
    <s v="Electronic accessories"/>
    <n v="30.2"/>
    <n v="8"/>
    <n v="12.08"/>
    <x v="794"/>
    <d v="2019-03-03T00:00:00"/>
    <d v="1899-12-30T19:30:00"/>
    <s v="Ewallet"/>
    <n v="241.6"/>
    <n v="4.7619047620000003"/>
    <n v="12.08"/>
    <n v="5.0999999999999996"/>
    <d v="2019-03-03T00:00:00"/>
    <n v="3"/>
    <n v="19"/>
  </r>
  <r>
    <s v="474-33-8305"/>
    <x v="1"/>
    <s v="Naypyitaw"/>
    <s v="Member"/>
    <s v="Male"/>
    <s v="Fashion accessories"/>
    <n v="67.39"/>
    <n v="7"/>
    <n v="23.586500000000001"/>
    <x v="795"/>
    <s v="3/23/2019"/>
    <d v="1899-12-30T13:23:00"/>
    <s v="Ewallet"/>
    <n v="471.73"/>
    <n v="4.7619047620000003"/>
    <n v="23.586500000000001"/>
    <n v="6.9"/>
    <d v="2019-03-23T00:00:00"/>
    <n v="3"/>
    <n v="13"/>
  </r>
  <r>
    <s v="759-29-9521"/>
    <x v="0"/>
    <s v="Yangon"/>
    <s v="Member"/>
    <s v="Female"/>
    <s v="Fashion accessories"/>
    <n v="48.96"/>
    <n v="9"/>
    <n v="22.032"/>
    <x v="796"/>
    <d v="2019-04-03T00:00:00"/>
    <d v="1899-12-30T11:27:00"/>
    <s v="Cash"/>
    <n v="440.64"/>
    <n v="4.7619047620000003"/>
    <n v="22.032"/>
    <n v="8"/>
    <d v="2019-03-04T00:00:00"/>
    <n v="3"/>
    <n v="11"/>
  </r>
  <r>
    <s v="831-81-6575"/>
    <x v="2"/>
    <s v="Mandalay"/>
    <s v="Member"/>
    <s v="Female"/>
    <s v="Electronic accessories"/>
    <n v="75.59"/>
    <n v="9"/>
    <n v="34.015500000000003"/>
    <x v="797"/>
    <s v="2/23/2019"/>
    <d v="1899-12-30T11:12:00"/>
    <s v="Cash"/>
    <n v="680.31"/>
    <n v="4.7619047620000003"/>
    <n v="34.015500000000003"/>
    <n v="8"/>
    <d v="2019-02-23T00:00:00"/>
    <n v="2"/>
    <n v="11"/>
  </r>
  <r>
    <s v="220-68-6701"/>
    <x v="0"/>
    <s v="Yangon"/>
    <s v="Normal"/>
    <s v="Female"/>
    <s v="Home and lifestyle"/>
    <n v="77.47"/>
    <n v="4"/>
    <n v="15.494"/>
    <x v="798"/>
    <s v="3/17/2019"/>
    <d v="1899-12-30T16:36:00"/>
    <s v="Cash"/>
    <n v="309.88"/>
    <n v="4.7619047620000003"/>
    <n v="15.494"/>
    <n v="4.2"/>
    <d v="2019-03-17T00:00:00"/>
    <n v="3"/>
    <n v="16"/>
  </r>
  <r>
    <s v="618-34-8551"/>
    <x v="0"/>
    <s v="Yangon"/>
    <s v="Normal"/>
    <s v="Female"/>
    <s v="Sports and travel"/>
    <n v="93.18"/>
    <n v="2"/>
    <n v="9.3179999999999996"/>
    <x v="799"/>
    <s v="1/16/2019"/>
    <d v="1899-12-30T18:41:00"/>
    <s v="Credit card"/>
    <n v="186.36"/>
    <n v="4.7619047620000003"/>
    <n v="9.3179999999999996"/>
    <n v="8.5"/>
    <d v="2019-01-16T00:00:00"/>
    <n v="1"/>
    <n v="18"/>
  </r>
  <r>
    <s v="257-60-7754"/>
    <x v="0"/>
    <s v="Yangon"/>
    <s v="Normal"/>
    <s v="Female"/>
    <s v="Electronic accessories"/>
    <n v="50.23"/>
    <n v="4"/>
    <n v="10.045999999999999"/>
    <x v="800"/>
    <d v="2019-08-01T00:00:00"/>
    <d v="1899-12-30T17:12:00"/>
    <s v="Cash"/>
    <n v="200.92"/>
    <n v="4.7619047620000003"/>
    <n v="10.045999999999999"/>
    <n v="9"/>
    <d v="2019-01-08T00:00:00"/>
    <n v="1"/>
    <n v="17"/>
  </r>
  <r>
    <s v="559-61-5987"/>
    <x v="2"/>
    <s v="Mandalay"/>
    <s v="Normal"/>
    <s v="Female"/>
    <s v="Health and beauty"/>
    <n v="17.75"/>
    <n v="1"/>
    <n v="0.88749999999999996"/>
    <x v="801"/>
    <s v="1/14/2019"/>
    <d v="1899-12-30T10:38:00"/>
    <s v="Cash"/>
    <n v="17.75"/>
    <n v="4.7619047620000003"/>
    <n v="0.88749999999999996"/>
    <n v="8.6"/>
    <d v="2019-01-14T00:00:00"/>
    <n v="1"/>
    <n v="10"/>
  </r>
  <r>
    <s v="189-55-2313"/>
    <x v="1"/>
    <s v="Naypyitaw"/>
    <s v="Normal"/>
    <s v="Female"/>
    <s v="Fashion accessories"/>
    <n v="62.18"/>
    <n v="10"/>
    <n v="31.09"/>
    <x v="802"/>
    <s v="1/31/2019"/>
    <d v="1899-12-30T10:33:00"/>
    <s v="Ewallet"/>
    <n v="621.79999999999995"/>
    <n v="4.7619047620000003"/>
    <n v="31.09"/>
    <n v="6"/>
    <d v="2019-01-31T00:00:00"/>
    <n v="1"/>
    <n v="10"/>
  </r>
  <r>
    <s v="565-91-4567"/>
    <x v="2"/>
    <s v="Mandalay"/>
    <s v="Normal"/>
    <s v="Male"/>
    <s v="Health and beauty"/>
    <n v="10.75"/>
    <n v="8"/>
    <n v="4.3"/>
    <x v="803"/>
    <s v="3/15/2019"/>
    <d v="1899-12-30T14:38:00"/>
    <s v="Ewallet"/>
    <n v="86"/>
    <n v="4.7619047620000003"/>
    <n v="4.3"/>
    <n v="6.2"/>
    <d v="2019-03-15T00:00:00"/>
    <n v="3"/>
    <n v="14"/>
  </r>
  <r>
    <s v="380-60-5336"/>
    <x v="0"/>
    <s v="Yangon"/>
    <s v="Normal"/>
    <s v="Female"/>
    <s v="Electronic accessories"/>
    <n v="40.26"/>
    <n v="10"/>
    <n v="20.13"/>
    <x v="804"/>
    <s v="2/24/2019"/>
    <d v="1899-12-30T18:06:00"/>
    <s v="Credit card"/>
    <n v="402.6"/>
    <n v="4.7619047620000003"/>
    <n v="20.13"/>
    <n v="5"/>
    <d v="2019-02-24T00:00:00"/>
    <n v="2"/>
    <n v="18"/>
  </r>
  <r>
    <s v="815-04-6282"/>
    <x v="1"/>
    <s v="Naypyitaw"/>
    <s v="Member"/>
    <s v="Female"/>
    <s v="Sports and travel"/>
    <n v="64.97"/>
    <n v="5"/>
    <n v="16.2425"/>
    <x v="805"/>
    <d v="2019-08-02T00:00:00"/>
    <d v="1899-12-30T12:52:00"/>
    <s v="Credit card"/>
    <n v="324.85000000000002"/>
    <n v="4.7619047620000003"/>
    <n v="16.2425"/>
    <n v="6.5"/>
    <d v="2019-02-08T00:00:00"/>
    <n v="2"/>
    <n v="12"/>
  </r>
  <r>
    <s v="674-56-6360"/>
    <x v="0"/>
    <s v="Yangon"/>
    <s v="Normal"/>
    <s v="Male"/>
    <s v="Electronic accessories"/>
    <n v="95.15"/>
    <n v="1"/>
    <n v="4.7575000000000003"/>
    <x v="806"/>
    <s v="3/22/2019"/>
    <d v="1899-12-30T14:00:00"/>
    <s v="Cash"/>
    <n v="95.15"/>
    <n v="4.7619047620000003"/>
    <n v="4.7575000000000003"/>
    <n v="6"/>
    <d v="2019-03-22T00:00:00"/>
    <n v="3"/>
    <n v="14"/>
  </r>
  <r>
    <s v="778-34-2523"/>
    <x v="0"/>
    <s v="Yangon"/>
    <s v="Member"/>
    <s v="Female"/>
    <s v="Electronic accessories"/>
    <n v="48.62"/>
    <n v="8"/>
    <n v="19.448"/>
    <x v="807"/>
    <s v="1/24/2019"/>
    <d v="1899-12-30T10:57:00"/>
    <s v="Cash"/>
    <n v="388.96"/>
    <n v="4.7619047620000003"/>
    <n v="19.448"/>
    <n v="5"/>
    <d v="2019-01-24T00:00:00"/>
    <n v="1"/>
    <n v="10"/>
  </r>
  <r>
    <s v="499-27-7781"/>
    <x v="2"/>
    <s v="Mandalay"/>
    <s v="Normal"/>
    <s v="Female"/>
    <s v="Food and beverages"/>
    <n v="53.21"/>
    <n v="8"/>
    <n v="21.283999999999999"/>
    <x v="808"/>
    <s v="3/14/2019"/>
    <d v="1899-12-30T16:45:00"/>
    <s v="Ewallet"/>
    <n v="425.68"/>
    <n v="4.7619047620000003"/>
    <n v="21.283999999999999"/>
    <n v="5"/>
    <d v="2019-03-14T00:00:00"/>
    <n v="3"/>
    <n v="16"/>
  </r>
  <r>
    <s v="477-59-2456"/>
    <x v="1"/>
    <s v="Naypyitaw"/>
    <s v="Normal"/>
    <s v="Female"/>
    <s v="Fashion accessories"/>
    <n v="45.44"/>
    <n v="7"/>
    <n v="15.904"/>
    <x v="809"/>
    <s v="1/23/2019"/>
    <d v="1899-12-30T11:15:00"/>
    <s v="Cash"/>
    <n v="318.08"/>
    <n v="4.7619047620000003"/>
    <n v="15.904"/>
    <n v="9.1999999999999993"/>
    <d v="2019-01-23T00:00:00"/>
    <n v="1"/>
    <n v="11"/>
  </r>
  <r>
    <s v="832-51-6761"/>
    <x v="0"/>
    <s v="Yangon"/>
    <s v="Normal"/>
    <s v="Male"/>
    <s v="Food and beverages"/>
    <n v="33.880000000000003"/>
    <n v="8"/>
    <n v="13.552"/>
    <x v="810"/>
    <s v="1/19/2019"/>
    <d v="1899-12-30T20:29:00"/>
    <s v="Ewallet"/>
    <n v="271.04000000000002"/>
    <n v="4.7619047620000003"/>
    <n v="13.552"/>
    <n v="9.6"/>
    <d v="2019-01-19T00:00:00"/>
    <n v="1"/>
    <n v="20"/>
  </r>
  <r>
    <s v="869-11-3082"/>
    <x v="2"/>
    <s v="Mandalay"/>
    <s v="Member"/>
    <s v="Male"/>
    <s v="Health and beauty"/>
    <n v="96.16"/>
    <n v="4"/>
    <n v="19.231999999999999"/>
    <x v="811"/>
    <s v="1/27/2019"/>
    <d v="1899-12-30T20:03:00"/>
    <s v="Credit card"/>
    <n v="384.64"/>
    <n v="4.7619047620000003"/>
    <n v="19.231999999999999"/>
    <n v="8.4"/>
    <d v="2019-01-27T00:00:00"/>
    <n v="1"/>
    <n v="20"/>
  </r>
  <r>
    <s v="190-59-3964"/>
    <x v="2"/>
    <s v="Mandalay"/>
    <s v="Member"/>
    <s v="Male"/>
    <s v="Food and beverages"/>
    <n v="47.16"/>
    <n v="5"/>
    <n v="11.79"/>
    <x v="812"/>
    <d v="2019-03-02T00:00:00"/>
    <d v="1899-12-30T14:35:00"/>
    <s v="Credit card"/>
    <n v="235.8"/>
    <n v="4.7619047620000003"/>
    <n v="11.79"/>
    <n v="6"/>
    <d v="2019-02-03T00:00:00"/>
    <n v="2"/>
    <n v="14"/>
  </r>
  <r>
    <s v="366-43-6862"/>
    <x v="2"/>
    <s v="Mandalay"/>
    <s v="Normal"/>
    <s v="Male"/>
    <s v="Electronic accessories"/>
    <n v="52.89"/>
    <n v="4"/>
    <n v="10.577999999999999"/>
    <x v="813"/>
    <s v="3/25/2019"/>
    <d v="1899-12-30T16:32:00"/>
    <s v="Ewallet"/>
    <n v="211.56"/>
    <n v="4.7619047620000003"/>
    <n v="10.577999999999999"/>
    <n v="6.7"/>
    <d v="2019-03-25T00:00:00"/>
    <n v="3"/>
    <n v="16"/>
  </r>
  <r>
    <s v="186-43-8965"/>
    <x v="0"/>
    <s v="Yangon"/>
    <s v="Member"/>
    <s v="Female"/>
    <s v="Home and lifestyle"/>
    <n v="47.68"/>
    <n v="2"/>
    <n v="4.7679999999999998"/>
    <x v="814"/>
    <s v="2/24/2019"/>
    <d v="1899-12-30T10:10:00"/>
    <s v="Credit card"/>
    <n v="95.36"/>
    <n v="4.7619047620000003"/>
    <n v="4.7679999999999998"/>
    <n v="4.0999999999999996"/>
    <d v="2019-02-24T00:00:00"/>
    <n v="2"/>
    <n v="10"/>
  </r>
  <r>
    <s v="784-21-9238"/>
    <x v="1"/>
    <s v="Naypyitaw"/>
    <s v="Member"/>
    <s v="Male"/>
    <s v="Sports and travel"/>
    <n v="10.17"/>
    <n v="1"/>
    <n v="0.50849999999999995"/>
    <x v="815"/>
    <d v="2019-07-02T00:00:00"/>
    <d v="1899-12-30T14:15:00"/>
    <s v="Cash"/>
    <n v="10.17"/>
    <n v="4.7619047620000003"/>
    <n v="0.50849999999999995"/>
    <n v="5.9"/>
    <d v="2019-02-07T00:00:00"/>
    <n v="2"/>
    <n v="14"/>
  </r>
  <r>
    <s v="276-75-6884"/>
    <x v="0"/>
    <s v="Yangon"/>
    <s v="Normal"/>
    <s v="Female"/>
    <s v="Health and beauty"/>
    <n v="68.709999999999994"/>
    <n v="3"/>
    <n v="10.3065"/>
    <x v="816"/>
    <d v="2019-04-03T00:00:00"/>
    <d v="1899-12-30T10:05:00"/>
    <s v="Cash"/>
    <n v="206.13"/>
    <n v="4.7619047620000003"/>
    <n v="10.3065"/>
    <n v="8.6999999999999993"/>
    <d v="2019-03-04T00:00:00"/>
    <n v="3"/>
    <n v="10"/>
  </r>
  <r>
    <s v="109-86-4363"/>
    <x v="2"/>
    <s v="Mandalay"/>
    <s v="Member"/>
    <s v="Female"/>
    <s v="Sports and travel"/>
    <n v="60.08"/>
    <n v="7"/>
    <n v="21.027999999999999"/>
    <x v="817"/>
    <s v="2/14/2019"/>
    <d v="1899-12-30T11:36:00"/>
    <s v="Credit card"/>
    <n v="420.56"/>
    <n v="4.7619047620000003"/>
    <n v="21.027999999999999"/>
    <n v="4.5"/>
    <d v="2019-02-14T00:00:00"/>
    <n v="2"/>
    <n v="11"/>
  </r>
  <r>
    <s v="569-76-2760"/>
    <x v="0"/>
    <s v="Yangon"/>
    <s v="Member"/>
    <s v="Female"/>
    <s v="Sports and travel"/>
    <n v="22.01"/>
    <n v="4"/>
    <n v="4.4020000000000001"/>
    <x v="818"/>
    <s v="1/29/2019"/>
    <d v="1899-12-30T18:15:00"/>
    <s v="Credit card"/>
    <n v="88.04"/>
    <n v="4.7619047620000003"/>
    <n v="4.4020000000000001"/>
    <n v="6.6"/>
    <d v="2019-01-29T00:00:00"/>
    <n v="1"/>
    <n v="18"/>
  </r>
  <r>
    <s v="222-42-0244"/>
    <x v="2"/>
    <s v="Mandalay"/>
    <s v="Member"/>
    <s v="Female"/>
    <s v="Health and beauty"/>
    <n v="72.11"/>
    <n v="9"/>
    <n v="32.4495"/>
    <x v="819"/>
    <s v="1/28/2019"/>
    <d v="1899-12-30T13:53:00"/>
    <s v="Credit card"/>
    <n v="648.99"/>
    <n v="4.7619047620000003"/>
    <n v="32.4495"/>
    <n v="7.7"/>
    <d v="2019-01-28T00:00:00"/>
    <n v="1"/>
    <n v="13"/>
  </r>
  <r>
    <s v="760-53-9233"/>
    <x v="0"/>
    <s v="Yangon"/>
    <s v="Member"/>
    <s v="Male"/>
    <s v="Fashion accessories"/>
    <n v="41.28"/>
    <n v="3"/>
    <n v="6.1920000000000002"/>
    <x v="820"/>
    <s v="3/26/2019"/>
    <d v="1899-12-30T18:37:00"/>
    <s v="Credit card"/>
    <n v="123.84"/>
    <n v="4.7619047620000003"/>
    <n v="6.1920000000000002"/>
    <n v="8.5"/>
    <d v="2019-03-26T00:00:00"/>
    <n v="3"/>
    <n v="18"/>
  </r>
  <r>
    <s v="538-22-0304"/>
    <x v="1"/>
    <s v="Naypyitaw"/>
    <s v="Normal"/>
    <s v="Male"/>
    <s v="Electronic accessories"/>
    <n v="64.95"/>
    <n v="10"/>
    <n v="32.475000000000001"/>
    <x v="821"/>
    <s v="3/24/2019"/>
    <d v="1899-12-30T18:27:00"/>
    <s v="Cash"/>
    <n v="649.5"/>
    <n v="4.7619047620000003"/>
    <n v="32.475000000000001"/>
    <n v="5.2"/>
    <d v="2019-03-24T00:00:00"/>
    <n v="3"/>
    <n v="18"/>
  </r>
  <r>
    <s v="416-17-9926"/>
    <x v="0"/>
    <s v="Yangon"/>
    <s v="Member"/>
    <s v="Female"/>
    <s v="Electronic accessories"/>
    <n v="74.22"/>
    <n v="10"/>
    <n v="37.11"/>
    <x v="822"/>
    <d v="2019-01-01T00:00:00"/>
    <d v="1899-12-30T14:42:00"/>
    <s v="Credit card"/>
    <n v="742.2"/>
    <n v="4.7619047620000003"/>
    <n v="37.11"/>
    <n v="4.3"/>
    <d v="2019-01-01T00:00:00"/>
    <n v="1"/>
    <n v="14"/>
  </r>
  <r>
    <s v="237-44-6163"/>
    <x v="0"/>
    <s v="Yangon"/>
    <s v="Normal"/>
    <s v="Male"/>
    <s v="Electronic accessories"/>
    <n v="10.56"/>
    <n v="8"/>
    <n v="4.2240000000000002"/>
    <x v="823"/>
    <s v="1/24/2019"/>
    <d v="1899-12-30T17:43:00"/>
    <s v="Cash"/>
    <n v="84.48"/>
    <n v="4.7619047620000003"/>
    <n v="4.2240000000000002"/>
    <n v="7.6"/>
    <d v="2019-01-24T00:00:00"/>
    <n v="1"/>
    <n v="17"/>
  </r>
  <r>
    <s v="636-17-0325"/>
    <x v="2"/>
    <s v="Mandalay"/>
    <s v="Normal"/>
    <s v="Male"/>
    <s v="Health and beauty"/>
    <n v="62.57"/>
    <n v="4"/>
    <n v="12.513999999999999"/>
    <x v="824"/>
    <s v="2/25/2019"/>
    <d v="1899-12-30T18:37:00"/>
    <s v="Cash"/>
    <n v="250.28"/>
    <n v="4.7619047620000003"/>
    <n v="12.513999999999999"/>
    <n v="9.5"/>
    <d v="2019-02-25T00:00:00"/>
    <n v="2"/>
    <n v="18"/>
  </r>
  <r>
    <s v="343-75-9322"/>
    <x v="2"/>
    <s v="Mandalay"/>
    <s v="Member"/>
    <s v="Female"/>
    <s v="Sports and travel"/>
    <n v="11.85"/>
    <n v="8"/>
    <n v="4.74"/>
    <x v="825"/>
    <d v="2019-09-01T00:00:00"/>
    <d v="1899-12-30T16:34:00"/>
    <s v="Cash"/>
    <n v="94.8"/>
    <n v="4.7619047620000003"/>
    <n v="4.74"/>
    <n v="4.0999999999999996"/>
    <d v="2019-01-09T00:00:00"/>
    <n v="1"/>
    <n v="16"/>
  </r>
  <r>
    <s v="528-14-9470"/>
    <x v="0"/>
    <s v="Yangon"/>
    <s v="Member"/>
    <s v="Male"/>
    <s v="Health and beauty"/>
    <n v="91.3"/>
    <n v="1"/>
    <n v="4.5650000000000004"/>
    <x v="826"/>
    <s v="2/14/2019"/>
    <d v="1899-12-30T14:42:00"/>
    <s v="Ewallet"/>
    <n v="91.3"/>
    <n v="4.7619047620000003"/>
    <n v="4.5650000000000004"/>
    <n v="9.1999999999999993"/>
    <d v="2019-02-14T00:00:00"/>
    <n v="2"/>
    <n v="14"/>
  </r>
  <r>
    <s v="427-45-9297"/>
    <x v="2"/>
    <s v="Mandalay"/>
    <s v="Member"/>
    <s v="Female"/>
    <s v="Home and lifestyle"/>
    <n v="40.729999999999997"/>
    <n v="7"/>
    <n v="14.2555"/>
    <x v="827"/>
    <d v="2019-12-03T00:00:00"/>
    <d v="1899-12-30T11:01:00"/>
    <s v="Ewallet"/>
    <n v="285.11"/>
    <n v="4.7619047620000003"/>
    <n v="14.2555"/>
    <n v="5.4"/>
    <d v="2019-03-12T00:00:00"/>
    <n v="3"/>
    <n v="11"/>
  </r>
  <r>
    <s v="807-34-3742"/>
    <x v="0"/>
    <s v="Yangon"/>
    <s v="Normal"/>
    <s v="Male"/>
    <s v="Fashion accessories"/>
    <n v="52.38"/>
    <n v="1"/>
    <n v="2.6190000000000002"/>
    <x v="828"/>
    <s v="3/26/2019"/>
    <d v="1899-12-30T19:44:00"/>
    <s v="Cash"/>
    <n v="52.38"/>
    <n v="4.7619047620000003"/>
    <n v="2.6190000000000002"/>
    <n v="5.8"/>
    <d v="2019-03-26T00:00:00"/>
    <n v="3"/>
    <n v="19"/>
  </r>
  <r>
    <s v="288-62-1085"/>
    <x v="0"/>
    <s v="Yangon"/>
    <s v="Member"/>
    <s v="Male"/>
    <s v="Fashion accessories"/>
    <n v="38.54"/>
    <n v="5"/>
    <n v="9.6349999999999998"/>
    <x v="829"/>
    <d v="2019-09-01T00:00:00"/>
    <d v="1899-12-30T13:34:00"/>
    <s v="Ewallet"/>
    <n v="192.7"/>
    <n v="4.7619047620000003"/>
    <n v="9.6349999999999998"/>
    <n v="5.6"/>
    <d v="2019-01-09T00:00:00"/>
    <n v="1"/>
    <n v="13"/>
  </r>
  <r>
    <s v="670-71-7306"/>
    <x v="2"/>
    <s v="Mandalay"/>
    <s v="Normal"/>
    <s v="Male"/>
    <s v="Sports and travel"/>
    <n v="44.63"/>
    <n v="6"/>
    <n v="13.388999999999999"/>
    <x v="830"/>
    <d v="2019-02-01T00:00:00"/>
    <d v="1899-12-30T20:08:00"/>
    <s v="Credit card"/>
    <n v="267.77999999999997"/>
    <n v="4.7619047620000003"/>
    <n v="13.388999999999999"/>
    <n v="5.0999999999999996"/>
    <d v="2019-01-02T00:00:00"/>
    <n v="1"/>
    <n v="20"/>
  </r>
  <r>
    <s v="660-29-7083"/>
    <x v="1"/>
    <s v="Naypyitaw"/>
    <s v="Normal"/>
    <s v="Male"/>
    <s v="Electronic accessories"/>
    <n v="55.87"/>
    <n v="10"/>
    <n v="27.934999999999999"/>
    <x v="831"/>
    <s v="1/15/2019"/>
    <d v="1899-12-30T15:01:00"/>
    <s v="Cash"/>
    <n v="558.70000000000005"/>
    <n v="4.7619047620000003"/>
    <n v="27.934999999999999"/>
    <n v="5.8"/>
    <d v="2019-01-15T00:00:00"/>
    <n v="1"/>
    <n v="15"/>
  </r>
  <r>
    <s v="271-77-8740"/>
    <x v="1"/>
    <s v="Naypyitaw"/>
    <s v="Member"/>
    <s v="Female"/>
    <s v="Sports and travel"/>
    <n v="29.22"/>
    <n v="6"/>
    <n v="8.766"/>
    <x v="832"/>
    <d v="2019-01-01T00:00:00"/>
    <d v="1899-12-30T11:40:00"/>
    <s v="Ewallet"/>
    <n v="175.32"/>
    <n v="4.7619047620000003"/>
    <n v="8.766"/>
    <n v="5"/>
    <d v="2019-01-01T00:00:00"/>
    <n v="1"/>
    <n v="11"/>
  </r>
  <r>
    <s v="497-36-0989"/>
    <x v="0"/>
    <s v="Yangon"/>
    <s v="Normal"/>
    <s v="Male"/>
    <s v="Fashion accessories"/>
    <n v="51.94"/>
    <n v="3"/>
    <n v="7.7910000000000004"/>
    <x v="833"/>
    <s v="2/15/2019"/>
    <d v="1899-12-30T15:21:00"/>
    <s v="Cash"/>
    <n v="155.82"/>
    <n v="4.7619047620000003"/>
    <n v="7.7910000000000004"/>
    <n v="7.9"/>
    <d v="2019-02-15T00:00:00"/>
    <n v="2"/>
    <n v="15"/>
  </r>
  <r>
    <s v="291-59-1384"/>
    <x v="2"/>
    <s v="Mandalay"/>
    <s v="Normal"/>
    <s v="Male"/>
    <s v="Electronic accessories"/>
    <n v="60.3"/>
    <n v="1"/>
    <n v="3.0150000000000001"/>
    <x v="834"/>
    <s v="2/28/2019"/>
    <d v="1899-12-30T17:38:00"/>
    <s v="Cash"/>
    <n v="60.3"/>
    <n v="4.7619047620000003"/>
    <n v="3.0150000000000001"/>
    <n v="6"/>
    <d v="2019-02-28T00:00:00"/>
    <n v="2"/>
    <n v="17"/>
  </r>
  <r>
    <s v="860-73-6466"/>
    <x v="0"/>
    <s v="Yangon"/>
    <s v="Member"/>
    <s v="Female"/>
    <s v="Sports and travel"/>
    <n v="39.47"/>
    <n v="2"/>
    <n v="3.9470000000000001"/>
    <x v="835"/>
    <d v="2019-02-03T00:00:00"/>
    <d v="1899-12-30T16:16:00"/>
    <s v="Credit card"/>
    <n v="78.94"/>
    <n v="4.7619047620000003"/>
    <n v="3.9470000000000001"/>
    <n v="5"/>
    <d v="2019-03-02T00:00:00"/>
    <n v="3"/>
    <n v="16"/>
  </r>
  <r>
    <s v="549-23-9016"/>
    <x v="1"/>
    <s v="Naypyitaw"/>
    <s v="Member"/>
    <s v="Female"/>
    <s v="Food and beverages"/>
    <n v="14.87"/>
    <n v="2"/>
    <n v="1.4870000000000001"/>
    <x v="836"/>
    <s v="2/13/2019"/>
    <d v="1899-12-30T18:15:00"/>
    <s v="Credit card"/>
    <n v="29.74"/>
    <n v="4.7619047620000003"/>
    <n v="1.4870000000000001"/>
    <n v="8.9"/>
    <d v="2019-02-13T00:00:00"/>
    <n v="2"/>
    <n v="18"/>
  </r>
  <r>
    <s v="896-34-0956"/>
    <x v="0"/>
    <s v="Yangon"/>
    <s v="Normal"/>
    <s v="Male"/>
    <s v="Fashion accessories"/>
    <n v="21.32"/>
    <n v="1"/>
    <n v="1.0660000000000001"/>
    <x v="837"/>
    <s v="1/26/2019"/>
    <d v="1899-12-30T12:43:00"/>
    <s v="Cash"/>
    <n v="21.32"/>
    <n v="4.7619047620000003"/>
    <n v="1.0660000000000001"/>
    <n v="5.9"/>
    <d v="2019-01-26T00:00:00"/>
    <n v="1"/>
    <n v="12"/>
  </r>
  <r>
    <s v="804-38-3935"/>
    <x v="0"/>
    <s v="Yangon"/>
    <s v="Member"/>
    <s v="Male"/>
    <s v="Electronic accessories"/>
    <n v="93.78"/>
    <n v="3"/>
    <n v="14.067"/>
    <x v="838"/>
    <s v="1/30/2019"/>
    <d v="1899-12-30T11:32:00"/>
    <s v="Credit card"/>
    <n v="281.33999999999997"/>
    <n v="4.7619047620000003"/>
    <n v="14.067"/>
    <n v="5.9"/>
    <d v="2019-01-30T00:00:00"/>
    <n v="1"/>
    <n v="11"/>
  </r>
  <r>
    <s v="585-90-0249"/>
    <x v="0"/>
    <s v="Yangon"/>
    <s v="Member"/>
    <s v="Male"/>
    <s v="Electronic accessories"/>
    <n v="73.260000000000005"/>
    <n v="1"/>
    <n v="3.6629999999999998"/>
    <x v="839"/>
    <s v="1/27/2019"/>
    <d v="1899-12-30T18:08:00"/>
    <s v="Ewallet"/>
    <n v="73.260000000000005"/>
    <n v="4.7619047620000003"/>
    <n v="3.6629999999999998"/>
    <n v="9.6999999999999993"/>
    <d v="2019-01-27T00:00:00"/>
    <n v="1"/>
    <n v="18"/>
  </r>
  <r>
    <s v="862-29-5914"/>
    <x v="1"/>
    <s v="Naypyitaw"/>
    <s v="Normal"/>
    <s v="Female"/>
    <s v="Sports and travel"/>
    <n v="22.38"/>
    <n v="1"/>
    <n v="1.119"/>
    <x v="840"/>
    <s v="1/30/2019"/>
    <d v="1899-12-30T17:08:00"/>
    <s v="Credit card"/>
    <n v="22.38"/>
    <n v="4.7619047620000003"/>
    <n v="1.119"/>
    <n v="8.6"/>
    <d v="2019-01-30T00:00:00"/>
    <n v="1"/>
    <n v="17"/>
  </r>
  <r>
    <s v="845-94-6841"/>
    <x v="1"/>
    <s v="Naypyitaw"/>
    <s v="Member"/>
    <s v="Female"/>
    <s v="Food and beverages"/>
    <n v="72.88"/>
    <n v="9"/>
    <n v="32.795999999999999"/>
    <x v="841"/>
    <d v="2019-08-01T00:00:00"/>
    <d v="1899-12-30T19:38:00"/>
    <s v="Cash"/>
    <n v="655.92"/>
    <n v="4.7619047620000003"/>
    <n v="32.795999999999999"/>
    <n v="4"/>
    <d v="2019-01-08T00:00:00"/>
    <n v="1"/>
    <n v="19"/>
  </r>
  <r>
    <s v="125-45-2293"/>
    <x v="0"/>
    <s v="Yangon"/>
    <s v="Normal"/>
    <s v="Female"/>
    <s v="Fashion accessories"/>
    <n v="99.1"/>
    <n v="6"/>
    <n v="29.73"/>
    <x v="842"/>
    <s v="1/19/2019"/>
    <d v="1899-12-30T13:11:00"/>
    <s v="Cash"/>
    <n v="594.6"/>
    <n v="4.7619047620000003"/>
    <n v="29.73"/>
    <n v="4.2"/>
    <d v="2019-01-19T00:00:00"/>
    <n v="1"/>
    <n v="13"/>
  </r>
  <r>
    <s v="843-73-4724"/>
    <x v="0"/>
    <s v="Yangon"/>
    <s v="Normal"/>
    <s v="Male"/>
    <s v="Fashion accessories"/>
    <n v="74.099999999999994"/>
    <n v="1"/>
    <n v="3.7050000000000001"/>
    <x v="843"/>
    <s v="1/25/2019"/>
    <d v="1899-12-30T11:05:00"/>
    <s v="Cash"/>
    <n v="74.099999999999994"/>
    <n v="4.7619047620000003"/>
    <n v="3.7050000000000001"/>
    <n v="9.1999999999999993"/>
    <d v="2019-01-25T00:00:00"/>
    <n v="1"/>
    <n v="11"/>
  </r>
  <r>
    <s v="409-33-9708"/>
    <x v="0"/>
    <s v="Yangon"/>
    <s v="Normal"/>
    <s v="Female"/>
    <s v="Fashion accessories"/>
    <n v="98.48"/>
    <n v="2"/>
    <n v="9.8480000000000008"/>
    <x v="844"/>
    <s v="2/19/2019"/>
    <d v="1899-12-30T10:12:00"/>
    <s v="Ewallet"/>
    <n v="196.96"/>
    <n v="4.7619047620000003"/>
    <n v="9.8480000000000008"/>
    <n v="9.1999999999999993"/>
    <d v="2019-02-19T00:00:00"/>
    <n v="2"/>
    <n v="10"/>
  </r>
  <r>
    <s v="658-66-3967"/>
    <x v="1"/>
    <s v="Naypyitaw"/>
    <s v="Normal"/>
    <s v="Male"/>
    <s v="Health and beauty"/>
    <n v="53.19"/>
    <n v="7"/>
    <n v="18.616499999999998"/>
    <x v="845"/>
    <s v="1/14/2019"/>
    <d v="1899-12-30T15:42:00"/>
    <s v="Ewallet"/>
    <n v="372.33"/>
    <n v="4.7619047620000003"/>
    <n v="18.616499999999998"/>
    <n v="5"/>
    <d v="2019-01-14T00:00:00"/>
    <n v="1"/>
    <n v="15"/>
  </r>
  <r>
    <s v="866-70-2814"/>
    <x v="2"/>
    <s v="Mandalay"/>
    <s v="Normal"/>
    <s v="Female"/>
    <s v="Electronic accessories"/>
    <n v="52.79"/>
    <n v="10"/>
    <n v="26.395"/>
    <x v="846"/>
    <s v="2/25/2019"/>
    <d v="1899-12-30T11:58:00"/>
    <s v="Ewallet"/>
    <n v="527.9"/>
    <n v="4.7619047620000003"/>
    <n v="26.395"/>
    <n v="10"/>
    <d v="2019-02-25T00:00:00"/>
    <n v="2"/>
    <n v="11"/>
  </r>
  <r>
    <s v="160-22-2687"/>
    <x v="0"/>
    <s v="Yangon"/>
    <s v="Member"/>
    <s v="Female"/>
    <s v="Health and beauty"/>
    <n v="95.95"/>
    <n v="5"/>
    <n v="23.987500000000001"/>
    <x v="847"/>
    <s v="1/23/2019"/>
    <d v="1899-12-30T14:21:00"/>
    <s v="Ewallet"/>
    <n v="479.75"/>
    <n v="4.7619047620000003"/>
    <n v="23.987500000000001"/>
    <n v="8.8000000000000007"/>
    <d v="2019-01-23T00:00:00"/>
    <n v="1"/>
    <n v="14"/>
  </r>
  <r>
    <s v="895-03-6665"/>
    <x v="2"/>
    <s v="Mandalay"/>
    <s v="Normal"/>
    <s v="Female"/>
    <s v="Fashion accessories"/>
    <n v="36.51"/>
    <n v="9"/>
    <n v="16.429500000000001"/>
    <x v="848"/>
    <s v="2/16/2019"/>
    <d v="1899-12-30T10:52:00"/>
    <s v="Cash"/>
    <n v="328.59"/>
    <n v="4.7619047620000003"/>
    <n v="16.429500000000001"/>
    <n v="4.2"/>
    <d v="2019-02-16T00:00:00"/>
    <n v="2"/>
    <n v="10"/>
  </r>
  <r>
    <s v="770-42-8960"/>
    <x v="2"/>
    <s v="Mandalay"/>
    <s v="Normal"/>
    <s v="Male"/>
    <s v="Food and beverages"/>
    <n v="21.12"/>
    <n v="8"/>
    <n v="8.4480000000000004"/>
    <x v="849"/>
    <d v="2019-01-01T00:00:00"/>
    <d v="1899-12-30T19:31:00"/>
    <s v="Cash"/>
    <n v="168.96"/>
    <n v="4.7619047620000003"/>
    <n v="8.4480000000000004"/>
    <n v="6.3"/>
    <d v="2019-01-01T00:00:00"/>
    <n v="1"/>
    <n v="19"/>
  </r>
  <r>
    <s v="748-45-2862"/>
    <x v="0"/>
    <s v="Yangon"/>
    <s v="Member"/>
    <s v="Female"/>
    <s v="Home and lifestyle"/>
    <n v="28.31"/>
    <n v="4"/>
    <n v="5.6619999999999999"/>
    <x v="850"/>
    <d v="2019-07-03T00:00:00"/>
    <d v="1899-12-30T18:35:00"/>
    <s v="Cash"/>
    <n v="113.24"/>
    <n v="4.7619047620000003"/>
    <n v="5.6619999999999999"/>
    <n v="8.1999999999999993"/>
    <d v="2019-03-07T00:00:00"/>
    <n v="3"/>
    <n v="18"/>
  </r>
  <r>
    <s v="234-36-2483"/>
    <x v="2"/>
    <s v="Mandalay"/>
    <s v="Normal"/>
    <s v="Male"/>
    <s v="Health and beauty"/>
    <n v="57.59"/>
    <n v="6"/>
    <n v="17.277000000000001"/>
    <x v="851"/>
    <s v="2/15/2019"/>
    <d v="1899-12-30T13:51:00"/>
    <s v="Cash"/>
    <n v="345.54"/>
    <n v="4.7619047620000003"/>
    <n v="17.277000000000001"/>
    <n v="5.0999999999999996"/>
    <d v="2019-02-15T00:00:00"/>
    <n v="2"/>
    <n v="13"/>
  </r>
  <r>
    <s v="316-66-3011"/>
    <x v="0"/>
    <s v="Yangon"/>
    <s v="Member"/>
    <s v="Female"/>
    <s v="Food and beverages"/>
    <n v="47.63"/>
    <n v="9"/>
    <n v="21.433499999999999"/>
    <x v="852"/>
    <s v="1/23/2019"/>
    <d v="1899-12-30T12:35:00"/>
    <s v="Cash"/>
    <n v="428.67"/>
    <n v="4.7619047620000003"/>
    <n v="21.433499999999999"/>
    <n v="5"/>
    <d v="2019-01-23T00:00:00"/>
    <n v="1"/>
    <n v="12"/>
  </r>
  <r>
    <s v="848-95-6252"/>
    <x v="1"/>
    <s v="Naypyitaw"/>
    <s v="Member"/>
    <s v="Female"/>
    <s v="Home and lifestyle"/>
    <n v="86.27"/>
    <n v="1"/>
    <n v="4.3135000000000003"/>
    <x v="853"/>
    <s v="2/20/2019"/>
    <d v="1899-12-30T13:24:00"/>
    <s v="Ewallet"/>
    <n v="86.27"/>
    <n v="4.7619047620000003"/>
    <n v="4.3135000000000003"/>
    <n v="7"/>
    <d v="2019-02-20T00:00:00"/>
    <n v="2"/>
    <n v="13"/>
  </r>
  <r>
    <s v="840-76-5966"/>
    <x v="0"/>
    <s v="Yangon"/>
    <s v="Member"/>
    <s v="Male"/>
    <s v="Sports and travel"/>
    <n v="12.76"/>
    <n v="2"/>
    <n v="1.276"/>
    <x v="854"/>
    <d v="2019-08-01T00:00:00"/>
    <d v="1899-12-30T18:06:00"/>
    <s v="Ewallet"/>
    <n v="25.52"/>
    <n v="4.7619047620000003"/>
    <n v="1.276"/>
    <n v="7.8"/>
    <d v="2019-01-08T00:00:00"/>
    <n v="1"/>
    <n v="18"/>
  </r>
  <r>
    <s v="152-03-4217"/>
    <x v="2"/>
    <s v="Mandalay"/>
    <s v="Normal"/>
    <s v="Female"/>
    <s v="Home and lifestyle"/>
    <n v="11.28"/>
    <n v="9"/>
    <n v="5.0759999999999996"/>
    <x v="855"/>
    <s v="3/17/2019"/>
    <d v="1899-12-30T11:55:00"/>
    <s v="Credit card"/>
    <n v="101.52"/>
    <n v="4.7619047620000003"/>
    <n v="5.0759999999999996"/>
    <n v="4.3"/>
    <d v="2019-03-17T00:00:00"/>
    <n v="3"/>
    <n v="11"/>
  </r>
  <r>
    <s v="533-66-5566"/>
    <x v="2"/>
    <s v="Mandalay"/>
    <s v="Normal"/>
    <s v="Female"/>
    <s v="Home and lifestyle"/>
    <n v="51.07"/>
    <n v="7"/>
    <n v="17.874500000000001"/>
    <x v="856"/>
    <d v="2019-12-01T00:00:00"/>
    <d v="1899-12-30T11:42:00"/>
    <s v="Cash"/>
    <n v="357.49"/>
    <n v="4.7619047620000003"/>
    <n v="17.874500000000001"/>
    <n v="7"/>
    <d v="2019-01-12T00:00:00"/>
    <n v="1"/>
    <n v="11"/>
  </r>
  <r>
    <s v="124-31-1458"/>
    <x v="0"/>
    <s v="Yangon"/>
    <s v="Member"/>
    <s v="Female"/>
    <s v="Electronic accessories"/>
    <n v="79.59"/>
    <n v="3"/>
    <n v="11.938499999999999"/>
    <x v="857"/>
    <d v="2019-08-01T00:00:00"/>
    <d v="1899-12-30T14:30:00"/>
    <s v="Cash"/>
    <n v="238.77"/>
    <n v="4.7619047620000003"/>
    <n v="11.938499999999999"/>
    <n v="6.6"/>
    <d v="2019-01-08T00:00:00"/>
    <n v="1"/>
    <n v="14"/>
  </r>
  <r>
    <s v="176-78-1170"/>
    <x v="1"/>
    <s v="Naypyitaw"/>
    <s v="Member"/>
    <s v="Male"/>
    <s v="Health and beauty"/>
    <n v="33.81"/>
    <n v="3"/>
    <n v="5.0715000000000003"/>
    <x v="858"/>
    <s v="1/26/2019"/>
    <d v="1899-12-30T15:11:00"/>
    <s v="Ewallet"/>
    <n v="101.43"/>
    <n v="4.7619047620000003"/>
    <n v="5.0715000000000003"/>
    <n v="7.3"/>
    <d v="2019-01-26T00:00:00"/>
    <n v="1"/>
    <n v="15"/>
  </r>
  <r>
    <s v="361-59-0574"/>
    <x v="2"/>
    <s v="Mandalay"/>
    <s v="Member"/>
    <s v="Male"/>
    <s v="Sports and travel"/>
    <n v="90.53"/>
    <n v="8"/>
    <n v="36.212000000000003"/>
    <x v="859"/>
    <s v="3/15/2019"/>
    <d v="1899-12-30T14:48:00"/>
    <s v="Credit card"/>
    <n v="724.24"/>
    <n v="4.7619047620000003"/>
    <n v="36.212000000000003"/>
    <n v="6.5"/>
    <d v="2019-03-15T00:00:00"/>
    <n v="3"/>
    <n v="14"/>
  </r>
  <r>
    <s v="101-81-4070"/>
    <x v="1"/>
    <s v="Naypyitaw"/>
    <s v="Member"/>
    <s v="Female"/>
    <s v="Health and beauty"/>
    <n v="62.82"/>
    <n v="2"/>
    <n v="6.282"/>
    <x v="860"/>
    <s v="1/17/2019"/>
    <d v="1899-12-30T12:36:00"/>
    <s v="Ewallet"/>
    <n v="125.64"/>
    <n v="4.7619047620000003"/>
    <n v="6.282"/>
    <n v="4.9000000000000004"/>
    <d v="2019-01-17T00:00:00"/>
    <n v="1"/>
    <n v="12"/>
  </r>
  <r>
    <s v="631-34-1880"/>
    <x v="1"/>
    <s v="Naypyitaw"/>
    <s v="Member"/>
    <s v="Male"/>
    <s v="Food and beverages"/>
    <n v="24.31"/>
    <n v="3"/>
    <n v="3.6465000000000001"/>
    <x v="861"/>
    <d v="2019-08-01T00:00:00"/>
    <d v="1899-12-30T19:09:00"/>
    <s v="Credit card"/>
    <n v="72.930000000000007"/>
    <n v="4.7619047620000003"/>
    <n v="3.6465000000000001"/>
    <n v="4.3"/>
    <d v="2019-01-08T00:00:00"/>
    <n v="1"/>
    <n v="19"/>
  </r>
  <r>
    <s v="852-82-2749"/>
    <x v="0"/>
    <s v="Yangon"/>
    <s v="Normal"/>
    <s v="Male"/>
    <s v="Sports and travel"/>
    <n v="64.59"/>
    <n v="4"/>
    <n v="12.917999999999999"/>
    <x v="862"/>
    <d v="2019-06-01T00:00:00"/>
    <d v="1899-12-30T13:35:00"/>
    <s v="Ewallet"/>
    <n v="258.36"/>
    <n v="4.7619047620000003"/>
    <n v="12.917999999999999"/>
    <n v="9.3000000000000007"/>
    <d v="2019-01-06T00:00:00"/>
    <n v="1"/>
    <n v="13"/>
  </r>
  <r>
    <s v="873-14-6353"/>
    <x v="0"/>
    <s v="Yangon"/>
    <s v="Member"/>
    <s v="Male"/>
    <s v="Food and beverages"/>
    <n v="24.82"/>
    <n v="7"/>
    <n v="8.6869999999999994"/>
    <x v="863"/>
    <s v="2/16/2019"/>
    <d v="1899-12-30T10:33:00"/>
    <s v="Credit card"/>
    <n v="173.74"/>
    <n v="4.7619047620000003"/>
    <n v="8.6869999999999994"/>
    <n v="7.1"/>
    <d v="2019-02-16T00:00:00"/>
    <n v="2"/>
    <n v="10"/>
  </r>
  <r>
    <s v="584-66-4073"/>
    <x v="1"/>
    <s v="Naypyitaw"/>
    <s v="Normal"/>
    <s v="Male"/>
    <s v="Fashion accessories"/>
    <n v="56.5"/>
    <n v="1"/>
    <n v="2.8250000000000002"/>
    <x v="864"/>
    <s v="3/13/2019"/>
    <d v="1899-12-30T15:45:00"/>
    <s v="Ewallet"/>
    <n v="56.5"/>
    <n v="4.7619047620000003"/>
    <n v="2.8250000000000002"/>
    <n v="9.6"/>
    <d v="2019-03-13T00:00:00"/>
    <n v="3"/>
    <n v="15"/>
  </r>
  <r>
    <s v="544-55-9589"/>
    <x v="2"/>
    <s v="Mandalay"/>
    <s v="Member"/>
    <s v="Female"/>
    <s v="Electronic accessories"/>
    <n v="21.43"/>
    <n v="10"/>
    <n v="10.715"/>
    <x v="865"/>
    <s v="1/28/2019"/>
    <d v="1899-12-30T11:51:00"/>
    <s v="Cash"/>
    <n v="214.3"/>
    <n v="4.7619047620000003"/>
    <n v="10.715"/>
    <n v="6.2"/>
    <d v="2019-01-28T00:00:00"/>
    <n v="1"/>
    <n v="11"/>
  </r>
  <r>
    <s v="166-19-2553"/>
    <x v="0"/>
    <s v="Yangon"/>
    <s v="Member"/>
    <s v="Male"/>
    <s v="Sports and travel"/>
    <n v="89.06"/>
    <n v="6"/>
    <n v="26.718"/>
    <x v="866"/>
    <s v="1/18/2019"/>
    <d v="1899-12-30T17:26:00"/>
    <s v="Cash"/>
    <n v="534.36"/>
    <n v="4.7619047620000003"/>
    <n v="26.718"/>
    <n v="9.9"/>
    <d v="2019-01-18T00:00:00"/>
    <n v="1"/>
    <n v="17"/>
  </r>
  <r>
    <s v="737-88-5876"/>
    <x v="0"/>
    <s v="Yangon"/>
    <s v="Member"/>
    <s v="Male"/>
    <s v="Home and lifestyle"/>
    <n v="23.29"/>
    <n v="4"/>
    <n v="4.6580000000000004"/>
    <x v="867"/>
    <s v="3/19/2019"/>
    <d v="1899-12-30T11:52:00"/>
    <s v="Credit card"/>
    <n v="93.16"/>
    <n v="4.7619047620000003"/>
    <n v="4.6580000000000004"/>
    <n v="5.9"/>
    <d v="2019-03-19T00:00:00"/>
    <n v="3"/>
    <n v="11"/>
  </r>
  <r>
    <s v="154-87-7367"/>
    <x v="1"/>
    <s v="Naypyitaw"/>
    <s v="Normal"/>
    <s v="Male"/>
    <s v="Home and lifestyle"/>
    <n v="65.260000000000005"/>
    <n v="8"/>
    <n v="26.103999999999999"/>
    <x v="868"/>
    <s v="3/15/2019"/>
    <d v="1899-12-30T14:04:00"/>
    <s v="Ewallet"/>
    <n v="522.08000000000004"/>
    <n v="4.7619047620000003"/>
    <n v="26.103999999999999"/>
    <n v="6.3"/>
    <d v="2019-03-15T00:00:00"/>
    <n v="3"/>
    <n v="14"/>
  </r>
  <r>
    <s v="885-56-0389"/>
    <x v="1"/>
    <s v="Naypyitaw"/>
    <s v="Member"/>
    <s v="Male"/>
    <s v="Fashion accessories"/>
    <n v="52.35"/>
    <n v="1"/>
    <n v="2.6175000000000002"/>
    <x v="869"/>
    <d v="2019-12-02T00:00:00"/>
    <d v="1899-12-30T17:49:00"/>
    <s v="Cash"/>
    <n v="52.35"/>
    <n v="4.7619047620000003"/>
    <n v="2.6175000000000002"/>
    <n v="4"/>
    <d v="2019-02-12T00:00:00"/>
    <n v="2"/>
    <n v="17"/>
  </r>
  <r>
    <s v="608-05-3804"/>
    <x v="2"/>
    <s v="Mandalay"/>
    <s v="Member"/>
    <s v="Male"/>
    <s v="Electronic accessories"/>
    <n v="39.75"/>
    <n v="1"/>
    <n v="1.9875"/>
    <x v="870"/>
    <s v="2/25/2019"/>
    <d v="1899-12-30T20:19:00"/>
    <s v="Cash"/>
    <n v="39.75"/>
    <n v="4.7619047620000003"/>
    <n v="1.9875"/>
    <n v="6.1"/>
    <d v="2019-02-25T00:00:00"/>
    <n v="2"/>
    <n v="20"/>
  </r>
  <r>
    <s v="448-61-3783"/>
    <x v="0"/>
    <s v="Yangon"/>
    <s v="Normal"/>
    <s v="Female"/>
    <s v="Electronic accessories"/>
    <n v="90.02"/>
    <n v="8"/>
    <n v="36.008000000000003"/>
    <x v="871"/>
    <s v="3/21/2019"/>
    <d v="1899-12-30T16:08:00"/>
    <s v="Credit card"/>
    <n v="720.16"/>
    <n v="4.7619047620000003"/>
    <n v="36.008000000000003"/>
    <n v="4.5"/>
    <d v="2019-03-21T00:00:00"/>
    <n v="3"/>
    <n v="16"/>
  </r>
  <r>
    <s v="761-49-0439"/>
    <x v="2"/>
    <s v="Mandalay"/>
    <s v="Member"/>
    <s v="Female"/>
    <s v="Electronic accessories"/>
    <n v="12.1"/>
    <n v="8"/>
    <n v="4.84"/>
    <x v="872"/>
    <s v="1/19/2019"/>
    <d v="1899-12-30T10:17:00"/>
    <s v="Ewallet"/>
    <n v="96.8"/>
    <n v="4.7619047620000003"/>
    <n v="4.84"/>
    <n v="8.6"/>
    <d v="2019-01-19T00:00:00"/>
    <n v="1"/>
    <n v="10"/>
  </r>
  <r>
    <s v="490-95-0021"/>
    <x v="2"/>
    <s v="Mandalay"/>
    <s v="Member"/>
    <s v="Female"/>
    <s v="Food and beverages"/>
    <n v="33.21"/>
    <n v="10"/>
    <n v="16.605"/>
    <x v="873"/>
    <d v="2019-08-01T00:00:00"/>
    <d v="1899-12-30T14:25:00"/>
    <s v="Ewallet"/>
    <n v="332.1"/>
    <n v="4.7619047620000003"/>
    <n v="16.605"/>
    <n v="6"/>
    <d v="2019-01-08T00:00:00"/>
    <n v="1"/>
    <n v="14"/>
  </r>
  <r>
    <s v="115-38-7388"/>
    <x v="1"/>
    <s v="Naypyitaw"/>
    <s v="Member"/>
    <s v="Female"/>
    <s v="Fashion accessories"/>
    <n v="10.18"/>
    <n v="8"/>
    <n v="4.0720000000000001"/>
    <x v="874"/>
    <s v="3/30/2019"/>
    <d v="1899-12-30T12:51:00"/>
    <s v="Credit card"/>
    <n v="81.44"/>
    <n v="4.7619047620000003"/>
    <n v="4.0720000000000001"/>
    <n v="9.5"/>
    <d v="2019-03-30T00:00:00"/>
    <n v="3"/>
    <n v="12"/>
  </r>
  <r>
    <s v="311-13-6971"/>
    <x v="2"/>
    <s v="Mandalay"/>
    <s v="Member"/>
    <s v="Male"/>
    <s v="Sports and travel"/>
    <n v="31.99"/>
    <n v="10"/>
    <n v="15.994999999999999"/>
    <x v="875"/>
    <s v="2/20/2019"/>
    <d v="1899-12-30T15:18:00"/>
    <s v="Credit card"/>
    <n v="319.89999999999998"/>
    <n v="4.7619047620000003"/>
    <n v="15.994999999999999"/>
    <n v="9.9"/>
    <d v="2019-02-20T00:00:00"/>
    <n v="2"/>
    <n v="15"/>
  </r>
  <r>
    <s v="291-55-6563"/>
    <x v="0"/>
    <s v="Yangon"/>
    <s v="Member"/>
    <s v="Female"/>
    <s v="Home and lifestyle"/>
    <n v="34.42"/>
    <n v="6"/>
    <n v="10.326000000000001"/>
    <x v="136"/>
    <s v="3/30/2019"/>
    <d v="1899-12-30T12:45:00"/>
    <s v="Ewallet"/>
    <n v="206.52"/>
    <n v="4.7619047620000003"/>
    <n v="10.326000000000001"/>
    <n v="7.5"/>
    <d v="2019-03-30T00:00:00"/>
    <n v="3"/>
    <n v="12"/>
  </r>
  <r>
    <s v="548-48-3156"/>
    <x v="0"/>
    <s v="Yangon"/>
    <s v="Member"/>
    <s v="Female"/>
    <s v="Food and beverages"/>
    <n v="83.34"/>
    <n v="2"/>
    <n v="8.3339999999999996"/>
    <x v="876"/>
    <s v="3/19/2019"/>
    <d v="1899-12-30T13:37:00"/>
    <s v="Cash"/>
    <n v="166.68"/>
    <n v="4.7619047620000003"/>
    <n v="8.3339999999999996"/>
    <n v="7.6"/>
    <d v="2019-03-19T00:00:00"/>
    <n v="3"/>
    <n v="13"/>
  </r>
  <r>
    <s v="460-93-5834"/>
    <x v="0"/>
    <s v="Yangon"/>
    <s v="Normal"/>
    <s v="Male"/>
    <s v="Sports and travel"/>
    <n v="45.58"/>
    <n v="7"/>
    <n v="15.952999999999999"/>
    <x v="877"/>
    <s v="1/13/2019"/>
    <d v="1899-12-30T10:03:00"/>
    <s v="Cash"/>
    <n v="319.06"/>
    <n v="4.7619047620000003"/>
    <n v="15.952999999999999"/>
    <n v="5"/>
    <d v="2019-01-13T00:00:00"/>
    <n v="1"/>
    <n v="10"/>
  </r>
  <r>
    <s v="325-89-4209"/>
    <x v="0"/>
    <s v="Yangon"/>
    <s v="Member"/>
    <s v="Male"/>
    <s v="Food and beverages"/>
    <n v="87.9"/>
    <n v="1"/>
    <n v="4.3949999999999996"/>
    <x v="878"/>
    <d v="2019-05-02T00:00:00"/>
    <d v="1899-12-30T19:42:00"/>
    <s v="Ewallet"/>
    <n v="87.9"/>
    <n v="4.7619047620000003"/>
    <n v="4.3949999999999996"/>
    <n v="6.7"/>
    <d v="2019-02-05T00:00:00"/>
    <n v="2"/>
    <n v="19"/>
  </r>
  <r>
    <s v="884-80-6021"/>
    <x v="0"/>
    <s v="Yangon"/>
    <s v="Member"/>
    <s v="Female"/>
    <s v="Electronic accessories"/>
    <n v="73.47"/>
    <n v="10"/>
    <n v="36.734999999999999"/>
    <x v="879"/>
    <s v="3/23/2019"/>
    <d v="1899-12-30T13:14:00"/>
    <s v="Ewallet"/>
    <n v="734.7"/>
    <n v="4.7619047620000003"/>
    <n v="36.734999999999999"/>
    <n v="9.5"/>
    <d v="2019-03-23T00:00:00"/>
    <n v="3"/>
    <n v="13"/>
  </r>
  <r>
    <s v="137-74-8729"/>
    <x v="1"/>
    <s v="Naypyitaw"/>
    <s v="Normal"/>
    <s v="Female"/>
    <s v="Fashion accessories"/>
    <n v="12.19"/>
    <n v="8"/>
    <n v="4.8760000000000003"/>
    <x v="880"/>
    <s v="3/13/2019"/>
    <d v="1899-12-30T12:47:00"/>
    <s v="Ewallet"/>
    <n v="97.52"/>
    <n v="4.7619047620000003"/>
    <n v="4.8760000000000003"/>
    <n v="6.8"/>
    <d v="2019-03-13T00:00:00"/>
    <n v="3"/>
    <n v="12"/>
  </r>
  <r>
    <s v="880-46-5796"/>
    <x v="0"/>
    <s v="Yangon"/>
    <s v="Member"/>
    <s v="Male"/>
    <s v="Sports and travel"/>
    <n v="76.92"/>
    <n v="10"/>
    <n v="38.46"/>
    <x v="881"/>
    <s v="3/17/2019"/>
    <d v="1899-12-30T19:53:00"/>
    <s v="Ewallet"/>
    <n v="769.2"/>
    <n v="4.7619047620000003"/>
    <n v="38.46"/>
    <n v="5.6"/>
    <d v="2019-03-17T00:00:00"/>
    <n v="3"/>
    <n v="19"/>
  </r>
  <r>
    <s v="389-70-2397"/>
    <x v="1"/>
    <s v="Naypyitaw"/>
    <s v="Normal"/>
    <s v="Female"/>
    <s v="Health and beauty"/>
    <n v="83.66"/>
    <n v="5"/>
    <n v="20.914999999999999"/>
    <x v="882"/>
    <s v="2/21/2019"/>
    <d v="1899-12-30T10:26:00"/>
    <s v="Cash"/>
    <n v="418.3"/>
    <n v="4.7619047620000003"/>
    <n v="20.914999999999999"/>
    <n v="7.2"/>
    <d v="2019-02-21T00:00:00"/>
    <n v="2"/>
    <n v="10"/>
  </r>
  <r>
    <s v="114-35-5271"/>
    <x v="2"/>
    <s v="Mandalay"/>
    <s v="Normal"/>
    <s v="Female"/>
    <s v="Electronic accessories"/>
    <n v="57.91"/>
    <n v="8"/>
    <n v="23.164000000000001"/>
    <x v="883"/>
    <d v="2019-07-02T00:00:00"/>
    <d v="1899-12-30T15:06:00"/>
    <s v="Cash"/>
    <n v="463.28"/>
    <n v="4.7619047620000003"/>
    <n v="23.164000000000001"/>
    <n v="8.1"/>
    <d v="2019-02-07T00:00:00"/>
    <n v="2"/>
    <n v="15"/>
  </r>
  <r>
    <s v="607-76-6216"/>
    <x v="1"/>
    <s v="Naypyitaw"/>
    <s v="Member"/>
    <s v="Female"/>
    <s v="Fashion accessories"/>
    <n v="92.49"/>
    <n v="5"/>
    <n v="23.122499999999999"/>
    <x v="884"/>
    <d v="2019-02-03T00:00:00"/>
    <d v="1899-12-30T16:35:00"/>
    <s v="Credit card"/>
    <n v="462.45"/>
    <n v="4.7619047620000003"/>
    <n v="23.122499999999999"/>
    <n v="8.6"/>
    <d v="2019-03-02T00:00:00"/>
    <n v="3"/>
    <n v="16"/>
  </r>
  <r>
    <s v="715-20-1673"/>
    <x v="2"/>
    <s v="Mandalay"/>
    <s v="Normal"/>
    <s v="Male"/>
    <s v="Electronic accessories"/>
    <n v="28.38"/>
    <n v="5"/>
    <n v="7.0949999999999998"/>
    <x v="885"/>
    <d v="2019-06-03T00:00:00"/>
    <d v="1899-12-30T20:57:00"/>
    <s v="Cash"/>
    <n v="141.9"/>
    <n v="4.7619047620000003"/>
    <n v="7.0949999999999998"/>
    <n v="9.4"/>
    <d v="2019-03-06T00:00:00"/>
    <n v="3"/>
    <n v="20"/>
  </r>
  <r>
    <s v="811-35-1094"/>
    <x v="2"/>
    <s v="Mandalay"/>
    <s v="Member"/>
    <s v="Male"/>
    <s v="Electronic accessories"/>
    <n v="50.45"/>
    <n v="6"/>
    <n v="15.135"/>
    <x v="886"/>
    <d v="2019-06-02T00:00:00"/>
    <d v="1899-12-30T15:16:00"/>
    <s v="Credit card"/>
    <n v="302.7"/>
    <n v="4.7619047620000003"/>
    <n v="15.135"/>
    <n v="8.9"/>
    <d v="2019-02-06T00:00:00"/>
    <n v="2"/>
    <n v="15"/>
  </r>
  <r>
    <s v="699-88-1972"/>
    <x v="2"/>
    <s v="Mandalay"/>
    <s v="Normal"/>
    <s v="Male"/>
    <s v="Health and beauty"/>
    <n v="99.16"/>
    <n v="8"/>
    <n v="39.664000000000001"/>
    <x v="887"/>
    <s v="1/28/2019"/>
    <d v="1899-12-30T17:47:00"/>
    <s v="Credit card"/>
    <n v="793.28"/>
    <n v="4.7619047620000003"/>
    <n v="39.664000000000001"/>
    <n v="4.2"/>
    <d v="2019-01-28T00:00:00"/>
    <n v="1"/>
    <n v="17"/>
  </r>
  <r>
    <s v="781-84-8059"/>
    <x v="1"/>
    <s v="Naypyitaw"/>
    <s v="Normal"/>
    <s v="Male"/>
    <s v="Fashion accessories"/>
    <n v="60.74"/>
    <n v="7"/>
    <n v="21.259"/>
    <x v="888"/>
    <s v="1/18/2019"/>
    <d v="1899-12-30T16:23:00"/>
    <s v="Ewallet"/>
    <n v="425.18"/>
    <n v="4.7619047620000003"/>
    <n v="21.259"/>
    <n v="5"/>
    <d v="2019-01-18T00:00:00"/>
    <n v="1"/>
    <n v="16"/>
  </r>
  <r>
    <s v="409-49-6995"/>
    <x v="1"/>
    <s v="Naypyitaw"/>
    <s v="Member"/>
    <s v="Female"/>
    <s v="Food and beverages"/>
    <n v="47.27"/>
    <n v="6"/>
    <n v="14.180999999999999"/>
    <x v="889"/>
    <d v="2019-05-02T00:00:00"/>
    <d v="1899-12-30T10:17:00"/>
    <s v="Cash"/>
    <n v="283.62"/>
    <n v="4.7619047620000003"/>
    <n v="14.180999999999999"/>
    <n v="8.8000000000000007"/>
    <d v="2019-02-05T00:00:00"/>
    <n v="2"/>
    <n v="10"/>
  </r>
  <r>
    <s v="725-54-0677"/>
    <x v="1"/>
    <s v="Naypyitaw"/>
    <s v="Member"/>
    <s v="Male"/>
    <s v="Health and beauty"/>
    <n v="85.6"/>
    <n v="7"/>
    <n v="29.96"/>
    <x v="890"/>
    <d v="2019-02-03T00:00:00"/>
    <d v="1899-12-30T13:50:00"/>
    <s v="Cash"/>
    <n v="599.20000000000005"/>
    <n v="4.7619047620000003"/>
    <n v="29.96"/>
    <n v="5.3"/>
    <d v="2019-03-02T00:00:00"/>
    <n v="3"/>
    <n v="13"/>
  </r>
  <r>
    <s v="146-09-5432"/>
    <x v="0"/>
    <s v="Yangon"/>
    <s v="Member"/>
    <s v="Male"/>
    <s v="Food and beverages"/>
    <n v="35.04"/>
    <n v="9"/>
    <n v="15.768000000000001"/>
    <x v="891"/>
    <d v="2019-09-02T00:00:00"/>
    <d v="1899-12-30T19:17:00"/>
    <s v="Ewallet"/>
    <n v="315.36"/>
    <n v="4.7619047620000003"/>
    <n v="15.768000000000001"/>
    <n v="4.5999999999999996"/>
    <d v="2019-02-09T00:00:00"/>
    <n v="2"/>
    <n v="19"/>
  </r>
  <r>
    <s v="377-79-7592"/>
    <x v="1"/>
    <s v="Naypyitaw"/>
    <s v="Member"/>
    <s v="Female"/>
    <s v="Electronic accessories"/>
    <n v="44.84"/>
    <n v="9"/>
    <n v="20.178000000000001"/>
    <x v="892"/>
    <s v="1/14/2019"/>
    <d v="1899-12-30T14:00:00"/>
    <s v="Credit card"/>
    <n v="403.56"/>
    <n v="4.7619047620000003"/>
    <n v="20.178000000000001"/>
    <n v="7.5"/>
    <d v="2019-01-14T00:00:00"/>
    <n v="1"/>
    <n v="14"/>
  </r>
  <r>
    <s v="509-10-0516"/>
    <x v="2"/>
    <s v="Mandalay"/>
    <s v="Normal"/>
    <s v="Male"/>
    <s v="Home and lifestyle"/>
    <n v="45.97"/>
    <n v="4"/>
    <n v="9.1940000000000008"/>
    <x v="893"/>
    <d v="2019-09-02T00:00:00"/>
    <d v="1899-12-30T12:02:00"/>
    <s v="Ewallet"/>
    <n v="183.88"/>
    <n v="4.7619047620000003"/>
    <n v="9.1940000000000008"/>
    <n v="5.0999999999999996"/>
    <d v="2019-02-09T00:00:00"/>
    <n v="2"/>
    <n v="12"/>
  </r>
  <r>
    <s v="595-94-9924"/>
    <x v="0"/>
    <s v="Yangon"/>
    <s v="Member"/>
    <s v="Female"/>
    <s v="Health and beauty"/>
    <n v="27.73"/>
    <n v="5"/>
    <n v="6.9325000000000001"/>
    <x v="894"/>
    <s v="3/26/2019"/>
    <d v="1899-12-30T20:21:00"/>
    <s v="Credit card"/>
    <n v="138.65"/>
    <n v="4.7619047620000003"/>
    <n v="6.9325000000000001"/>
    <n v="4.2"/>
    <d v="2019-03-26T00:00:00"/>
    <n v="3"/>
    <n v="20"/>
  </r>
  <r>
    <s v="865-41-9075"/>
    <x v="0"/>
    <s v="Yangon"/>
    <s v="Normal"/>
    <s v="Male"/>
    <s v="Food and beverages"/>
    <n v="11.53"/>
    <n v="7"/>
    <n v="4.0354999999999999"/>
    <x v="895"/>
    <s v="1/28/2019"/>
    <d v="1899-12-30T17:35:00"/>
    <s v="Cash"/>
    <n v="80.709999999999994"/>
    <n v="4.7619047620000003"/>
    <n v="4.0354999999999999"/>
    <n v="8.1"/>
    <d v="2019-01-28T00:00:00"/>
    <n v="1"/>
    <n v="17"/>
  </r>
  <r>
    <s v="545-07-8534"/>
    <x v="1"/>
    <s v="Naypyitaw"/>
    <s v="Normal"/>
    <s v="Female"/>
    <s v="Health and beauty"/>
    <n v="58.32"/>
    <n v="2"/>
    <n v="5.8319999999999999"/>
    <x v="896"/>
    <s v="2/14/2019"/>
    <d v="1899-12-30T12:42:00"/>
    <s v="Ewallet"/>
    <n v="116.64"/>
    <n v="4.7619047620000003"/>
    <n v="5.8319999999999999"/>
    <n v="6"/>
    <d v="2019-02-14T00:00:00"/>
    <n v="2"/>
    <n v="12"/>
  </r>
  <r>
    <s v="118-62-1812"/>
    <x v="1"/>
    <s v="Naypyitaw"/>
    <s v="Member"/>
    <s v="Female"/>
    <s v="Home and lifestyle"/>
    <n v="78.38"/>
    <n v="4"/>
    <n v="15.676"/>
    <x v="897"/>
    <s v="3/24/2019"/>
    <d v="1899-12-30T17:56:00"/>
    <s v="Cash"/>
    <n v="313.52"/>
    <n v="4.7619047620000003"/>
    <n v="15.676"/>
    <n v="7.9"/>
    <d v="2019-03-24T00:00:00"/>
    <n v="3"/>
    <n v="17"/>
  </r>
  <r>
    <s v="450-42-3339"/>
    <x v="1"/>
    <s v="Naypyitaw"/>
    <s v="Normal"/>
    <s v="Male"/>
    <s v="Health and beauty"/>
    <n v="84.61"/>
    <n v="10"/>
    <n v="42.305"/>
    <x v="898"/>
    <d v="2019-09-02T00:00:00"/>
    <d v="1899-12-30T18:58:00"/>
    <s v="Credit card"/>
    <n v="846.1"/>
    <n v="4.7619047620000003"/>
    <n v="42.305"/>
    <n v="8.8000000000000007"/>
    <d v="2019-02-09T00:00:00"/>
    <n v="2"/>
    <n v="18"/>
  </r>
  <r>
    <s v="851-98-3555"/>
    <x v="2"/>
    <s v="Mandalay"/>
    <s v="Normal"/>
    <s v="Female"/>
    <s v="Health and beauty"/>
    <n v="82.88"/>
    <n v="5"/>
    <n v="20.72"/>
    <x v="899"/>
    <s v="3/24/2019"/>
    <d v="1899-12-30T14:08:00"/>
    <s v="Credit card"/>
    <n v="414.4"/>
    <n v="4.7619047620000003"/>
    <n v="20.72"/>
    <n v="6.6"/>
    <d v="2019-03-24T00:00:00"/>
    <n v="3"/>
    <n v="14"/>
  </r>
  <r>
    <s v="186-71-5196"/>
    <x v="0"/>
    <s v="Yangon"/>
    <s v="Member"/>
    <s v="Female"/>
    <s v="Food and beverages"/>
    <n v="79.540000000000006"/>
    <n v="2"/>
    <n v="7.9539999999999997"/>
    <x v="900"/>
    <s v="3/27/2019"/>
    <d v="1899-12-30T16:30:00"/>
    <s v="Ewallet"/>
    <n v="159.08000000000001"/>
    <n v="4.7619047620000003"/>
    <n v="7.9539999999999997"/>
    <n v="6.2"/>
    <d v="2019-03-27T00:00:00"/>
    <n v="3"/>
    <n v="16"/>
  </r>
  <r>
    <s v="624-01-8356"/>
    <x v="2"/>
    <s v="Mandalay"/>
    <s v="Normal"/>
    <s v="Female"/>
    <s v="Home and lifestyle"/>
    <n v="49.01"/>
    <n v="10"/>
    <n v="24.504999999999999"/>
    <x v="901"/>
    <s v="1/27/2019"/>
    <d v="1899-12-30T10:44:00"/>
    <s v="Credit card"/>
    <n v="490.1"/>
    <n v="4.7619047620000003"/>
    <n v="24.504999999999999"/>
    <n v="4.2"/>
    <d v="2019-01-27T00:00:00"/>
    <n v="1"/>
    <n v="10"/>
  </r>
  <r>
    <s v="313-66-9943"/>
    <x v="2"/>
    <s v="Mandalay"/>
    <s v="Member"/>
    <s v="Female"/>
    <s v="Food and beverages"/>
    <n v="29.15"/>
    <n v="3"/>
    <n v="4.3724999999999996"/>
    <x v="902"/>
    <s v="3/27/2019"/>
    <d v="1899-12-30T20:29:00"/>
    <s v="Credit card"/>
    <n v="87.45"/>
    <n v="4.7619047620000003"/>
    <n v="4.3724999999999996"/>
    <n v="7.3"/>
    <d v="2019-03-27T00:00:00"/>
    <n v="3"/>
    <n v="20"/>
  </r>
  <r>
    <s v="151-27-8496"/>
    <x v="1"/>
    <s v="Naypyitaw"/>
    <s v="Normal"/>
    <s v="Female"/>
    <s v="Electronic accessories"/>
    <n v="56.13"/>
    <n v="4"/>
    <n v="11.226000000000001"/>
    <x v="903"/>
    <s v="1/19/2019"/>
    <d v="1899-12-30T11:43:00"/>
    <s v="Ewallet"/>
    <n v="224.52"/>
    <n v="4.7619047620000003"/>
    <n v="11.226000000000001"/>
    <n v="8.6"/>
    <d v="2019-01-19T00:00:00"/>
    <n v="1"/>
    <n v="11"/>
  </r>
  <r>
    <s v="453-33-6436"/>
    <x v="0"/>
    <s v="Yangon"/>
    <s v="Normal"/>
    <s v="Female"/>
    <s v="Home and lifestyle"/>
    <n v="93.12"/>
    <n v="8"/>
    <n v="37.247999999999998"/>
    <x v="904"/>
    <d v="2019-07-02T00:00:00"/>
    <d v="1899-12-30T10:09:00"/>
    <s v="Cash"/>
    <n v="744.96"/>
    <n v="4.7619047620000003"/>
    <n v="37.247999999999998"/>
    <n v="6.8"/>
    <d v="2019-02-07T00:00:00"/>
    <n v="2"/>
    <n v="10"/>
  </r>
  <r>
    <s v="522-57-8364"/>
    <x v="0"/>
    <s v="Yangon"/>
    <s v="Member"/>
    <s v="Male"/>
    <s v="Fashion accessories"/>
    <n v="51.34"/>
    <n v="8"/>
    <n v="20.536000000000001"/>
    <x v="905"/>
    <s v="1/31/2019"/>
    <d v="1899-12-30T10:00:00"/>
    <s v="Ewallet"/>
    <n v="410.72"/>
    <n v="4.7619047620000003"/>
    <n v="20.536000000000001"/>
    <n v="7.6"/>
    <d v="2019-01-31T00:00:00"/>
    <n v="1"/>
    <n v="10"/>
  </r>
  <r>
    <s v="459-45-2396"/>
    <x v="0"/>
    <s v="Yangon"/>
    <s v="Member"/>
    <s v="Female"/>
    <s v="Food and beverages"/>
    <n v="99.6"/>
    <n v="3"/>
    <n v="14.94"/>
    <x v="906"/>
    <s v="2/25/2019"/>
    <d v="1899-12-30T18:45:00"/>
    <s v="Cash"/>
    <n v="298.8"/>
    <n v="4.7619047620000003"/>
    <n v="14.94"/>
    <n v="5.8"/>
    <d v="2019-02-25T00:00:00"/>
    <n v="2"/>
    <n v="18"/>
  </r>
  <r>
    <s v="717-96-4189"/>
    <x v="1"/>
    <s v="Naypyitaw"/>
    <s v="Normal"/>
    <s v="Female"/>
    <s v="Electronic accessories"/>
    <n v="35.49"/>
    <n v="6"/>
    <n v="10.647"/>
    <x v="907"/>
    <d v="2019-02-02T00:00:00"/>
    <d v="1899-12-30T12:40:00"/>
    <s v="Cash"/>
    <n v="212.94"/>
    <n v="4.7619047620000003"/>
    <n v="10.647"/>
    <n v="4.0999999999999996"/>
    <d v="2019-02-02T00:00:00"/>
    <n v="2"/>
    <n v="12"/>
  </r>
  <r>
    <s v="722-13-2115"/>
    <x v="1"/>
    <s v="Naypyitaw"/>
    <s v="Member"/>
    <s v="Male"/>
    <s v="Sports and travel"/>
    <n v="42.85"/>
    <n v="1"/>
    <n v="2.1425000000000001"/>
    <x v="908"/>
    <s v="3/14/2019"/>
    <d v="1899-12-30T15:36:00"/>
    <s v="Credit card"/>
    <n v="42.85"/>
    <n v="4.7619047620000003"/>
    <n v="2.1425000000000001"/>
    <n v="9.3000000000000007"/>
    <d v="2019-03-14T00:00:00"/>
    <n v="3"/>
    <n v="15"/>
  </r>
  <r>
    <s v="749-81-8133"/>
    <x v="0"/>
    <s v="Yangon"/>
    <s v="Normal"/>
    <s v="Female"/>
    <s v="Fashion accessories"/>
    <n v="94.67"/>
    <n v="4"/>
    <n v="18.934000000000001"/>
    <x v="909"/>
    <d v="2019-11-03T00:00:00"/>
    <d v="1899-12-30T12:04:00"/>
    <s v="Cash"/>
    <n v="378.68"/>
    <n v="4.7619047620000003"/>
    <n v="18.934000000000001"/>
    <n v="6.8"/>
    <d v="2019-03-11T00:00:00"/>
    <n v="3"/>
    <n v="12"/>
  </r>
  <r>
    <s v="777-67-2495"/>
    <x v="2"/>
    <s v="Mandalay"/>
    <s v="Normal"/>
    <s v="Male"/>
    <s v="Home and lifestyle"/>
    <n v="68.97"/>
    <n v="3"/>
    <n v="10.345499999999999"/>
    <x v="910"/>
    <s v="2/22/2019"/>
    <d v="1899-12-30T11:26:00"/>
    <s v="Ewallet"/>
    <n v="206.91"/>
    <n v="4.7619047620000003"/>
    <n v="10.345499999999999"/>
    <n v="8.6999999999999993"/>
    <d v="2019-02-22T00:00:00"/>
    <n v="2"/>
    <n v="11"/>
  </r>
  <r>
    <s v="636-98-3364"/>
    <x v="2"/>
    <s v="Mandalay"/>
    <s v="Member"/>
    <s v="Female"/>
    <s v="Electronic accessories"/>
    <n v="26.26"/>
    <n v="3"/>
    <n v="3.9390000000000001"/>
    <x v="911"/>
    <d v="2019-02-03T00:00:00"/>
    <d v="1899-12-30T12:36:00"/>
    <s v="Ewallet"/>
    <n v="78.78"/>
    <n v="4.7619047620000003"/>
    <n v="3.9390000000000001"/>
    <n v="6.3"/>
    <d v="2019-03-02T00:00:00"/>
    <n v="3"/>
    <n v="12"/>
  </r>
  <r>
    <s v="246-55-6923"/>
    <x v="1"/>
    <s v="Naypyitaw"/>
    <s v="Member"/>
    <s v="Female"/>
    <s v="Home and lifestyle"/>
    <n v="35.79"/>
    <n v="9"/>
    <n v="16.105499999999999"/>
    <x v="912"/>
    <d v="2019-10-03T00:00:00"/>
    <d v="1899-12-30T15:06:00"/>
    <s v="Credit card"/>
    <n v="322.11"/>
    <n v="4.7619047620000003"/>
    <n v="16.105499999999999"/>
    <n v="5.0999999999999996"/>
    <d v="2019-03-10T00:00:00"/>
    <n v="3"/>
    <n v="15"/>
  </r>
  <r>
    <s v="181-82-6255"/>
    <x v="2"/>
    <s v="Mandalay"/>
    <s v="Normal"/>
    <s v="Female"/>
    <s v="Home and lifestyle"/>
    <n v="16.37"/>
    <n v="6"/>
    <n v="4.9109999999999996"/>
    <x v="913"/>
    <d v="2019-08-02T00:00:00"/>
    <d v="1899-12-30T10:58:00"/>
    <s v="Cash"/>
    <n v="98.22"/>
    <n v="4.7619047620000003"/>
    <n v="4.9109999999999996"/>
    <n v="7"/>
    <d v="2019-02-08T00:00:00"/>
    <n v="2"/>
    <n v="10"/>
  </r>
  <r>
    <s v="838-02-1821"/>
    <x v="1"/>
    <s v="Naypyitaw"/>
    <s v="Member"/>
    <s v="Female"/>
    <s v="Home and lifestyle"/>
    <n v="12.73"/>
    <n v="2"/>
    <n v="1.2729999999999999"/>
    <x v="914"/>
    <s v="2/22/2019"/>
    <d v="1899-12-30T12:10:00"/>
    <s v="Credit card"/>
    <n v="25.46"/>
    <n v="4.7619047620000003"/>
    <n v="1.2729999999999999"/>
    <n v="5.2"/>
    <d v="2019-02-22T00:00:00"/>
    <n v="2"/>
    <n v="12"/>
  </r>
  <r>
    <s v="887-42-0517"/>
    <x v="1"/>
    <s v="Naypyitaw"/>
    <s v="Normal"/>
    <s v="Female"/>
    <s v="Sports and travel"/>
    <n v="83.14"/>
    <n v="7"/>
    <n v="29.099"/>
    <x v="915"/>
    <d v="2019-10-01T00:00:00"/>
    <d v="1899-12-30T10:31:00"/>
    <s v="Credit card"/>
    <n v="581.98"/>
    <n v="4.7619047620000003"/>
    <n v="29.099"/>
    <n v="6.6"/>
    <d v="2019-01-10T00:00:00"/>
    <n v="1"/>
    <n v="10"/>
  </r>
  <r>
    <s v="457-12-0244"/>
    <x v="1"/>
    <s v="Naypyitaw"/>
    <s v="Member"/>
    <s v="Female"/>
    <s v="Sports and travel"/>
    <n v="35.22"/>
    <n v="6"/>
    <n v="10.566000000000001"/>
    <x v="916"/>
    <s v="3/14/2019"/>
    <d v="1899-12-30T13:49:00"/>
    <s v="Ewallet"/>
    <n v="211.32"/>
    <n v="4.7619047620000003"/>
    <n v="10.566000000000001"/>
    <n v="6.5"/>
    <d v="2019-03-14T00:00:00"/>
    <n v="3"/>
    <n v="13"/>
  </r>
  <r>
    <s v="226-34-0034"/>
    <x v="2"/>
    <s v="Mandalay"/>
    <s v="Normal"/>
    <s v="Female"/>
    <s v="Electronic accessories"/>
    <n v="13.78"/>
    <n v="4"/>
    <n v="2.7559999999999998"/>
    <x v="917"/>
    <d v="2019-10-01T00:00:00"/>
    <d v="1899-12-30T11:10:00"/>
    <s v="Ewallet"/>
    <n v="55.12"/>
    <n v="4.7619047620000003"/>
    <n v="2.7559999999999998"/>
    <n v="9"/>
    <d v="2019-01-10T00:00:00"/>
    <n v="1"/>
    <n v="11"/>
  </r>
  <r>
    <s v="321-49-7382"/>
    <x v="2"/>
    <s v="Mandalay"/>
    <s v="Member"/>
    <s v="Male"/>
    <s v="Sports and travel"/>
    <n v="88.31"/>
    <n v="1"/>
    <n v="4.4154999999999998"/>
    <x v="918"/>
    <s v="2/15/2019"/>
    <d v="1899-12-30T17:38:00"/>
    <s v="Credit card"/>
    <n v="88.31"/>
    <n v="4.7619047620000003"/>
    <n v="4.4154999999999998"/>
    <n v="5.2"/>
    <d v="2019-02-15T00:00:00"/>
    <n v="2"/>
    <n v="17"/>
  </r>
  <r>
    <s v="397-25-8725"/>
    <x v="0"/>
    <s v="Yangon"/>
    <s v="Member"/>
    <s v="Female"/>
    <s v="Health and beauty"/>
    <n v="39.619999999999997"/>
    <n v="9"/>
    <n v="17.829000000000001"/>
    <x v="919"/>
    <s v="1/13/2019"/>
    <d v="1899-12-30T17:54:00"/>
    <s v="Credit card"/>
    <n v="356.58"/>
    <n v="4.7619047620000003"/>
    <n v="17.829000000000001"/>
    <n v="6.8"/>
    <d v="2019-01-13T00:00:00"/>
    <n v="1"/>
    <n v="17"/>
  </r>
  <r>
    <s v="431-66-2305"/>
    <x v="2"/>
    <s v="Mandalay"/>
    <s v="Normal"/>
    <s v="Female"/>
    <s v="Electronic accessories"/>
    <n v="88.25"/>
    <n v="9"/>
    <n v="39.712499999999999"/>
    <x v="920"/>
    <s v="2/15/2019"/>
    <d v="1899-12-30T20:51:00"/>
    <s v="Credit card"/>
    <n v="794.25"/>
    <n v="4.7619047620000003"/>
    <n v="39.712499999999999"/>
    <n v="7.6"/>
    <d v="2019-02-15T00:00:00"/>
    <n v="2"/>
    <n v="20"/>
  </r>
  <r>
    <s v="825-94-5922"/>
    <x v="2"/>
    <s v="Mandalay"/>
    <s v="Normal"/>
    <s v="Male"/>
    <s v="Sports and travel"/>
    <n v="25.31"/>
    <n v="2"/>
    <n v="2.5310000000000001"/>
    <x v="921"/>
    <d v="2019-02-03T00:00:00"/>
    <d v="1899-12-30T19:26:00"/>
    <s v="Ewallet"/>
    <n v="50.62"/>
    <n v="4.7619047620000003"/>
    <n v="2.5310000000000001"/>
    <n v="7.2"/>
    <d v="2019-03-02T00:00:00"/>
    <n v="3"/>
    <n v="19"/>
  </r>
  <r>
    <s v="641-62-7288"/>
    <x v="2"/>
    <s v="Mandalay"/>
    <s v="Normal"/>
    <s v="Male"/>
    <s v="Home and lifestyle"/>
    <n v="99.92"/>
    <n v="6"/>
    <n v="29.975999999999999"/>
    <x v="922"/>
    <s v="3/24/2019"/>
    <d v="1899-12-30T13:33:00"/>
    <s v="Ewallet"/>
    <n v="599.52"/>
    <n v="4.7619047620000003"/>
    <n v="29.975999999999999"/>
    <n v="7.1"/>
    <d v="2019-03-24T00:00:00"/>
    <n v="3"/>
    <n v="13"/>
  </r>
  <r>
    <s v="756-93-1854"/>
    <x v="1"/>
    <s v="Naypyitaw"/>
    <s v="Member"/>
    <s v="Female"/>
    <s v="Fashion accessories"/>
    <n v="83.35"/>
    <n v="2"/>
    <n v="8.3350000000000009"/>
    <x v="923"/>
    <d v="2019-02-02T00:00:00"/>
    <d v="1899-12-30T14:05:00"/>
    <s v="Credit card"/>
    <n v="166.7"/>
    <n v="4.7619047620000003"/>
    <n v="8.3350000000000009"/>
    <n v="9.5"/>
    <d v="2019-02-02T00:00:00"/>
    <n v="2"/>
    <n v="14"/>
  </r>
  <r>
    <s v="243-55-8457"/>
    <x v="0"/>
    <s v="Yangon"/>
    <s v="Normal"/>
    <s v="Female"/>
    <s v="Food and beverages"/>
    <n v="74.44"/>
    <n v="10"/>
    <n v="37.22"/>
    <x v="924"/>
    <s v="2/27/2019"/>
    <d v="1899-12-30T11:40:00"/>
    <s v="Ewallet"/>
    <n v="744.4"/>
    <n v="4.7619047620000003"/>
    <n v="37.22"/>
    <n v="5.0999999999999996"/>
    <d v="2019-02-27T00:00:00"/>
    <n v="2"/>
    <n v="11"/>
  </r>
  <r>
    <s v="458-10-8612"/>
    <x v="1"/>
    <s v="Naypyitaw"/>
    <s v="Normal"/>
    <s v="Male"/>
    <s v="Health and beauty"/>
    <n v="64.08"/>
    <n v="7"/>
    <n v="22.428000000000001"/>
    <x v="671"/>
    <s v="1/20/2019"/>
    <d v="1899-12-30T12:27:00"/>
    <s v="Ewallet"/>
    <n v="448.56"/>
    <n v="4.7619047620000003"/>
    <n v="22.428000000000001"/>
    <n v="7.6"/>
    <d v="2019-01-20T00:00:00"/>
    <n v="1"/>
    <n v="12"/>
  </r>
  <r>
    <s v="501-61-1753"/>
    <x v="2"/>
    <s v="Mandalay"/>
    <s v="Normal"/>
    <s v="Female"/>
    <s v="Home and lifestyle"/>
    <n v="63.15"/>
    <n v="6"/>
    <n v="18.945"/>
    <x v="925"/>
    <d v="2019-03-01T00:00:00"/>
    <d v="1899-12-30T20:24:00"/>
    <s v="Ewallet"/>
    <n v="378.9"/>
    <n v="4.7619047620000003"/>
    <n v="18.945"/>
    <n v="9.8000000000000007"/>
    <d v="2019-01-03T00:00:00"/>
    <n v="1"/>
    <n v="20"/>
  </r>
  <r>
    <s v="235-06-8510"/>
    <x v="1"/>
    <s v="Naypyitaw"/>
    <s v="Member"/>
    <s v="Male"/>
    <s v="Home and lifestyle"/>
    <n v="85.72"/>
    <n v="3"/>
    <n v="12.858000000000001"/>
    <x v="926"/>
    <s v="1/24/2019"/>
    <d v="1899-12-30T20:59:00"/>
    <s v="Ewallet"/>
    <n v="257.16000000000003"/>
    <n v="4.7619047620000003"/>
    <n v="12.858000000000001"/>
    <n v="5.0999999999999996"/>
    <d v="2019-01-24T00:00:00"/>
    <n v="1"/>
    <n v="20"/>
  </r>
  <r>
    <s v="433-08-7822"/>
    <x v="1"/>
    <s v="Naypyitaw"/>
    <s v="Normal"/>
    <s v="Female"/>
    <s v="Health and beauty"/>
    <n v="78.89"/>
    <n v="7"/>
    <n v="27.611499999999999"/>
    <x v="927"/>
    <d v="2019-05-01T00:00:00"/>
    <d v="1899-12-30T19:48:00"/>
    <s v="Ewallet"/>
    <n v="552.23"/>
    <n v="4.7619047620000003"/>
    <n v="27.611499999999999"/>
    <n v="7.5"/>
    <d v="2019-01-05T00:00:00"/>
    <n v="1"/>
    <n v="19"/>
  </r>
  <r>
    <s v="361-85-2571"/>
    <x v="0"/>
    <s v="Yangon"/>
    <s v="Normal"/>
    <s v="Female"/>
    <s v="Sports and travel"/>
    <n v="89.48"/>
    <n v="5"/>
    <n v="22.37"/>
    <x v="928"/>
    <s v="3/30/2019"/>
    <d v="1899-12-30T10:18:00"/>
    <s v="Cash"/>
    <n v="447.4"/>
    <n v="4.7619047620000003"/>
    <n v="22.37"/>
    <n v="7.4"/>
    <d v="2019-03-30T00:00:00"/>
    <n v="3"/>
    <n v="10"/>
  </r>
  <r>
    <s v="131-70-8179"/>
    <x v="0"/>
    <s v="Yangon"/>
    <s v="Member"/>
    <s v="Female"/>
    <s v="Health and beauty"/>
    <n v="92.09"/>
    <n v="3"/>
    <n v="13.813499999999999"/>
    <x v="929"/>
    <s v="2/17/2019"/>
    <d v="1899-12-30T16:27:00"/>
    <s v="Cash"/>
    <n v="276.27"/>
    <n v="4.7619047620000003"/>
    <n v="13.813499999999999"/>
    <n v="4.2"/>
    <d v="2019-02-17T00:00:00"/>
    <n v="2"/>
    <n v="16"/>
  </r>
  <r>
    <s v="500-02-2261"/>
    <x v="1"/>
    <s v="Naypyitaw"/>
    <s v="Normal"/>
    <s v="Female"/>
    <s v="Food and beverages"/>
    <n v="57.29"/>
    <n v="6"/>
    <n v="17.187000000000001"/>
    <x v="930"/>
    <s v="3/21/2019"/>
    <d v="1899-12-30T17:04:00"/>
    <s v="Ewallet"/>
    <n v="343.74"/>
    <n v="4.7619047620000003"/>
    <n v="17.187000000000001"/>
    <n v="5.9"/>
    <d v="2019-03-21T00:00:00"/>
    <n v="3"/>
    <n v="17"/>
  </r>
  <r>
    <s v="720-72-2436"/>
    <x v="0"/>
    <s v="Yangon"/>
    <s v="Normal"/>
    <s v="Male"/>
    <s v="Food and beverages"/>
    <n v="66.52"/>
    <n v="4"/>
    <n v="13.304"/>
    <x v="931"/>
    <d v="2019-02-03T00:00:00"/>
    <d v="1899-12-30T18:14:00"/>
    <s v="Ewallet"/>
    <n v="266.08"/>
    <n v="4.7619047620000003"/>
    <n v="13.304"/>
    <n v="6.9"/>
    <d v="2019-03-02T00:00:00"/>
    <n v="3"/>
    <n v="18"/>
  </r>
  <r>
    <s v="702-83-5291"/>
    <x v="1"/>
    <s v="Naypyitaw"/>
    <s v="Member"/>
    <s v="Male"/>
    <s v="Fashion accessories"/>
    <n v="99.82"/>
    <n v="9"/>
    <n v="44.918999999999997"/>
    <x v="932"/>
    <s v="3/27/2019"/>
    <d v="1899-12-30T10:43:00"/>
    <s v="Cash"/>
    <n v="898.38"/>
    <n v="4.7619047620000003"/>
    <n v="44.918999999999997"/>
    <n v="6.6"/>
    <d v="2019-03-27T00:00:00"/>
    <n v="3"/>
    <n v="10"/>
  </r>
  <r>
    <s v="809-69-9497"/>
    <x v="0"/>
    <s v="Yangon"/>
    <s v="Normal"/>
    <s v="Female"/>
    <s v="Home and lifestyle"/>
    <n v="45.68"/>
    <n v="10"/>
    <n v="22.84"/>
    <x v="933"/>
    <s v="1/19/2019"/>
    <d v="1899-12-30T19:30:00"/>
    <s v="Ewallet"/>
    <n v="456.8"/>
    <n v="4.7619047620000003"/>
    <n v="22.84"/>
    <n v="5.7"/>
    <d v="2019-01-19T00:00:00"/>
    <n v="1"/>
    <n v="19"/>
  </r>
  <r>
    <s v="449-16-6770"/>
    <x v="0"/>
    <s v="Yangon"/>
    <s v="Normal"/>
    <s v="Male"/>
    <s v="Health and beauty"/>
    <n v="50.79"/>
    <n v="5"/>
    <n v="12.6975"/>
    <x v="934"/>
    <s v="2/19/2019"/>
    <d v="1899-12-30T14:53:00"/>
    <s v="Credit card"/>
    <n v="253.95"/>
    <n v="4.7619047620000003"/>
    <n v="12.6975"/>
    <n v="5.3"/>
    <d v="2019-02-19T00:00:00"/>
    <n v="2"/>
    <n v="14"/>
  </r>
  <r>
    <s v="333-23-2632"/>
    <x v="0"/>
    <s v="Yangon"/>
    <s v="Member"/>
    <s v="Male"/>
    <s v="Health and beauty"/>
    <n v="10.08"/>
    <n v="7"/>
    <n v="3.528"/>
    <x v="935"/>
    <s v="3/28/2019"/>
    <d v="1899-12-30T20:14:00"/>
    <s v="Cash"/>
    <n v="70.56"/>
    <n v="4.7619047620000003"/>
    <n v="3.528"/>
    <n v="4.2"/>
    <d v="2019-03-28T00:00:00"/>
    <n v="3"/>
    <n v="20"/>
  </r>
  <r>
    <s v="489-82-1237"/>
    <x v="0"/>
    <s v="Yangon"/>
    <s v="Normal"/>
    <s v="Female"/>
    <s v="Electronic accessories"/>
    <n v="93.88"/>
    <n v="7"/>
    <n v="32.857999999999997"/>
    <x v="936"/>
    <d v="2019-05-01T00:00:00"/>
    <d v="1899-12-30T11:51:00"/>
    <s v="Credit card"/>
    <n v="657.16"/>
    <n v="4.7619047620000003"/>
    <n v="32.857999999999997"/>
    <n v="7.3"/>
    <d v="2019-01-05T00:00:00"/>
    <n v="1"/>
    <n v="11"/>
  </r>
  <r>
    <s v="859-97-6048"/>
    <x v="1"/>
    <s v="Naypyitaw"/>
    <s v="Member"/>
    <s v="Male"/>
    <s v="Electronic accessories"/>
    <n v="84.25"/>
    <n v="2"/>
    <n v="8.4250000000000007"/>
    <x v="937"/>
    <s v="3/26/2019"/>
    <d v="1899-12-30T14:13:00"/>
    <s v="Credit card"/>
    <n v="168.5"/>
    <n v="4.7619047620000003"/>
    <n v="8.4250000000000007"/>
    <n v="5.3"/>
    <d v="2019-03-26T00:00:00"/>
    <n v="3"/>
    <n v="14"/>
  </r>
  <r>
    <s v="676-10-2200"/>
    <x v="2"/>
    <s v="Mandalay"/>
    <s v="Member"/>
    <s v="Male"/>
    <s v="Fashion accessories"/>
    <n v="53.78"/>
    <n v="1"/>
    <n v="2.6890000000000001"/>
    <x v="938"/>
    <d v="2019-03-02T00:00:00"/>
    <d v="1899-12-30T20:13:00"/>
    <s v="Ewallet"/>
    <n v="53.78"/>
    <n v="4.7619047620000003"/>
    <n v="2.6890000000000001"/>
    <n v="4.7"/>
    <d v="2019-02-03T00:00:00"/>
    <n v="2"/>
    <n v="20"/>
  </r>
  <r>
    <s v="373-88-1424"/>
    <x v="1"/>
    <s v="Naypyitaw"/>
    <s v="Member"/>
    <s v="Male"/>
    <s v="Home and lifestyle"/>
    <n v="35.81"/>
    <n v="5"/>
    <n v="8.9525000000000006"/>
    <x v="939"/>
    <d v="2019-06-02T00:00:00"/>
    <d v="1899-12-30T18:44:00"/>
    <s v="Ewallet"/>
    <n v="179.05"/>
    <n v="4.7619047620000003"/>
    <n v="8.9525000000000006"/>
    <n v="7.9"/>
    <d v="2019-02-06T00:00:00"/>
    <n v="2"/>
    <n v="18"/>
  </r>
  <r>
    <s v="365-16-4334"/>
    <x v="2"/>
    <s v="Mandalay"/>
    <s v="Normal"/>
    <s v="Female"/>
    <s v="Food and beverages"/>
    <n v="26.43"/>
    <n v="8"/>
    <n v="10.571999999999999"/>
    <x v="940"/>
    <s v="2/24/2019"/>
    <d v="1899-12-30T14:26:00"/>
    <s v="Ewallet"/>
    <n v="211.44"/>
    <n v="4.7619047620000003"/>
    <n v="10.571999999999999"/>
    <n v="8.9"/>
    <d v="2019-02-24T00:00:00"/>
    <n v="2"/>
    <n v="14"/>
  </r>
  <r>
    <s v="503-21-4385"/>
    <x v="2"/>
    <s v="Mandalay"/>
    <s v="Member"/>
    <s v="Male"/>
    <s v="Health and beauty"/>
    <n v="39.909999999999997"/>
    <n v="3"/>
    <n v="5.9865000000000004"/>
    <x v="941"/>
    <s v="2/21/2019"/>
    <d v="1899-12-30T12:40:00"/>
    <s v="Ewallet"/>
    <n v="119.73"/>
    <n v="4.7619047620000003"/>
    <n v="5.9865000000000004"/>
    <n v="9.3000000000000007"/>
    <d v="2019-02-21T00:00:00"/>
    <n v="2"/>
    <n v="12"/>
  </r>
  <r>
    <s v="305-89-2768"/>
    <x v="2"/>
    <s v="Mandalay"/>
    <s v="Member"/>
    <s v="Female"/>
    <s v="Home and lifestyle"/>
    <n v="21.9"/>
    <n v="3"/>
    <n v="3.2850000000000001"/>
    <x v="942"/>
    <d v="2019-09-01T00:00:00"/>
    <d v="1899-12-30T18:43:00"/>
    <s v="Ewallet"/>
    <n v="65.7"/>
    <n v="4.7619047620000003"/>
    <n v="3.2850000000000001"/>
    <n v="4.7"/>
    <d v="2019-01-09T00:00:00"/>
    <n v="1"/>
    <n v="18"/>
  </r>
  <r>
    <s v="574-80-1489"/>
    <x v="2"/>
    <s v="Mandalay"/>
    <s v="Member"/>
    <s v="Female"/>
    <s v="Food and beverages"/>
    <n v="62.85"/>
    <n v="4"/>
    <n v="12.57"/>
    <x v="156"/>
    <s v="2/25/2019"/>
    <d v="1899-12-30T13:22:00"/>
    <s v="Ewallet"/>
    <n v="251.4"/>
    <n v="4.7619047620000003"/>
    <n v="12.57"/>
    <n v="8.6999999999999993"/>
    <d v="2019-02-25T00:00:00"/>
    <n v="2"/>
    <n v="13"/>
  </r>
  <r>
    <s v="784-08-0310"/>
    <x v="1"/>
    <s v="Naypyitaw"/>
    <s v="Member"/>
    <s v="Female"/>
    <s v="Food and beverages"/>
    <n v="21.04"/>
    <n v="4"/>
    <n v="4.2080000000000002"/>
    <x v="943"/>
    <s v="1/13/2019"/>
    <d v="1899-12-30T13:58:00"/>
    <s v="Cash"/>
    <n v="84.16"/>
    <n v="4.7619047620000003"/>
    <n v="4.2080000000000002"/>
    <n v="7.6"/>
    <d v="2019-01-13T00:00:00"/>
    <n v="1"/>
    <n v="13"/>
  </r>
  <r>
    <s v="200-40-6154"/>
    <x v="2"/>
    <s v="Mandalay"/>
    <s v="Member"/>
    <s v="Male"/>
    <s v="Home and lifestyle"/>
    <n v="65.91"/>
    <n v="6"/>
    <n v="19.773"/>
    <x v="944"/>
    <d v="2019-09-02T00:00:00"/>
    <d v="1899-12-30T11:45:00"/>
    <s v="Cash"/>
    <n v="395.46"/>
    <n v="4.7619047620000003"/>
    <n v="19.773"/>
    <n v="5.7"/>
    <d v="2019-02-09T00:00:00"/>
    <n v="2"/>
    <n v="11"/>
  </r>
  <r>
    <s v="846-10-0341"/>
    <x v="0"/>
    <s v="Yangon"/>
    <s v="Normal"/>
    <s v="Female"/>
    <s v="Fashion accessories"/>
    <n v="42.57"/>
    <n v="7"/>
    <n v="14.8995"/>
    <x v="945"/>
    <d v="2019-06-01T00:00:00"/>
    <d v="1899-12-30T11:51:00"/>
    <s v="Cash"/>
    <n v="297.99"/>
    <n v="4.7619047620000003"/>
    <n v="14.8995"/>
    <n v="6.8"/>
    <d v="2019-01-06T00:00:00"/>
    <n v="1"/>
    <n v="11"/>
  </r>
  <r>
    <s v="577-34-7579"/>
    <x v="1"/>
    <s v="Naypyitaw"/>
    <s v="Member"/>
    <s v="Male"/>
    <s v="Food and beverages"/>
    <n v="50.49"/>
    <n v="9"/>
    <n v="22.720500000000001"/>
    <x v="946"/>
    <d v="2019-10-01T00:00:00"/>
    <d v="1899-12-30T17:16:00"/>
    <s v="Cash"/>
    <n v="454.41"/>
    <n v="4.7619047620000003"/>
    <n v="22.720500000000001"/>
    <n v="5.4"/>
    <d v="2019-01-10T00:00:00"/>
    <n v="1"/>
    <n v="17"/>
  </r>
  <r>
    <s v="430-02-3888"/>
    <x v="2"/>
    <s v="Mandalay"/>
    <s v="Normal"/>
    <s v="Male"/>
    <s v="Electronic accessories"/>
    <n v="46.02"/>
    <n v="6"/>
    <n v="13.805999999999999"/>
    <x v="947"/>
    <d v="2019-07-02T00:00:00"/>
    <d v="1899-12-30T15:55:00"/>
    <s v="Cash"/>
    <n v="276.12"/>
    <n v="4.7619047620000003"/>
    <n v="13.805999999999999"/>
    <n v="7.1"/>
    <d v="2019-02-07T00:00:00"/>
    <n v="2"/>
    <n v="15"/>
  </r>
  <r>
    <s v="867-47-1948"/>
    <x v="1"/>
    <s v="Naypyitaw"/>
    <s v="Normal"/>
    <s v="Female"/>
    <s v="Home and lifestyle"/>
    <n v="15.8"/>
    <n v="10"/>
    <n v="7.9"/>
    <x v="948"/>
    <d v="2019-09-01T00:00:00"/>
    <d v="1899-12-30T12:07:00"/>
    <s v="Cash"/>
    <n v="158"/>
    <n v="4.7619047620000003"/>
    <n v="7.9"/>
    <n v="7.8"/>
    <d v="2019-01-09T00:00:00"/>
    <n v="1"/>
    <n v="12"/>
  </r>
  <r>
    <s v="384-59-6655"/>
    <x v="0"/>
    <s v="Yangon"/>
    <s v="Member"/>
    <s v="Female"/>
    <s v="Food and beverages"/>
    <n v="98.66"/>
    <n v="9"/>
    <n v="44.396999999999998"/>
    <x v="949"/>
    <s v="2/19/2019"/>
    <d v="1899-12-30T15:07:00"/>
    <s v="Cash"/>
    <n v="887.94"/>
    <n v="4.7619047620000003"/>
    <n v="44.396999999999998"/>
    <n v="8.4"/>
    <d v="2019-02-19T00:00:00"/>
    <n v="2"/>
    <n v="15"/>
  </r>
  <r>
    <s v="256-58-3609"/>
    <x v="1"/>
    <s v="Naypyitaw"/>
    <s v="Member"/>
    <s v="Male"/>
    <s v="Fashion accessories"/>
    <n v="91.98"/>
    <n v="1"/>
    <n v="4.5990000000000002"/>
    <x v="950"/>
    <s v="3/18/2019"/>
    <d v="1899-12-30T15:29:00"/>
    <s v="Cash"/>
    <n v="91.98"/>
    <n v="4.7619047620000003"/>
    <n v="4.5990000000000002"/>
    <n v="9.8000000000000007"/>
    <d v="2019-03-18T00:00:00"/>
    <n v="3"/>
    <n v="15"/>
  </r>
  <r>
    <s v="324-92-3863"/>
    <x v="0"/>
    <s v="Yangon"/>
    <s v="Member"/>
    <s v="Male"/>
    <s v="Electronic accessories"/>
    <n v="20.89"/>
    <n v="2"/>
    <n v="2.089"/>
    <x v="951"/>
    <d v="2019-05-02T00:00:00"/>
    <d v="1899-12-30T18:45:00"/>
    <s v="Cash"/>
    <n v="41.78"/>
    <n v="4.7619047620000003"/>
    <n v="2.089"/>
    <n v="9.8000000000000007"/>
    <d v="2019-02-05T00:00:00"/>
    <n v="2"/>
    <n v="18"/>
  </r>
  <r>
    <s v="593-08-5916"/>
    <x v="0"/>
    <s v="Yangon"/>
    <s v="Normal"/>
    <s v="Female"/>
    <s v="Fashion accessories"/>
    <n v="15.5"/>
    <n v="1"/>
    <n v="0.77500000000000002"/>
    <x v="952"/>
    <s v="3/19/2019"/>
    <d v="1899-12-30T15:23:00"/>
    <s v="Credit card"/>
    <n v="15.5"/>
    <n v="4.7619047620000003"/>
    <n v="0.77500000000000002"/>
    <n v="7.4"/>
    <d v="2019-03-19T00:00:00"/>
    <n v="3"/>
    <n v="15"/>
  </r>
  <r>
    <s v="364-34-2972"/>
    <x v="1"/>
    <s v="Naypyitaw"/>
    <s v="Member"/>
    <s v="Male"/>
    <s v="Electronic accessories"/>
    <n v="96.82"/>
    <n v="3"/>
    <n v="14.523"/>
    <x v="953"/>
    <s v="3/30/2019"/>
    <d v="1899-12-30T20:37:00"/>
    <s v="Cash"/>
    <n v="290.45999999999998"/>
    <n v="4.7619047620000003"/>
    <n v="14.523"/>
    <n v="6.7"/>
    <d v="2019-03-30T00:00:00"/>
    <n v="3"/>
    <n v="20"/>
  </r>
  <r>
    <s v="794-42-3736"/>
    <x v="2"/>
    <s v="Mandalay"/>
    <s v="Normal"/>
    <s v="Male"/>
    <s v="Food and beverages"/>
    <n v="33.33"/>
    <n v="2"/>
    <n v="3.3330000000000002"/>
    <x v="954"/>
    <s v="1/26/2019"/>
    <d v="1899-12-30T14:41:00"/>
    <s v="Credit card"/>
    <n v="66.66"/>
    <n v="4.7619047620000003"/>
    <n v="3.3330000000000002"/>
    <n v="6.4"/>
    <d v="2019-01-26T00:00:00"/>
    <n v="1"/>
    <n v="14"/>
  </r>
  <r>
    <s v="172-42-8274"/>
    <x v="2"/>
    <s v="Mandalay"/>
    <s v="Normal"/>
    <s v="Female"/>
    <s v="Electronic accessories"/>
    <n v="38.270000000000003"/>
    <n v="2"/>
    <n v="3.827"/>
    <x v="955"/>
    <d v="2019-02-03T00:00:00"/>
    <d v="1899-12-30T18:18:00"/>
    <s v="Credit card"/>
    <n v="76.540000000000006"/>
    <n v="4.7619047620000003"/>
    <n v="3.827"/>
    <n v="5.8"/>
    <d v="2019-03-02T00:00:00"/>
    <n v="3"/>
    <n v="18"/>
  </r>
  <r>
    <s v="558-60-5016"/>
    <x v="0"/>
    <s v="Yangon"/>
    <s v="Normal"/>
    <s v="Female"/>
    <s v="Home and lifestyle"/>
    <n v="33.299999999999997"/>
    <n v="9"/>
    <n v="14.984999999999999"/>
    <x v="956"/>
    <d v="2019-04-03T00:00:00"/>
    <d v="1899-12-30T15:27:00"/>
    <s v="Ewallet"/>
    <n v="299.7"/>
    <n v="4.7619047620000003"/>
    <n v="14.984999999999999"/>
    <n v="7.2"/>
    <d v="2019-03-04T00:00:00"/>
    <n v="3"/>
    <n v="15"/>
  </r>
  <r>
    <s v="195-06-0432"/>
    <x v="0"/>
    <s v="Yangon"/>
    <s v="Member"/>
    <s v="Male"/>
    <s v="Home and lifestyle"/>
    <n v="81.010000000000005"/>
    <n v="3"/>
    <n v="12.1515"/>
    <x v="957"/>
    <s v="1/13/2019"/>
    <d v="1899-12-30T12:55:00"/>
    <s v="Credit card"/>
    <n v="243.03"/>
    <n v="4.7619047620000003"/>
    <n v="12.1515"/>
    <n v="9.3000000000000007"/>
    <d v="2019-01-13T00:00:00"/>
    <n v="1"/>
    <n v="12"/>
  </r>
  <r>
    <s v="605-03-2706"/>
    <x v="0"/>
    <s v="Yangon"/>
    <s v="Normal"/>
    <s v="Female"/>
    <s v="Health and beauty"/>
    <n v="15.8"/>
    <n v="3"/>
    <n v="2.37"/>
    <x v="958"/>
    <s v="3/25/2019"/>
    <d v="1899-12-30T18:02:00"/>
    <s v="Cash"/>
    <n v="47.4"/>
    <n v="4.7619047620000003"/>
    <n v="2.37"/>
    <n v="9.5"/>
    <d v="2019-03-25T00:00:00"/>
    <n v="3"/>
    <n v="18"/>
  </r>
  <r>
    <s v="214-30-2776"/>
    <x v="2"/>
    <s v="Mandalay"/>
    <s v="Member"/>
    <s v="Female"/>
    <s v="Electronic accessories"/>
    <n v="34.49"/>
    <n v="5"/>
    <n v="8.6225000000000005"/>
    <x v="959"/>
    <d v="2019-11-03T00:00:00"/>
    <d v="1899-12-30T19:44:00"/>
    <s v="Credit card"/>
    <n v="172.45"/>
    <n v="4.7619047620000003"/>
    <n v="8.6225000000000005"/>
    <n v="9"/>
    <d v="2019-03-11T00:00:00"/>
    <n v="3"/>
    <n v="19"/>
  </r>
  <r>
    <s v="746-04-1077"/>
    <x v="2"/>
    <s v="Mandalay"/>
    <s v="Member"/>
    <s v="Female"/>
    <s v="Food and beverages"/>
    <n v="84.63"/>
    <n v="10"/>
    <n v="42.314999999999998"/>
    <x v="960"/>
    <d v="2019-01-01T00:00:00"/>
    <d v="1899-12-30T11:36:00"/>
    <s v="Credit card"/>
    <n v="846.3"/>
    <n v="4.7619047620000003"/>
    <n v="42.314999999999998"/>
    <n v="9"/>
    <d v="2019-01-01T00:00:00"/>
    <n v="1"/>
    <n v="11"/>
  </r>
  <r>
    <s v="448-34-8700"/>
    <x v="2"/>
    <s v="Mandalay"/>
    <s v="Member"/>
    <s v="Male"/>
    <s v="Home and lifestyle"/>
    <n v="36.909999999999997"/>
    <n v="7"/>
    <n v="12.9185"/>
    <x v="961"/>
    <d v="2019-10-02T00:00:00"/>
    <d v="1899-12-30T13:51:00"/>
    <s v="Ewallet"/>
    <n v="258.37"/>
    <n v="4.7619047620000003"/>
    <n v="12.9185"/>
    <n v="6.7"/>
    <d v="2019-02-10T00:00:00"/>
    <n v="2"/>
    <n v="13"/>
  </r>
  <r>
    <s v="452-04-8808"/>
    <x v="2"/>
    <s v="Mandalay"/>
    <s v="Normal"/>
    <s v="Male"/>
    <s v="Electronic accessories"/>
    <n v="87.08"/>
    <n v="7"/>
    <n v="30.478000000000002"/>
    <x v="962"/>
    <s v="1/26/2019"/>
    <d v="1899-12-30T15:17:00"/>
    <s v="Cash"/>
    <n v="609.55999999999995"/>
    <n v="4.7619047620000003"/>
    <n v="30.478000000000002"/>
    <n v="5.5"/>
    <d v="2019-01-26T00:00:00"/>
    <n v="1"/>
    <n v="15"/>
  </r>
  <r>
    <s v="531-56-4728"/>
    <x v="0"/>
    <s v="Yangon"/>
    <s v="Normal"/>
    <s v="Male"/>
    <s v="Home and lifestyle"/>
    <n v="80.08"/>
    <n v="3"/>
    <n v="12.012"/>
    <x v="963"/>
    <d v="2019-11-02T00:00:00"/>
    <d v="1899-12-30T15:29:00"/>
    <s v="Cash"/>
    <n v="240.24"/>
    <n v="4.7619047620000003"/>
    <n v="12.012"/>
    <n v="5.4"/>
    <d v="2019-02-11T00:00:00"/>
    <n v="2"/>
    <n v="15"/>
  </r>
  <r>
    <s v="744-82-9138"/>
    <x v="1"/>
    <s v="Naypyitaw"/>
    <s v="Normal"/>
    <s v="Male"/>
    <s v="Fashion accessories"/>
    <n v="86.13"/>
    <n v="2"/>
    <n v="8.6129999999999995"/>
    <x v="964"/>
    <d v="2019-07-02T00:00:00"/>
    <d v="1899-12-30T17:59:00"/>
    <s v="Cash"/>
    <n v="172.26"/>
    <n v="4.7619047620000003"/>
    <n v="8.6129999999999995"/>
    <n v="8.1999999999999993"/>
    <d v="2019-02-07T00:00:00"/>
    <n v="2"/>
    <n v="17"/>
  </r>
  <r>
    <s v="883-69-1285"/>
    <x v="2"/>
    <s v="Mandalay"/>
    <s v="Member"/>
    <s v="Male"/>
    <s v="Fashion accessories"/>
    <n v="49.92"/>
    <n v="2"/>
    <n v="4.992"/>
    <x v="965"/>
    <d v="2019-06-03T00:00:00"/>
    <d v="1899-12-30T11:55:00"/>
    <s v="Credit card"/>
    <n v="99.84"/>
    <n v="4.7619047620000003"/>
    <n v="4.992"/>
    <n v="7"/>
    <d v="2019-03-06T00:00:00"/>
    <n v="3"/>
    <n v="11"/>
  </r>
  <r>
    <s v="221-25-5073"/>
    <x v="0"/>
    <s v="Yangon"/>
    <s v="Normal"/>
    <s v="Female"/>
    <s v="Food and beverages"/>
    <n v="74.66"/>
    <n v="4"/>
    <n v="14.932"/>
    <x v="966"/>
    <d v="2019-04-03T00:00:00"/>
    <d v="1899-12-30T10:39:00"/>
    <s v="Cash"/>
    <n v="298.64"/>
    <n v="4.7619047620000003"/>
    <n v="14.932"/>
    <n v="8.5"/>
    <d v="2019-03-04T00:00:00"/>
    <n v="3"/>
    <n v="10"/>
  </r>
  <r>
    <s v="518-71-6847"/>
    <x v="2"/>
    <s v="Mandalay"/>
    <s v="Member"/>
    <s v="Male"/>
    <s v="Food and beverages"/>
    <n v="26.6"/>
    <n v="6"/>
    <n v="7.98"/>
    <x v="967"/>
    <s v="2/26/2019"/>
    <d v="1899-12-30T15:10:00"/>
    <s v="Ewallet"/>
    <n v="159.6"/>
    <n v="4.7619047620000003"/>
    <n v="7.98"/>
    <n v="4.9000000000000004"/>
    <d v="2019-02-26T00:00:00"/>
    <n v="2"/>
    <n v="15"/>
  </r>
  <r>
    <s v="156-20-0370"/>
    <x v="2"/>
    <s v="Mandalay"/>
    <s v="Normal"/>
    <s v="Female"/>
    <s v="Electronic accessories"/>
    <n v="25.45"/>
    <n v="1"/>
    <n v="1.2725"/>
    <x v="968"/>
    <d v="2019-10-03T00:00:00"/>
    <d v="1899-12-30T18:10:00"/>
    <s v="Credit card"/>
    <n v="25.45"/>
    <n v="4.7619047620000003"/>
    <n v="1.2725"/>
    <n v="5.0999999999999996"/>
    <d v="2019-03-10T00:00:00"/>
    <n v="3"/>
    <n v="18"/>
  </r>
  <r>
    <s v="151-33-7434"/>
    <x v="2"/>
    <s v="Mandalay"/>
    <s v="Normal"/>
    <s v="Female"/>
    <s v="Food and beverages"/>
    <n v="67.77"/>
    <n v="1"/>
    <n v="3.3885000000000001"/>
    <x v="969"/>
    <d v="2019-04-02T00:00:00"/>
    <d v="1899-12-30T20:43:00"/>
    <s v="Credit card"/>
    <n v="67.77"/>
    <n v="4.7619047620000003"/>
    <n v="3.3885000000000001"/>
    <n v="6.5"/>
    <d v="2019-02-04T00:00:00"/>
    <n v="2"/>
    <n v="20"/>
  </r>
  <r>
    <s v="728-47-9078"/>
    <x v="1"/>
    <s v="Naypyitaw"/>
    <s v="Member"/>
    <s v="Male"/>
    <s v="Food and beverages"/>
    <n v="59.59"/>
    <n v="4"/>
    <n v="11.917999999999999"/>
    <x v="970"/>
    <s v="1/19/2019"/>
    <d v="1899-12-30T12:46:00"/>
    <s v="Cash"/>
    <n v="238.36"/>
    <n v="4.7619047620000003"/>
    <n v="11.917999999999999"/>
    <n v="9.8000000000000007"/>
    <d v="2019-01-19T00:00:00"/>
    <n v="1"/>
    <n v="12"/>
  </r>
  <r>
    <s v="809-46-1866"/>
    <x v="0"/>
    <s v="Yangon"/>
    <s v="Normal"/>
    <s v="Male"/>
    <s v="Health and beauty"/>
    <n v="58.15"/>
    <n v="4"/>
    <n v="11.63"/>
    <x v="971"/>
    <s v="1/23/2019"/>
    <d v="1899-12-30T17:44:00"/>
    <s v="Cash"/>
    <n v="232.6"/>
    <n v="4.7619047620000003"/>
    <n v="11.63"/>
    <n v="8.4"/>
    <d v="2019-01-23T00:00:00"/>
    <n v="1"/>
    <n v="17"/>
  </r>
  <r>
    <s v="139-32-4183"/>
    <x v="0"/>
    <s v="Yangon"/>
    <s v="Member"/>
    <s v="Female"/>
    <s v="Sports and travel"/>
    <n v="97.48"/>
    <n v="9"/>
    <n v="43.866"/>
    <x v="972"/>
    <s v="3/14/2019"/>
    <d v="1899-12-30T14:19:00"/>
    <s v="Ewallet"/>
    <n v="877.32"/>
    <n v="4.7619047620000003"/>
    <n v="43.866"/>
    <n v="7.4"/>
    <d v="2019-03-14T00:00:00"/>
    <n v="3"/>
    <n v="14"/>
  </r>
  <r>
    <s v="148-41-7930"/>
    <x v="1"/>
    <s v="Naypyitaw"/>
    <s v="Normal"/>
    <s v="Male"/>
    <s v="Health and beauty"/>
    <n v="99.96"/>
    <n v="7"/>
    <n v="34.985999999999997"/>
    <x v="973"/>
    <s v="1/23/2019"/>
    <d v="1899-12-30T10:33:00"/>
    <s v="Cash"/>
    <n v="699.72"/>
    <n v="4.7619047620000003"/>
    <n v="34.985999999999997"/>
    <n v="6.1"/>
    <d v="2019-01-23T00:00:00"/>
    <n v="1"/>
    <n v="10"/>
  </r>
  <r>
    <s v="189-40-5216"/>
    <x v="1"/>
    <s v="Naypyitaw"/>
    <s v="Normal"/>
    <s v="Male"/>
    <s v="Electronic accessories"/>
    <n v="96.37"/>
    <n v="7"/>
    <n v="33.729500000000002"/>
    <x v="974"/>
    <d v="2019-09-01T00:00:00"/>
    <d v="1899-12-30T11:40:00"/>
    <s v="Cash"/>
    <n v="674.59"/>
    <n v="4.7619047620000003"/>
    <n v="33.729500000000002"/>
    <n v="6"/>
    <d v="2019-01-09T00:00:00"/>
    <n v="1"/>
    <n v="11"/>
  </r>
  <r>
    <s v="374-38-5555"/>
    <x v="2"/>
    <s v="Mandalay"/>
    <s v="Normal"/>
    <s v="Female"/>
    <s v="Fashion accessories"/>
    <n v="63.71"/>
    <n v="5"/>
    <n v="15.9275"/>
    <x v="975"/>
    <d v="2019-07-02T00:00:00"/>
    <d v="1899-12-30T19:30:00"/>
    <s v="Ewallet"/>
    <n v="318.55"/>
    <n v="4.7619047620000003"/>
    <n v="15.9275"/>
    <n v="8.5"/>
    <d v="2019-02-07T00:00:00"/>
    <n v="2"/>
    <n v="19"/>
  </r>
  <r>
    <s v="764-44-8999"/>
    <x v="2"/>
    <s v="Mandalay"/>
    <s v="Normal"/>
    <s v="Female"/>
    <s v="Health and beauty"/>
    <n v="14.76"/>
    <n v="2"/>
    <n v="1.476"/>
    <x v="976"/>
    <s v="2/18/2019"/>
    <d v="1899-12-30T14:42:00"/>
    <s v="Ewallet"/>
    <n v="29.52"/>
    <n v="4.7619047620000003"/>
    <n v="1.476"/>
    <n v="4.3"/>
    <d v="2019-02-18T00:00:00"/>
    <n v="2"/>
    <n v="14"/>
  </r>
  <r>
    <s v="552-44-5977"/>
    <x v="2"/>
    <s v="Mandalay"/>
    <s v="Member"/>
    <s v="Male"/>
    <s v="Health and beauty"/>
    <n v="62"/>
    <n v="8"/>
    <n v="24.8"/>
    <x v="977"/>
    <d v="2019-03-01T00:00:00"/>
    <d v="1899-12-30T19:08:00"/>
    <s v="Credit card"/>
    <n v="496"/>
    <n v="4.7619047620000003"/>
    <n v="24.8"/>
    <n v="6.2"/>
    <d v="2019-01-03T00:00:00"/>
    <n v="1"/>
    <n v="19"/>
  </r>
  <r>
    <s v="267-62-7380"/>
    <x v="1"/>
    <s v="Naypyitaw"/>
    <s v="Member"/>
    <s v="Male"/>
    <s v="Electronic accessories"/>
    <n v="82.34"/>
    <n v="10"/>
    <n v="41.17"/>
    <x v="978"/>
    <s v="3/29/2019"/>
    <d v="1899-12-30T19:12:00"/>
    <s v="Ewallet"/>
    <n v="823.4"/>
    <n v="4.7619047620000003"/>
    <n v="41.17"/>
    <n v="4.3"/>
    <d v="2019-03-29T00:00:00"/>
    <n v="3"/>
    <n v="19"/>
  </r>
  <r>
    <s v="430-53-4718"/>
    <x v="2"/>
    <s v="Mandalay"/>
    <s v="Member"/>
    <s v="Male"/>
    <s v="Health and beauty"/>
    <n v="75.37"/>
    <n v="8"/>
    <n v="30.148"/>
    <x v="979"/>
    <s v="1/28/2019"/>
    <d v="1899-12-30T15:46:00"/>
    <s v="Credit card"/>
    <n v="602.96"/>
    <n v="4.7619047620000003"/>
    <n v="30.148"/>
    <n v="8.4"/>
    <d v="2019-01-28T00:00:00"/>
    <n v="1"/>
    <n v="15"/>
  </r>
  <r>
    <s v="886-18-2897"/>
    <x v="0"/>
    <s v="Yangon"/>
    <s v="Normal"/>
    <s v="Female"/>
    <s v="Food and beverages"/>
    <n v="56.56"/>
    <n v="5"/>
    <n v="14.14"/>
    <x v="980"/>
    <s v="3/22/2019"/>
    <d v="1899-12-30T19:06:00"/>
    <s v="Credit card"/>
    <n v="282.8"/>
    <n v="4.7619047620000003"/>
    <n v="14.14"/>
    <n v="4.5"/>
    <d v="2019-03-22T00:00:00"/>
    <n v="3"/>
    <n v="19"/>
  </r>
  <r>
    <s v="602-16-6955"/>
    <x v="2"/>
    <s v="Mandalay"/>
    <s v="Normal"/>
    <s v="Female"/>
    <s v="Sports and travel"/>
    <n v="76.599999999999994"/>
    <n v="10"/>
    <n v="38.299999999999997"/>
    <x v="981"/>
    <s v="1/24/2019"/>
    <d v="1899-12-30T18:10:00"/>
    <s v="Ewallet"/>
    <n v="766"/>
    <n v="4.7619047620000003"/>
    <n v="38.299999999999997"/>
    <n v="6"/>
    <d v="2019-01-24T00:00:00"/>
    <n v="1"/>
    <n v="18"/>
  </r>
  <r>
    <s v="745-74-0715"/>
    <x v="0"/>
    <s v="Yangon"/>
    <s v="Normal"/>
    <s v="Male"/>
    <s v="Electronic accessories"/>
    <n v="58.03"/>
    <n v="2"/>
    <n v="5.8029999999999999"/>
    <x v="982"/>
    <d v="2019-10-03T00:00:00"/>
    <d v="1899-12-30T20:46:00"/>
    <s v="Ewallet"/>
    <n v="116.06"/>
    <n v="4.7619047620000003"/>
    <n v="5.8029999999999999"/>
    <n v="8.8000000000000007"/>
    <d v="2019-03-10T00:00:00"/>
    <n v="3"/>
    <n v="20"/>
  </r>
  <r>
    <s v="690-01-6631"/>
    <x v="2"/>
    <s v="Mandalay"/>
    <s v="Normal"/>
    <s v="Male"/>
    <s v="Fashion accessories"/>
    <n v="17.489999999999998"/>
    <n v="10"/>
    <n v="8.7449999999999992"/>
    <x v="983"/>
    <s v="2/22/2019"/>
    <d v="1899-12-30T18:35:00"/>
    <s v="Ewallet"/>
    <n v="174.9"/>
    <n v="4.7619047620000003"/>
    <n v="8.7449999999999992"/>
    <n v="6.6"/>
    <d v="2019-02-22T00:00:00"/>
    <n v="2"/>
    <n v="18"/>
  </r>
  <r>
    <s v="652-49-6720"/>
    <x v="1"/>
    <s v="Naypyitaw"/>
    <s v="Member"/>
    <s v="Female"/>
    <s v="Electronic accessories"/>
    <n v="60.95"/>
    <n v="1"/>
    <n v="3.0474999999999999"/>
    <x v="984"/>
    <d v="2019-02-18T00:00:00"/>
    <d v="1899-12-30T11:40:00"/>
    <s v="Ewallet"/>
    <n v="60.95"/>
    <n v="4.7619047620000003"/>
    <n v="3.0474999999999999"/>
    <n v="5.9"/>
    <d v="2019-02-18T00:00:00"/>
    <n v="2"/>
    <n v="11"/>
  </r>
  <r>
    <s v="233-67-5758"/>
    <x v="1"/>
    <s v="Naypyitaw"/>
    <s v="Normal"/>
    <s v="Male"/>
    <s v="Health and beauty"/>
    <n v="40.35"/>
    <n v="1"/>
    <n v="2.0175000000000001"/>
    <x v="985"/>
    <d v="2019-01-29T00:00:00"/>
    <d v="1899-12-30T13:46:00"/>
    <s v="Ewallet"/>
    <n v="40.35"/>
    <n v="4.7619047620000003"/>
    <n v="2.0175000000000001"/>
    <n v="6.2"/>
    <d v="2019-01-29T00:00:00"/>
    <n v="1"/>
    <n v="13"/>
  </r>
  <r>
    <s v="303-96-2227"/>
    <x v="2"/>
    <s v="Mandalay"/>
    <s v="Normal"/>
    <s v="Female"/>
    <s v="Home and lifestyle"/>
    <n v="97.38"/>
    <n v="10"/>
    <n v="48.69"/>
    <x v="986"/>
    <d v="2019-02-03T00:00:00"/>
    <d v="1899-12-30T17:16:00"/>
    <s v="Ewallet"/>
    <n v="973.8"/>
    <n v="4.7619047620000003"/>
    <n v="48.69"/>
    <n v="4.4000000000000004"/>
    <d v="2019-03-02T00:00:00"/>
    <n v="3"/>
    <n v="17"/>
  </r>
  <r>
    <s v="727-02-1313"/>
    <x v="0"/>
    <s v="Yangon"/>
    <s v="Member"/>
    <s v="Male"/>
    <s v="Food and beverages"/>
    <n v="31.84"/>
    <n v="1"/>
    <n v="1.5920000000000001"/>
    <x v="987"/>
    <d v="2019-09-02T00:00:00"/>
    <d v="1899-12-30T13:22:00"/>
    <s v="Cash"/>
    <n v="31.84"/>
    <n v="4.7619047620000003"/>
    <n v="1.5920000000000001"/>
    <n v="7.7"/>
    <d v="2019-02-09T00:00:00"/>
    <n v="2"/>
    <n v="13"/>
  </r>
  <r>
    <s v="347-56-2442"/>
    <x v="0"/>
    <s v="Yangon"/>
    <s v="Normal"/>
    <s v="Male"/>
    <s v="Home and lifestyle"/>
    <n v="65.819999999999993"/>
    <n v="1"/>
    <n v="3.2909999999999999"/>
    <x v="988"/>
    <d v="2019-02-22T00:00:00"/>
    <d v="1899-12-30T15:33:00"/>
    <s v="Cash"/>
    <n v="65.819999999999993"/>
    <n v="4.7619047620000003"/>
    <n v="3.2909999999999999"/>
    <n v="4.0999999999999996"/>
    <d v="2019-02-22T00:00:00"/>
    <n v="2"/>
    <n v="15"/>
  </r>
  <r>
    <s v="849-09-3807"/>
    <x v="0"/>
    <s v="Yangon"/>
    <s v="Member"/>
    <s v="Female"/>
    <s v="Fashion accessories"/>
    <n v="88.34"/>
    <n v="7"/>
    <n v="30.919"/>
    <x v="989"/>
    <d v="2019-02-18T00:00:00"/>
    <d v="1899-12-30T13:28:00"/>
    <s v="Cash"/>
    <n v="618.38"/>
    <n v="4.7619047620000003"/>
    <n v="30.919"/>
    <n v="6.6"/>
    <d v="2019-02-18T00:00:00"/>
    <n v="2"/>
    <n v="13"/>
  </r>
  <r>
    <m/>
    <x v="3"/>
    <m/>
    <m/>
    <m/>
    <m/>
    <m/>
    <m/>
    <m/>
    <x v="990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x v="0"/>
    <x v="0"/>
    <s v="Female"/>
    <x v="0"/>
    <n v="74.69"/>
    <n v="7"/>
    <n v="26.141500000000001"/>
    <n v="548.97149999999999"/>
    <d v="2019-05-01T00:00:00"/>
    <d v="1899-12-30T13:08:00"/>
    <s v="Ewallet"/>
    <n v="522.83000000000004"/>
    <n v="4.7619047620000003"/>
    <n v="26.141500000000001"/>
    <n v="9.1"/>
    <d v="2019-01-05T00:00:00"/>
    <x v="0"/>
    <x v="0"/>
  </r>
  <r>
    <s v="226-31-3081"/>
    <x v="1"/>
    <x v="1"/>
    <x v="1"/>
    <s v="Female"/>
    <x v="1"/>
    <n v="15.28"/>
    <n v="5"/>
    <n v="3.82"/>
    <n v="80.22"/>
    <d v="2019-08-03T00:00:00"/>
    <d v="1899-12-30T10:29:00"/>
    <s v="Cash"/>
    <n v="76.400000000000006"/>
    <n v="4.7619047620000003"/>
    <n v="3.82"/>
    <n v="9.6"/>
    <d v="2019-03-08T00:00:00"/>
    <x v="1"/>
    <x v="1"/>
  </r>
  <r>
    <s v="631-41-3108"/>
    <x v="0"/>
    <x v="0"/>
    <x v="1"/>
    <s v="Male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d v="2019-03-03T00:00:00"/>
    <x v="1"/>
    <x v="0"/>
  </r>
  <r>
    <s v="123-19-1176"/>
    <x v="0"/>
    <x v="0"/>
    <x v="0"/>
    <s v="Male"/>
    <x v="0"/>
    <n v="58.22"/>
    <n v="8"/>
    <n v="23.288"/>
    <n v="489.048"/>
    <d v="2019-01-27T00:00:00"/>
    <d v="1899-12-30T20:33:00"/>
    <s v="Ewallet"/>
    <n v="465.76"/>
    <n v="4.7619047620000003"/>
    <n v="23.288"/>
    <n v="8.4"/>
    <d v="2019-01-27T00:00:00"/>
    <x v="0"/>
    <x v="2"/>
  </r>
  <r>
    <s v="373-73-7910"/>
    <x v="0"/>
    <x v="0"/>
    <x v="1"/>
    <s v="Male"/>
    <x v="3"/>
    <n v="86.31"/>
    <n v="7"/>
    <n v="30.208500000000001"/>
    <n v="634.37850000000003"/>
    <d v="2019-08-02T00:00:00"/>
    <d v="1899-12-30T10:37:00"/>
    <s v="Ewallet"/>
    <n v="604.16999999999996"/>
    <n v="4.7619047620000003"/>
    <n v="30.208500000000001"/>
    <n v="5.3"/>
    <d v="2019-02-08T00:00:00"/>
    <x v="2"/>
    <x v="1"/>
  </r>
  <r>
    <s v="699-14-3026"/>
    <x v="1"/>
    <x v="1"/>
    <x v="1"/>
    <s v="Male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  <d v="2019-03-25T00:00:00"/>
    <x v="1"/>
    <x v="3"/>
  </r>
  <r>
    <s v="355-53-5943"/>
    <x v="0"/>
    <x v="0"/>
    <x v="0"/>
    <s v="Female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  <d v="2019-02-25T00:00:00"/>
    <x v="2"/>
    <x v="4"/>
  </r>
  <r>
    <s v="315-22-5665"/>
    <x v="1"/>
    <x v="1"/>
    <x v="1"/>
    <s v="Female"/>
    <x v="2"/>
    <n v="73.56"/>
    <n v="10"/>
    <n v="36.78"/>
    <n v="772.38"/>
    <d v="2019-02-24T00:00:00"/>
    <d v="1899-12-30T11:38:00"/>
    <s v="Ewallet"/>
    <n v="735.6"/>
    <n v="4.7619047620000003"/>
    <n v="36.78"/>
    <n v="8"/>
    <d v="2019-02-24T00:00:00"/>
    <x v="2"/>
    <x v="5"/>
  </r>
  <r>
    <s v="665-32-9167"/>
    <x v="0"/>
    <x v="0"/>
    <x v="0"/>
    <s v="Female"/>
    <x v="0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n v="7.2"/>
    <d v="2019-01-10T00:00:00"/>
    <x v="0"/>
    <x v="6"/>
  </r>
  <r>
    <s v="692-92-5582"/>
    <x v="2"/>
    <x v="2"/>
    <x v="0"/>
    <s v="Female"/>
    <x v="4"/>
    <n v="54.84"/>
    <n v="3"/>
    <n v="8.2260000000000009"/>
    <n v="172.74600000000001"/>
    <d v="2019-01-20T00:00:00"/>
    <d v="1899-12-30T13:27:00"/>
    <s v="Credit card"/>
    <n v="164.52"/>
    <n v="4.7619047620000003"/>
    <n v="8.2260000000000009"/>
    <n v="5.9"/>
    <d v="2019-01-20T00:00:00"/>
    <x v="0"/>
    <x v="0"/>
  </r>
  <r>
    <s v="351-62-0822"/>
    <x v="2"/>
    <x v="2"/>
    <x v="0"/>
    <s v="Female"/>
    <x v="5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  <d v="2019-06-02T00:00:00"/>
    <x v="3"/>
    <x v="3"/>
  </r>
  <r>
    <s v="529-56-3974"/>
    <x v="2"/>
    <x v="2"/>
    <x v="0"/>
    <s v="Male"/>
    <x v="1"/>
    <n v="25.51"/>
    <n v="4"/>
    <n v="5.1020000000000003"/>
    <n v="107.142"/>
    <d v="2019-09-03T00:00:00"/>
    <d v="1899-12-30T17:03:00"/>
    <s v="Cash"/>
    <n v="102.04"/>
    <n v="4.7619047620000003"/>
    <n v="5.1020000000000003"/>
    <n v="6.8"/>
    <d v="2019-03-09T00:00:00"/>
    <x v="1"/>
    <x v="6"/>
  </r>
  <r>
    <s v="365-64-0515"/>
    <x v="0"/>
    <x v="0"/>
    <x v="1"/>
    <s v="Female"/>
    <x v="1"/>
    <n v="46.95"/>
    <n v="5"/>
    <n v="11.737500000000001"/>
    <n v="246.48750000000001"/>
    <d v="2019-12-02T00:00:00"/>
    <d v="1899-12-30T10:25:00"/>
    <s v="Ewallet"/>
    <n v="234.75"/>
    <n v="4.7619047620000003"/>
    <n v="11.737500000000001"/>
    <n v="7.1"/>
    <d v="2019-02-12T00:00:00"/>
    <x v="2"/>
    <x v="1"/>
  </r>
  <r>
    <s v="252-56-2699"/>
    <x v="0"/>
    <x v="0"/>
    <x v="1"/>
    <s v="Male"/>
    <x v="4"/>
    <n v="43.19"/>
    <n v="10"/>
    <n v="21.594999999999999"/>
    <n v="453.495"/>
    <d v="2019-07-02T00:00:00"/>
    <d v="1899-12-30T16:48:00"/>
    <s v="Ewallet"/>
    <n v="431.9"/>
    <n v="4.7619047620000003"/>
    <n v="21.594999999999999"/>
    <n v="8.1999999999999993"/>
    <d v="2019-02-07T00:00:00"/>
    <x v="2"/>
    <x v="7"/>
  </r>
  <r>
    <s v="829-34-3910"/>
    <x v="0"/>
    <x v="0"/>
    <x v="1"/>
    <s v="Female"/>
    <x v="0"/>
    <n v="71.38"/>
    <n v="10"/>
    <n v="35.69"/>
    <n v="749.49"/>
    <s v="3/29/2019"/>
    <d v="1899-12-30T19:21:00"/>
    <s v="Cash"/>
    <n v="713.8"/>
    <n v="4.7619047620000003"/>
    <n v="35.69"/>
    <n v="5.7"/>
    <d v="2019-03-29T00:00:00"/>
    <x v="1"/>
    <x v="8"/>
  </r>
  <r>
    <s v="299-46-1805"/>
    <x v="2"/>
    <x v="2"/>
    <x v="0"/>
    <s v="Female"/>
    <x v="3"/>
    <n v="93.72"/>
    <n v="6"/>
    <n v="28.116"/>
    <n v="590.43600000000004"/>
    <s v="1/15/2019"/>
    <d v="1899-12-30T16:19:00"/>
    <s v="Cash"/>
    <n v="562.32000000000005"/>
    <n v="4.7619047620000003"/>
    <n v="28.116"/>
    <n v="4.5"/>
    <d v="2019-01-15T00:00:00"/>
    <x v="0"/>
    <x v="7"/>
  </r>
  <r>
    <s v="656-95-9349"/>
    <x v="0"/>
    <x v="0"/>
    <x v="0"/>
    <s v="Female"/>
    <x v="0"/>
    <n v="68.930000000000007"/>
    <n v="7"/>
    <n v="24.125499999999999"/>
    <n v="506.63549999999998"/>
    <d v="2019-11-03T00:00:00"/>
    <d v="1899-12-30T11:03:00"/>
    <s v="Credit card"/>
    <n v="482.51"/>
    <n v="4.7619047620000003"/>
    <n v="24.125499999999999"/>
    <n v="4.5999999999999996"/>
    <d v="2019-03-11T00:00:00"/>
    <x v="1"/>
    <x v="5"/>
  </r>
  <r>
    <s v="765-26-6951"/>
    <x v="0"/>
    <x v="0"/>
    <x v="1"/>
    <s v="Male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  <d v="2019-01-01T00:00:00"/>
    <x v="0"/>
    <x v="1"/>
  </r>
  <r>
    <s v="329-62-1586"/>
    <x v="0"/>
    <x v="0"/>
    <x v="1"/>
    <s v="Male"/>
    <x v="4"/>
    <n v="54.67"/>
    <n v="3"/>
    <n v="8.2004999999999999"/>
    <n v="172.2105"/>
    <s v="1/21/2019"/>
    <d v="1899-12-30T18:00:00"/>
    <s v="Credit card"/>
    <n v="164.01"/>
    <n v="4.7619047620000003"/>
    <n v="8.2004999999999999"/>
    <n v="8.6"/>
    <d v="2019-01-21T00:00:00"/>
    <x v="0"/>
    <x v="3"/>
  </r>
  <r>
    <s v="319-50-3348"/>
    <x v="2"/>
    <x v="2"/>
    <x v="1"/>
    <s v="Female"/>
    <x v="2"/>
    <n v="40.299999999999997"/>
    <n v="2"/>
    <n v="4.03"/>
    <n v="84.63"/>
    <d v="2019-11-03T00:00:00"/>
    <d v="1899-12-30T15:30:00"/>
    <s v="Ewallet"/>
    <n v="80.599999999999994"/>
    <n v="4.7619047620000003"/>
    <n v="4.03"/>
    <n v="4.4000000000000004"/>
    <d v="2019-03-11T00:00:00"/>
    <x v="1"/>
    <x v="9"/>
  </r>
  <r>
    <s v="300-71-4605"/>
    <x v="1"/>
    <x v="1"/>
    <x v="0"/>
    <s v="Male"/>
    <x v="1"/>
    <n v="86.04"/>
    <n v="5"/>
    <n v="21.51"/>
    <n v="451.71"/>
    <s v="2/25/2019"/>
    <d v="1899-12-30T11:24:00"/>
    <s v="Ewallet"/>
    <n v="430.2"/>
    <n v="4.7619047620000003"/>
    <n v="21.51"/>
    <n v="4.8"/>
    <d v="2019-02-25T00:00:00"/>
    <x v="2"/>
    <x v="5"/>
  </r>
  <r>
    <s v="371-85-5789"/>
    <x v="2"/>
    <x v="2"/>
    <x v="1"/>
    <s v="Male"/>
    <x v="0"/>
    <n v="87.98"/>
    <n v="3"/>
    <n v="13.196999999999999"/>
    <n v="277.137"/>
    <d v="2019-05-03T00:00:00"/>
    <d v="1899-12-30T10:40:00"/>
    <s v="Ewallet"/>
    <n v="263.94"/>
    <n v="4.7619047620000003"/>
    <n v="13.196999999999999"/>
    <n v="5.0999999999999996"/>
    <d v="2019-03-05T00:00:00"/>
    <x v="1"/>
    <x v="1"/>
  </r>
  <r>
    <s v="273-16-6619"/>
    <x v="2"/>
    <x v="2"/>
    <x v="1"/>
    <s v="Male"/>
    <x v="2"/>
    <n v="33.200000000000003"/>
    <n v="2"/>
    <n v="3.32"/>
    <n v="69.72"/>
    <s v="3/15/2019"/>
    <d v="1899-12-30T12:20:00"/>
    <s v="Credit card"/>
    <n v="66.400000000000006"/>
    <n v="4.7619047620000003"/>
    <n v="3.32"/>
    <n v="4.4000000000000004"/>
    <d v="2019-03-15T00:00:00"/>
    <x v="1"/>
    <x v="10"/>
  </r>
  <r>
    <s v="636-48-8204"/>
    <x v="0"/>
    <x v="0"/>
    <x v="1"/>
    <s v="Male"/>
    <x v="1"/>
    <n v="34.56"/>
    <n v="5"/>
    <n v="8.64"/>
    <n v="181.44"/>
    <s v="2/17/2019"/>
    <d v="1899-12-30T11:15:00"/>
    <s v="Ewallet"/>
    <n v="172.8"/>
    <n v="4.7619047620000003"/>
    <n v="8.64"/>
    <n v="9.9"/>
    <d v="2019-02-17T00:00:00"/>
    <x v="2"/>
    <x v="5"/>
  </r>
  <r>
    <s v="549-59-1358"/>
    <x v="0"/>
    <x v="0"/>
    <x v="0"/>
    <s v="Male"/>
    <x v="3"/>
    <n v="88.63"/>
    <n v="3"/>
    <n v="13.294499999999999"/>
    <n v="279.18450000000001"/>
    <d v="2019-02-03T00:00:00"/>
    <d v="1899-12-30T17:36:00"/>
    <s v="Ewallet"/>
    <n v="265.89"/>
    <n v="4.7619047620000003"/>
    <n v="13.294499999999999"/>
    <n v="6"/>
    <d v="2019-03-02T00:00:00"/>
    <x v="1"/>
    <x v="6"/>
  </r>
  <r>
    <s v="227-03-5010"/>
    <x v="0"/>
    <x v="0"/>
    <x v="0"/>
    <s v="Female"/>
    <x v="2"/>
    <n v="52.59"/>
    <n v="8"/>
    <n v="21.036000000000001"/>
    <n v="441.75599999999997"/>
    <s v="3/22/2019"/>
    <d v="1899-12-30T19:20:00"/>
    <s v="Credit card"/>
    <n v="420.72"/>
    <n v="4.7619047620000003"/>
    <n v="21.036000000000001"/>
    <n v="8.5"/>
    <d v="2019-03-22T00:00:00"/>
    <x v="1"/>
    <x v="8"/>
  </r>
  <r>
    <s v="649-29-6775"/>
    <x v="2"/>
    <x v="2"/>
    <x v="1"/>
    <s v="Male"/>
    <x v="5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n v="6.7"/>
    <d v="2019-02-08T00:00:00"/>
    <x v="2"/>
    <x v="9"/>
  </r>
  <r>
    <s v="189-17-4241"/>
    <x v="0"/>
    <x v="0"/>
    <x v="1"/>
    <s v="Female"/>
    <x v="5"/>
    <n v="87.67"/>
    <n v="2"/>
    <n v="8.7669999999999995"/>
    <n v="184.107"/>
    <d v="2019-10-03T00:00:00"/>
    <d v="1899-12-30T12:17:00"/>
    <s v="Credit card"/>
    <n v="175.34"/>
    <n v="4.7619047620000003"/>
    <n v="8.7669999999999995"/>
    <n v="7.7"/>
    <d v="2019-03-10T00:00:00"/>
    <x v="1"/>
    <x v="10"/>
  </r>
  <r>
    <s v="145-94-9061"/>
    <x v="2"/>
    <x v="2"/>
    <x v="1"/>
    <s v="Female"/>
    <x v="4"/>
    <n v="88.36"/>
    <n v="5"/>
    <n v="22.09"/>
    <n v="463.89"/>
    <s v="1/25/2019"/>
    <d v="1899-12-30T19:48:00"/>
    <s v="Cash"/>
    <n v="441.8"/>
    <n v="4.7619047620000003"/>
    <n v="22.09"/>
    <n v="9.6"/>
    <d v="2019-01-25T00:00:00"/>
    <x v="0"/>
    <x v="8"/>
  </r>
  <r>
    <s v="848-62-7243"/>
    <x v="0"/>
    <x v="0"/>
    <x v="1"/>
    <s v="Male"/>
    <x v="0"/>
    <n v="24.89"/>
    <n v="9"/>
    <n v="11.2005"/>
    <n v="235.2105"/>
    <s v="3/15/2019"/>
    <d v="1899-12-30T15:36:00"/>
    <s v="Cash"/>
    <n v="224.01"/>
    <n v="4.7619047620000003"/>
    <n v="11.2005"/>
    <n v="7.4"/>
    <d v="2019-03-15T00:00:00"/>
    <x v="1"/>
    <x v="9"/>
  </r>
  <r>
    <s v="871-79-8483"/>
    <x v="2"/>
    <x v="2"/>
    <x v="1"/>
    <s v="Male"/>
    <x v="5"/>
    <n v="94.13"/>
    <n v="5"/>
    <n v="23.532499999999999"/>
    <n v="494.1825"/>
    <s v="2/25/2019"/>
    <d v="1899-12-30T19:39:00"/>
    <s v="Credit card"/>
    <n v="470.65"/>
    <n v="4.7619047620000003"/>
    <n v="23.532499999999999"/>
    <n v="4.8"/>
    <d v="2019-02-25T00:00:00"/>
    <x v="2"/>
    <x v="8"/>
  </r>
  <r>
    <s v="149-71-6266"/>
    <x v="2"/>
    <x v="2"/>
    <x v="0"/>
    <s v="Male"/>
    <x v="3"/>
    <n v="78.069999999999993"/>
    <n v="9"/>
    <n v="35.131500000000003"/>
    <n v="737.76149999999996"/>
    <s v="1/28/2019"/>
    <d v="1899-12-30T12:43:00"/>
    <s v="Cash"/>
    <n v="702.63"/>
    <n v="4.7619047620000003"/>
    <n v="35.131500000000003"/>
    <n v="4.5"/>
    <d v="2019-01-28T00:00:00"/>
    <x v="0"/>
    <x v="10"/>
  </r>
  <r>
    <s v="640-49-2076"/>
    <x v="2"/>
    <x v="2"/>
    <x v="1"/>
    <s v="Male"/>
    <x v="3"/>
    <n v="83.78"/>
    <n v="8"/>
    <n v="33.512"/>
    <n v="703.75199999999995"/>
    <d v="2019-10-01T00:00:00"/>
    <d v="1899-12-30T14:49:00"/>
    <s v="Cash"/>
    <n v="670.24"/>
    <n v="4.7619047620000003"/>
    <n v="33.512"/>
    <n v="5.0999999999999996"/>
    <d v="2019-01-10T00:00:00"/>
    <x v="0"/>
    <x v="4"/>
  </r>
  <r>
    <s v="595-11-5460"/>
    <x v="0"/>
    <x v="0"/>
    <x v="1"/>
    <s v="Male"/>
    <x v="0"/>
    <n v="96.58"/>
    <n v="2"/>
    <n v="9.6579999999999995"/>
    <n v="202.81800000000001"/>
    <s v="3/15/2019"/>
    <d v="1899-12-30T10:12:00"/>
    <s v="Credit card"/>
    <n v="193.16"/>
    <n v="4.7619047620000003"/>
    <n v="9.6579999999999995"/>
    <n v="5.0999999999999996"/>
    <d v="2019-03-15T00:00:00"/>
    <x v="1"/>
    <x v="1"/>
  </r>
  <r>
    <s v="183-56-6882"/>
    <x v="1"/>
    <x v="1"/>
    <x v="0"/>
    <s v="Female"/>
    <x v="4"/>
    <n v="99.42"/>
    <n v="4"/>
    <n v="19.884"/>
    <n v="417.56400000000002"/>
    <d v="2019-06-02T00:00:00"/>
    <d v="1899-12-30T10:42:00"/>
    <s v="Ewallet"/>
    <n v="397.68"/>
    <n v="4.7619047620000003"/>
    <n v="19.884"/>
    <n v="7.5"/>
    <d v="2019-02-06T00:00:00"/>
    <x v="2"/>
    <x v="1"/>
  </r>
  <r>
    <s v="232-16-2483"/>
    <x v="1"/>
    <x v="1"/>
    <x v="0"/>
    <s v="Female"/>
    <x v="3"/>
    <n v="68.12"/>
    <n v="1"/>
    <n v="3.4060000000000001"/>
    <n v="71.525999999999996"/>
    <d v="2019-07-01T00:00:00"/>
    <d v="1899-12-30T12:28:00"/>
    <s v="Ewallet"/>
    <n v="68.12"/>
    <n v="4.7619047620000003"/>
    <n v="3.4060000000000001"/>
    <n v="6.8"/>
    <d v="2019-01-07T00:00:00"/>
    <x v="0"/>
    <x v="10"/>
  </r>
  <r>
    <s v="129-29-8530"/>
    <x v="0"/>
    <x v="0"/>
    <x v="0"/>
    <s v="Male"/>
    <x v="3"/>
    <n v="62.62"/>
    <n v="5"/>
    <n v="15.654999999999999"/>
    <n v="328.755"/>
    <d v="2019-10-03T00:00:00"/>
    <d v="1899-12-30T19:15:00"/>
    <s v="Ewallet"/>
    <n v="313.10000000000002"/>
    <n v="4.7619047620000003"/>
    <n v="15.654999999999999"/>
    <n v="7"/>
    <d v="2019-03-10T00:00:00"/>
    <x v="1"/>
    <x v="8"/>
  </r>
  <r>
    <s v="272-65-1806"/>
    <x v="0"/>
    <x v="0"/>
    <x v="1"/>
    <s v="Female"/>
    <x v="1"/>
    <n v="60.88"/>
    <n v="9"/>
    <n v="27.396000000000001"/>
    <n v="575.31600000000003"/>
    <s v="1/15/2019"/>
    <d v="1899-12-30T17:17:00"/>
    <s v="Ewallet"/>
    <n v="547.91999999999996"/>
    <n v="4.7619047620000003"/>
    <n v="27.396000000000001"/>
    <n v="4.7"/>
    <d v="2019-01-15T00:00:00"/>
    <x v="0"/>
    <x v="6"/>
  </r>
  <r>
    <s v="333-73-7901"/>
    <x v="1"/>
    <x v="1"/>
    <x v="1"/>
    <s v="Female"/>
    <x v="0"/>
    <n v="54.92"/>
    <n v="8"/>
    <n v="21.968"/>
    <n v="461.32799999999997"/>
    <s v="3/23/2019"/>
    <d v="1899-12-30T13:24:00"/>
    <s v="Ewallet"/>
    <n v="439.36"/>
    <n v="4.7619047620000003"/>
    <n v="21.968"/>
    <n v="7.6"/>
    <d v="2019-03-23T00:00:00"/>
    <x v="1"/>
    <x v="0"/>
  </r>
  <r>
    <s v="777-82-7220"/>
    <x v="2"/>
    <x v="2"/>
    <x v="0"/>
    <s v="Male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  <d v="2019-03-03T00:00:00"/>
    <x v="1"/>
    <x v="0"/>
  </r>
  <r>
    <s v="280-35-5823"/>
    <x v="2"/>
    <x v="2"/>
    <x v="0"/>
    <s v="Female"/>
    <x v="2"/>
    <n v="86.72"/>
    <n v="1"/>
    <n v="4.3360000000000003"/>
    <n v="91.055999999999997"/>
    <s v="1/17/2019"/>
    <d v="1899-12-30T18:45:00"/>
    <s v="Ewallet"/>
    <n v="86.72"/>
    <n v="4.7619047620000003"/>
    <n v="4.3360000000000003"/>
    <n v="7.9"/>
    <d v="2019-01-17T00:00:00"/>
    <x v="0"/>
    <x v="3"/>
  </r>
  <r>
    <s v="554-53-8700"/>
    <x v="1"/>
    <x v="1"/>
    <x v="0"/>
    <s v="Male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  <d v="2019-02-02T00:00:00"/>
    <x v="2"/>
    <x v="1"/>
  </r>
  <r>
    <s v="354-25-5821"/>
    <x v="2"/>
    <x v="2"/>
    <x v="0"/>
    <s v="Female"/>
    <x v="3"/>
    <n v="69.12"/>
    <n v="6"/>
    <n v="20.736000000000001"/>
    <n v="435.45600000000002"/>
    <d v="2019-08-02T00:00:00"/>
    <d v="1899-12-30T13:03:00"/>
    <s v="Cash"/>
    <n v="414.72"/>
    <n v="4.7619047620000003"/>
    <n v="20.736000000000001"/>
    <n v="5.6"/>
    <d v="2019-02-08T00:00:00"/>
    <x v="2"/>
    <x v="0"/>
  </r>
  <r>
    <s v="228-96-1411"/>
    <x v="1"/>
    <x v="1"/>
    <x v="0"/>
    <s v="Female"/>
    <x v="4"/>
    <n v="98.7"/>
    <n v="8"/>
    <n v="39.479999999999997"/>
    <n v="829.08"/>
    <d v="2019-04-03T00:00:00"/>
    <d v="1899-12-30T20:39:00"/>
    <s v="Cash"/>
    <n v="789.6"/>
    <n v="4.7619047620000003"/>
    <n v="39.479999999999997"/>
    <n v="7.6"/>
    <d v="2019-03-04T00:00:00"/>
    <x v="1"/>
    <x v="2"/>
  </r>
  <r>
    <s v="617-15-4209"/>
    <x v="1"/>
    <x v="1"/>
    <x v="0"/>
    <s v="Male"/>
    <x v="0"/>
    <n v="15.37"/>
    <n v="2"/>
    <n v="1.5369999999999999"/>
    <n v="32.277000000000001"/>
    <s v="3/16/2019"/>
    <d v="1899-12-30T19:47:00"/>
    <s v="Cash"/>
    <n v="30.74"/>
    <n v="4.7619047620000003"/>
    <n v="1.5369999999999999"/>
    <n v="7.2"/>
    <d v="2019-03-16T00:00:00"/>
    <x v="1"/>
    <x v="8"/>
  </r>
  <r>
    <s v="132-32-9879"/>
    <x v="2"/>
    <x v="2"/>
    <x v="0"/>
    <s v="Female"/>
    <x v="1"/>
    <n v="93.96"/>
    <n v="4"/>
    <n v="18.792000000000002"/>
    <n v="394.63200000000001"/>
    <d v="2019-09-03T00:00:00"/>
    <d v="1899-12-30T18:00:00"/>
    <s v="Cash"/>
    <n v="375.84"/>
    <n v="4.7619047620000003"/>
    <n v="18.792000000000002"/>
    <n v="9.5"/>
    <d v="2019-03-09T00:00:00"/>
    <x v="1"/>
    <x v="3"/>
  </r>
  <r>
    <s v="370-41-7321"/>
    <x v="2"/>
    <x v="2"/>
    <x v="0"/>
    <s v="Male"/>
    <x v="0"/>
    <n v="56.69"/>
    <n v="9"/>
    <n v="25.5105"/>
    <n v="535.72050000000002"/>
    <s v="2/27/2019"/>
    <d v="1899-12-30T17:24:00"/>
    <s v="Credit card"/>
    <n v="510.21"/>
    <n v="4.7619047620000003"/>
    <n v="25.5105"/>
    <n v="8.4"/>
    <d v="2019-02-27T00:00:00"/>
    <x v="2"/>
    <x v="6"/>
  </r>
  <r>
    <s v="727-46-3608"/>
    <x v="2"/>
    <x v="2"/>
    <x v="0"/>
    <s v="Female"/>
    <x v="4"/>
    <n v="20.010000000000002"/>
    <n v="9"/>
    <n v="9.0045000000000002"/>
    <n v="189.09450000000001"/>
    <d v="2019-06-02T00:00:00"/>
    <d v="1899-12-30T15:47:00"/>
    <s v="Ewallet"/>
    <n v="180.09"/>
    <n v="4.7619047620000003"/>
    <n v="9.0045000000000002"/>
    <n v="4.0999999999999996"/>
    <d v="2019-02-06T00:00:00"/>
    <x v="2"/>
    <x v="9"/>
  </r>
  <r>
    <s v="669-54-1719"/>
    <x v="2"/>
    <x v="2"/>
    <x v="0"/>
    <s v="Male"/>
    <x v="1"/>
    <n v="18.93"/>
    <n v="6"/>
    <n v="5.6790000000000003"/>
    <n v="119.259"/>
    <d v="2019-10-02T00:00:00"/>
    <d v="1899-12-30T12:45:00"/>
    <s v="Credit card"/>
    <n v="113.58"/>
    <n v="4.7619047620000003"/>
    <n v="5.6790000000000003"/>
    <n v="8.1"/>
    <d v="2019-02-10T00:00:00"/>
    <x v="2"/>
    <x v="10"/>
  </r>
  <r>
    <s v="574-22-5561"/>
    <x v="1"/>
    <x v="1"/>
    <x v="0"/>
    <s v="Female"/>
    <x v="5"/>
    <n v="82.63"/>
    <n v="10"/>
    <n v="41.314999999999998"/>
    <n v="867.61500000000001"/>
    <s v="3/19/2019"/>
    <d v="1899-12-30T17:08:00"/>
    <s v="Ewallet"/>
    <n v="826.3"/>
    <n v="4.7619047620000003"/>
    <n v="41.314999999999998"/>
    <n v="7.9"/>
    <d v="2019-03-19T00:00:00"/>
    <x v="1"/>
    <x v="6"/>
  </r>
  <r>
    <s v="326-78-5178"/>
    <x v="1"/>
    <x v="1"/>
    <x v="0"/>
    <s v="Male"/>
    <x v="4"/>
    <n v="91.4"/>
    <n v="7"/>
    <n v="31.99"/>
    <n v="671.79"/>
    <d v="2019-03-02T00:00:00"/>
    <d v="1899-12-30T10:19:00"/>
    <s v="Cash"/>
    <n v="639.79999999999995"/>
    <n v="4.7619047620000003"/>
    <n v="31.99"/>
    <n v="9.5"/>
    <d v="2019-02-03T00:00:00"/>
    <x v="2"/>
    <x v="1"/>
  </r>
  <r>
    <s v="162-48-8011"/>
    <x v="0"/>
    <x v="0"/>
    <x v="0"/>
    <s v="Female"/>
    <x v="4"/>
    <n v="44.59"/>
    <n v="5"/>
    <n v="11.147500000000001"/>
    <n v="234.0975"/>
    <d v="2019-10-02T00:00:00"/>
    <d v="1899-12-30T15:10:00"/>
    <s v="Cash"/>
    <n v="222.95"/>
    <n v="4.7619047620000003"/>
    <n v="11.147500000000001"/>
    <n v="8.5"/>
    <d v="2019-02-10T00:00:00"/>
    <x v="2"/>
    <x v="9"/>
  </r>
  <r>
    <s v="616-24-2851"/>
    <x v="2"/>
    <x v="2"/>
    <x v="0"/>
    <s v="Female"/>
    <x v="5"/>
    <n v="17.87"/>
    <n v="4"/>
    <n v="3.5739999999999998"/>
    <n v="75.054000000000002"/>
    <s v="3/22/2019"/>
    <d v="1899-12-30T14:42:00"/>
    <s v="Ewallet"/>
    <n v="71.48"/>
    <n v="4.7619047620000003"/>
    <n v="3.5739999999999998"/>
    <n v="6.5"/>
    <d v="2019-03-22T00:00:00"/>
    <x v="1"/>
    <x v="4"/>
  </r>
  <r>
    <s v="778-71-5554"/>
    <x v="1"/>
    <x v="1"/>
    <x v="0"/>
    <s v="Male"/>
    <x v="5"/>
    <n v="15.43"/>
    <n v="1"/>
    <n v="0.77149999999999996"/>
    <n v="16.201499999999999"/>
    <s v="1/25/2019"/>
    <d v="1899-12-30T15:46:00"/>
    <s v="Credit card"/>
    <n v="15.43"/>
    <n v="4.7619047620000003"/>
    <n v="0.77149999999999996"/>
    <n v="6.1"/>
    <d v="2019-01-25T00:00:00"/>
    <x v="0"/>
    <x v="9"/>
  </r>
  <r>
    <s v="242-55-6721"/>
    <x v="2"/>
    <x v="2"/>
    <x v="1"/>
    <s v="Male"/>
    <x v="2"/>
    <n v="16.16"/>
    <n v="2"/>
    <n v="1.6160000000000001"/>
    <n v="33.936"/>
    <d v="2019-07-03T00:00:00"/>
    <d v="1899-12-30T11:49:00"/>
    <s v="Ewallet"/>
    <n v="32.32"/>
    <n v="4.7619047620000003"/>
    <n v="1.6160000000000001"/>
    <n v="6.5"/>
    <d v="2019-03-07T00:00:00"/>
    <x v="1"/>
    <x v="5"/>
  </r>
  <r>
    <s v="399-46-5918"/>
    <x v="1"/>
    <x v="1"/>
    <x v="1"/>
    <s v="Female"/>
    <x v="1"/>
    <n v="85.98"/>
    <n v="8"/>
    <n v="34.392000000000003"/>
    <n v="722.23199999999997"/>
    <s v="2/28/2019"/>
    <d v="1899-12-30T19:01:00"/>
    <s v="Cash"/>
    <n v="687.84"/>
    <n v="4.7619047620000003"/>
    <n v="34.392000000000003"/>
    <n v="8.1999999999999993"/>
    <d v="2019-02-28T00:00:00"/>
    <x v="2"/>
    <x v="8"/>
  </r>
  <r>
    <s v="106-35-6779"/>
    <x v="0"/>
    <x v="0"/>
    <x v="0"/>
    <s v="Male"/>
    <x v="2"/>
    <n v="44.34"/>
    <n v="2"/>
    <n v="4.4340000000000002"/>
    <n v="93.114000000000004"/>
    <s v="3/27/2019"/>
    <d v="1899-12-30T11:26:00"/>
    <s v="Cash"/>
    <n v="88.68"/>
    <n v="4.7619047620000003"/>
    <n v="4.4340000000000002"/>
    <n v="5.8"/>
    <d v="2019-03-27T00:00:00"/>
    <x v="1"/>
    <x v="5"/>
  </r>
  <r>
    <s v="635-40-6220"/>
    <x v="0"/>
    <x v="0"/>
    <x v="1"/>
    <s v="Male"/>
    <x v="0"/>
    <n v="89.6"/>
    <n v="8"/>
    <n v="35.840000000000003"/>
    <n v="752.64"/>
    <d v="2019-07-02T00:00:00"/>
    <d v="1899-12-30T11:28:00"/>
    <s v="Ewallet"/>
    <n v="716.8"/>
    <n v="4.7619047620000003"/>
    <n v="35.840000000000003"/>
    <n v="6.6"/>
    <d v="2019-02-07T00:00:00"/>
    <x v="2"/>
    <x v="5"/>
  </r>
  <r>
    <s v="817-48-8732"/>
    <x v="0"/>
    <x v="0"/>
    <x v="0"/>
    <s v="Female"/>
    <x v="2"/>
    <n v="72.349999999999994"/>
    <n v="10"/>
    <n v="36.174999999999997"/>
    <n v="759.67499999999995"/>
    <s v="1/20/2019"/>
    <d v="1899-12-30T15:55:00"/>
    <s v="Cash"/>
    <n v="723.5"/>
    <n v="4.7619047620000003"/>
    <n v="36.174999999999997"/>
    <n v="5.4"/>
    <d v="2019-01-20T00:00:00"/>
    <x v="0"/>
    <x v="9"/>
  </r>
  <r>
    <s v="120-06-4233"/>
    <x v="1"/>
    <x v="1"/>
    <x v="1"/>
    <s v="Male"/>
    <x v="1"/>
    <n v="30.61"/>
    <n v="6"/>
    <n v="9.1829999999999998"/>
    <n v="192.84299999999999"/>
    <d v="2019-12-03T00:00:00"/>
    <d v="1899-12-30T20:36:00"/>
    <s v="Cash"/>
    <n v="183.66"/>
    <n v="4.7619047620000003"/>
    <n v="9.1829999999999998"/>
    <n v="9.3000000000000007"/>
    <d v="2019-03-12T00:00:00"/>
    <x v="1"/>
    <x v="2"/>
  </r>
  <r>
    <s v="285-68-5083"/>
    <x v="1"/>
    <x v="1"/>
    <x v="0"/>
    <s v="Female"/>
    <x v="3"/>
    <n v="24.74"/>
    <n v="3"/>
    <n v="3.7109999999999999"/>
    <n v="77.930999999999997"/>
    <s v="2/15/2019"/>
    <d v="1899-12-30T17:47:00"/>
    <s v="Credit card"/>
    <n v="74.22"/>
    <n v="4.7619047620000003"/>
    <n v="3.7109999999999999"/>
    <n v="10"/>
    <d v="2019-02-15T00:00:00"/>
    <x v="2"/>
    <x v="6"/>
  </r>
  <r>
    <s v="803-83-5989"/>
    <x v="1"/>
    <x v="1"/>
    <x v="1"/>
    <s v="Male"/>
    <x v="2"/>
    <n v="55.73"/>
    <n v="6"/>
    <n v="16.719000000000001"/>
    <n v="351.09899999999999"/>
    <s v="2/24/2019"/>
    <d v="1899-12-30T10:55:00"/>
    <s v="Ewallet"/>
    <n v="334.38"/>
    <n v="4.7619047620000003"/>
    <n v="16.719000000000001"/>
    <n v="7"/>
    <d v="2019-02-24T00:00:00"/>
    <x v="2"/>
    <x v="1"/>
  </r>
  <r>
    <s v="347-34-2234"/>
    <x v="2"/>
    <x v="2"/>
    <x v="0"/>
    <s v="Female"/>
    <x v="3"/>
    <n v="55.07"/>
    <n v="9"/>
    <n v="24.781500000000001"/>
    <n v="520.41150000000005"/>
    <d v="2019-03-02T00:00:00"/>
    <d v="1899-12-30T13:40:00"/>
    <s v="Ewallet"/>
    <n v="495.63"/>
    <n v="4.7619047620000003"/>
    <n v="24.781500000000001"/>
    <n v="10"/>
    <d v="2019-02-03T00:00:00"/>
    <x v="2"/>
    <x v="0"/>
  </r>
  <r>
    <s v="199-75-8169"/>
    <x v="0"/>
    <x v="0"/>
    <x v="0"/>
    <s v="Male"/>
    <x v="3"/>
    <n v="15.81"/>
    <n v="10"/>
    <n v="7.9050000000000002"/>
    <n v="166.005"/>
    <d v="2019-06-03T00:00:00"/>
    <d v="1899-12-30T12:27:00"/>
    <s v="Credit card"/>
    <n v="158.1"/>
    <n v="4.7619047620000003"/>
    <n v="7.9050000000000002"/>
    <n v="8.6"/>
    <d v="2019-03-06T00:00:00"/>
    <x v="1"/>
    <x v="10"/>
  </r>
  <r>
    <s v="853-23-2453"/>
    <x v="2"/>
    <x v="2"/>
    <x v="0"/>
    <s v="Male"/>
    <x v="0"/>
    <n v="75.739999999999995"/>
    <n v="4"/>
    <n v="15.148"/>
    <n v="318.108"/>
    <s v="2/14/2019"/>
    <d v="1899-12-30T14:35:00"/>
    <s v="Cash"/>
    <n v="302.95999999999998"/>
    <n v="4.7619047620000003"/>
    <n v="15.148"/>
    <n v="7.6"/>
    <d v="2019-02-14T00:00:00"/>
    <x v="2"/>
    <x v="4"/>
  </r>
  <r>
    <s v="877-22-3308"/>
    <x v="0"/>
    <x v="0"/>
    <x v="0"/>
    <s v="Male"/>
    <x v="0"/>
    <n v="15.87"/>
    <n v="10"/>
    <n v="7.9349999999999996"/>
    <n v="166.63499999999999"/>
    <s v="3/13/2019"/>
    <d v="1899-12-30T16:40:00"/>
    <s v="Cash"/>
    <n v="158.69999999999999"/>
    <n v="4.7619047620000003"/>
    <n v="7.9349999999999996"/>
    <n v="5.8"/>
    <d v="2019-03-13T00:00:00"/>
    <x v="1"/>
    <x v="7"/>
  </r>
  <r>
    <s v="838-78-4295"/>
    <x v="1"/>
    <x v="1"/>
    <x v="1"/>
    <s v="Female"/>
    <x v="0"/>
    <n v="33.47"/>
    <n v="2"/>
    <n v="3.347"/>
    <n v="70.287000000000006"/>
    <d v="2019-10-02T00:00:00"/>
    <d v="1899-12-30T15:43:00"/>
    <s v="Ewallet"/>
    <n v="66.94"/>
    <n v="4.7619047620000003"/>
    <n v="3.347"/>
    <n v="6.7"/>
    <d v="2019-02-10T00:00:00"/>
    <x v="2"/>
    <x v="9"/>
  </r>
  <r>
    <s v="109-28-2512"/>
    <x v="2"/>
    <x v="2"/>
    <x v="0"/>
    <s v="Female"/>
    <x v="5"/>
    <n v="97.61"/>
    <n v="6"/>
    <n v="29.283000000000001"/>
    <n v="614.94299999999998"/>
    <d v="2019-07-01T00:00:00"/>
    <d v="1899-12-30T15:01:00"/>
    <s v="Ewallet"/>
    <n v="585.66"/>
    <n v="4.7619047620000003"/>
    <n v="29.283000000000001"/>
    <n v="9.9"/>
    <d v="2019-01-07T00:00:00"/>
    <x v="0"/>
    <x v="9"/>
  </r>
  <r>
    <s v="232-11-3025"/>
    <x v="0"/>
    <x v="0"/>
    <x v="1"/>
    <s v="Male"/>
    <x v="3"/>
    <n v="78.77"/>
    <n v="10"/>
    <n v="39.384999999999998"/>
    <n v="827.08500000000004"/>
    <s v="1/24/2019"/>
    <d v="1899-12-30T10:04:00"/>
    <s v="Cash"/>
    <n v="787.7"/>
    <n v="4.7619047620000003"/>
    <n v="39.384999999999998"/>
    <n v="6.4"/>
    <d v="2019-01-24T00:00:00"/>
    <x v="0"/>
    <x v="1"/>
  </r>
  <r>
    <s v="382-03-4532"/>
    <x v="0"/>
    <x v="0"/>
    <x v="0"/>
    <s v="Female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d v="2019-02-02T00:00:00"/>
    <x v="2"/>
    <x v="3"/>
  </r>
  <r>
    <s v="393-65-2792"/>
    <x v="1"/>
    <x v="1"/>
    <x v="1"/>
    <s v="Male"/>
    <x v="4"/>
    <n v="89.48"/>
    <n v="10"/>
    <n v="44.74"/>
    <n v="939.54"/>
    <d v="2019-06-01T00:00:00"/>
    <d v="1899-12-30T12:46:00"/>
    <s v="Credit card"/>
    <n v="894.8"/>
    <n v="4.7619047620000003"/>
    <n v="44.74"/>
    <n v="9.6"/>
    <d v="2019-01-06T00:00:00"/>
    <x v="0"/>
    <x v="10"/>
  </r>
  <r>
    <s v="796-12-2025"/>
    <x v="1"/>
    <x v="1"/>
    <x v="1"/>
    <s v="Male"/>
    <x v="5"/>
    <n v="62.12"/>
    <n v="10"/>
    <n v="31.06"/>
    <n v="652.26"/>
    <d v="2019-11-02T00:00:00"/>
    <d v="1899-12-30T16:19:00"/>
    <s v="Cash"/>
    <n v="621.20000000000005"/>
    <n v="4.7619047620000003"/>
    <n v="31.06"/>
    <n v="5.9"/>
    <d v="2019-02-11T00:00:00"/>
    <x v="2"/>
    <x v="7"/>
  </r>
  <r>
    <s v="510-95-6347"/>
    <x v="2"/>
    <x v="2"/>
    <x v="0"/>
    <s v="Female"/>
    <x v="4"/>
    <n v="48.52"/>
    <n v="3"/>
    <n v="7.2779999999999996"/>
    <n v="152.83799999999999"/>
    <d v="2019-05-03T00:00:00"/>
    <d v="1899-12-30T18:17:00"/>
    <s v="Ewallet"/>
    <n v="145.56"/>
    <n v="4.7619047620000003"/>
    <n v="7.2779999999999996"/>
    <n v="4"/>
    <d v="2019-03-05T00:00:00"/>
    <x v="1"/>
    <x v="3"/>
  </r>
  <r>
    <s v="841-35-6630"/>
    <x v="1"/>
    <x v="1"/>
    <x v="1"/>
    <s v="Female"/>
    <x v="1"/>
    <n v="75.91"/>
    <n v="6"/>
    <n v="22.773"/>
    <n v="478.233"/>
    <d v="2019-09-03T00:00:00"/>
    <d v="1899-12-30T18:21:00"/>
    <s v="Cash"/>
    <n v="455.46"/>
    <n v="4.7619047620000003"/>
    <n v="22.773"/>
    <n v="8.6999999999999993"/>
    <d v="2019-03-09T00:00:00"/>
    <x v="1"/>
    <x v="3"/>
  </r>
  <r>
    <s v="287-21-9091"/>
    <x v="0"/>
    <x v="0"/>
    <x v="1"/>
    <s v="Male"/>
    <x v="2"/>
    <n v="74.67"/>
    <n v="9"/>
    <n v="33.601500000000001"/>
    <n v="705.63149999999996"/>
    <s v="1/22/2019"/>
    <d v="1899-12-30T10:55:00"/>
    <s v="Ewallet"/>
    <n v="672.03"/>
    <n v="4.7619047620000003"/>
    <n v="33.601500000000001"/>
    <n v="9.4"/>
    <d v="2019-01-22T00:00:00"/>
    <x v="0"/>
    <x v="1"/>
  </r>
  <r>
    <s v="732-94-0499"/>
    <x v="1"/>
    <x v="1"/>
    <x v="1"/>
    <s v="Female"/>
    <x v="1"/>
    <n v="41.65"/>
    <n v="10"/>
    <n v="20.824999999999999"/>
    <n v="437.32499999999999"/>
    <s v="1/13/2019"/>
    <d v="1899-12-30T17:04:00"/>
    <s v="Credit card"/>
    <n v="416.5"/>
    <n v="4.7619047620000003"/>
    <n v="20.824999999999999"/>
    <n v="5.4"/>
    <d v="2019-01-13T00:00:00"/>
    <x v="0"/>
    <x v="6"/>
  </r>
  <r>
    <s v="263-10-3913"/>
    <x v="1"/>
    <x v="1"/>
    <x v="0"/>
    <s v="Male"/>
    <x v="5"/>
    <n v="49.04"/>
    <n v="9"/>
    <n v="22.068000000000001"/>
    <n v="463.428"/>
    <d v="2019-09-01T00:00:00"/>
    <d v="1899-12-30T14:20:00"/>
    <s v="Credit card"/>
    <n v="441.36"/>
    <n v="4.7619047620000003"/>
    <n v="22.068000000000001"/>
    <n v="8.6"/>
    <d v="2019-01-09T00:00:00"/>
    <x v="0"/>
    <x v="4"/>
  </r>
  <r>
    <s v="381-20-0914"/>
    <x v="0"/>
    <x v="0"/>
    <x v="0"/>
    <s v="Female"/>
    <x v="5"/>
    <n v="20.010000000000002"/>
    <n v="9"/>
    <n v="9.0045000000000002"/>
    <n v="189.09450000000001"/>
    <d v="2019-12-01T00:00:00"/>
    <d v="1899-12-30T15:48:00"/>
    <s v="Credit card"/>
    <n v="180.09"/>
    <n v="4.7619047620000003"/>
    <n v="9.0045000000000002"/>
    <n v="5.7"/>
    <d v="2019-01-12T00:00:00"/>
    <x v="0"/>
    <x v="9"/>
  </r>
  <r>
    <s v="829-49-1914"/>
    <x v="1"/>
    <x v="1"/>
    <x v="0"/>
    <s v="Female"/>
    <x v="4"/>
    <n v="78.31"/>
    <n v="10"/>
    <n v="39.155000000000001"/>
    <n v="822.255"/>
    <d v="2019-05-03T00:00:00"/>
    <d v="1899-12-30T16:24:00"/>
    <s v="Ewallet"/>
    <n v="783.1"/>
    <n v="4.7619047620000003"/>
    <n v="39.155000000000001"/>
    <n v="6.6"/>
    <d v="2019-03-05T00:00:00"/>
    <x v="1"/>
    <x v="7"/>
  </r>
  <r>
    <s v="756-01-7507"/>
    <x v="1"/>
    <x v="1"/>
    <x v="1"/>
    <s v="Female"/>
    <x v="0"/>
    <n v="20.38"/>
    <n v="5"/>
    <n v="5.0949999999999998"/>
    <n v="106.995"/>
    <s v="1/22/2019"/>
    <d v="1899-12-30T18:56:00"/>
    <s v="Cash"/>
    <n v="101.9"/>
    <n v="4.7619047620000003"/>
    <n v="5.0949999999999998"/>
    <n v="6"/>
    <d v="2019-01-22T00:00:00"/>
    <x v="0"/>
    <x v="3"/>
  </r>
  <r>
    <s v="870-72-4431"/>
    <x v="1"/>
    <x v="1"/>
    <x v="1"/>
    <s v="Female"/>
    <x v="0"/>
    <n v="99.19"/>
    <n v="6"/>
    <n v="29.757000000000001"/>
    <n v="624.89700000000005"/>
    <s v="1/21/2019"/>
    <d v="1899-12-30T14:42:00"/>
    <s v="Credit card"/>
    <n v="595.14"/>
    <n v="4.7619047620000003"/>
    <n v="29.757000000000001"/>
    <n v="5.5"/>
    <d v="2019-01-21T00:00:00"/>
    <x v="0"/>
    <x v="4"/>
  </r>
  <r>
    <s v="847-38-7188"/>
    <x v="2"/>
    <x v="2"/>
    <x v="1"/>
    <s v="Female"/>
    <x v="4"/>
    <n v="96.68"/>
    <n v="3"/>
    <n v="14.502000000000001"/>
    <n v="304.54199999999997"/>
    <s v="1/26/2019"/>
    <d v="1899-12-30T19:56:00"/>
    <s v="Ewallet"/>
    <n v="290.04000000000002"/>
    <n v="4.7619047620000003"/>
    <n v="14.502000000000001"/>
    <n v="6.4"/>
    <d v="2019-01-26T00:00:00"/>
    <x v="0"/>
    <x v="8"/>
  </r>
  <r>
    <s v="480-63-2856"/>
    <x v="1"/>
    <x v="1"/>
    <x v="1"/>
    <s v="Male"/>
    <x v="4"/>
    <n v="19.25"/>
    <n v="8"/>
    <n v="7.7"/>
    <n v="161.69999999999999"/>
    <s v="1/23/2019"/>
    <d v="1899-12-30T18:37:00"/>
    <s v="Ewallet"/>
    <n v="154"/>
    <n v="4.7619047620000003"/>
    <n v="7.7"/>
    <n v="6.6"/>
    <d v="2019-01-23T00:00:00"/>
    <x v="0"/>
    <x v="3"/>
  </r>
  <r>
    <s v="787-56-0757"/>
    <x v="1"/>
    <x v="1"/>
    <x v="0"/>
    <s v="Female"/>
    <x v="4"/>
    <n v="80.36"/>
    <n v="4"/>
    <n v="16.071999999999999"/>
    <n v="337.512"/>
    <s v="2/23/2019"/>
    <d v="1899-12-30T18:45:00"/>
    <s v="Credit card"/>
    <n v="321.44"/>
    <n v="4.7619047620000003"/>
    <n v="16.071999999999999"/>
    <n v="8.3000000000000007"/>
    <d v="2019-02-23T00:00:00"/>
    <x v="2"/>
    <x v="3"/>
  </r>
  <r>
    <s v="360-39-5055"/>
    <x v="1"/>
    <x v="1"/>
    <x v="0"/>
    <s v="Male"/>
    <x v="3"/>
    <n v="48.91"/>
    <n v="5"/>
    <n v="12.227499999999999"/>
    <n v="256.77749999999997"/>
    <d v="2019-09-03T00:00:00"/>
    <d v="1899-12-30T10:17:00"/>
    <s v="Cash"/>
    <n v="244.55"/>
    <n v="4.7619047620000003"/>
    <n v="12.227499999999999"/>
    <n v="6.6"/>
    <d v="2019-03-09T00:00:00"/>
    <x v="1"/>
    <x v="1"/>
  </r>
  <r>
    <s v="730-50-9884"/>
    <x v="1"/>
    <x v="1"/>
    <x v="1"/>
    <s v="Female"/>
    <x v="3"/>
    <n v="83.06"/>
    <n v="7"/>
    <n v="29.071000000000002"/>
    <n v="610.49099999999999"/>
    <d v="2019-05-03T00:00:00"/>
    <d v="1899-12-30T14:31:00"/>
    <s v="Ewallet"/>
    <n v="581.41999999999996"/>
    <n v="4.7619047620000003"/>
    <n v="29.071000000000002"/>
    <n v="4"/>
    <d v="2019-03-05T00:00:00"/>
    <x v="1"/>
    <x v="4"/>
  </r>
  <r>
    <s v="362-58-8315"/>
    <x v="1"/>
    <x v="1"/>
    <x v="1"/>
    <s v="Male"/>
    <x v="5"/>
    <n v="76.52"/>
    <n v="5"/>
    <n v="19.13"/>
    <n v="401.73"/>
    <s v="3/25/2019"/>
    <d v="1899-12-30T10:23:00"/>
    <s v="Cash"/>
    <n v="382.6"/>
    <n v="4.7619047620000003"/>
    <n v="19.13"/>
    <n v="9.9"/>
    <d v="2019-03-25T00:00:00"/>
    <x v="1"/>
    <x v="1"/>
  </r>
  <r>
    <s v="633-44-8566"/>
    <x v="0"/>
    <x v="0"/>
    <x v="0"/>
    <s v="Male"/>
    <x v="4"/>
    <n v="49.38"/>
    <n v="7"/>
    <n v="17.283000000000001"/>
    <n v="362.94299999999998"/>
    <s v="3/27/2019"/>
    <d v="1899-12-30T20:35:00"/>
    <s v="Credit card"/>
    <n v="345.66"/>
    <n v="4.7619047620000003"/>
    <n v="17.283000000000001"/>
    <n v="7.3"/>
    <d v="2019-03-27T00:00:00"/>
    <x v="1"/>
    <x v="2"/>
  </r>
  <r>
    <s v="504-35-8843"/>
    <x v="0"/>
    <x v="0"/>
    <x v="1"/>
    <s v="Male"/>
    <x v="3"/>
    <n v="42.47"/>
    <n v="1"/>
    <n v="2.1234999999999999"/>
    <n v="44.593499999999999"/>
    <d v="2019-02-01T00:00:00"/>
    <d v="1899-12-30T16:57:00"/>
    <s v="Cash"/>
    <n v="42.47"/>
    <n v="4.7619047620000003"/>
    <n v="2.1234999999999999"/>
    <n v="5.7"/>
    <d v="2019-01-02T00:00:00"/>
    <x v="0"/>
    <x v="7"/>
  </r>
  <r>
    <s v="318-68-5053"/>
    <x v="2"/>
    <x v="2"/>
    <x v="1"/>
    <s v="Female"/>
    <x v="0"/>
    <n v="76.989999999999995"/>
    <n v="6"/>
    <n v="23.097000000000001"/>
    <n v="485.03699999999998"/>
    <s v="2/27/2019"/>
    <d v="1899-12-30T17:55:00"/>
    <s v="Cash"/>
    <n v="461.94"/>
    <n v="4.7619047620000003"/>
    <n v="23.097000000000001"/>
    <n v="6.1"/>
    <d v="2019-02-27T00:00:00"/>
    <x v="2"/>
    <x v="6"/>
  </r>
  <r>
    <s v="565-80-5980"/>
    <x v="1"/>
    <x v="1"/>
    <x v="0"/>
    <s v="Female"/>
    <x v="2"/>
    <n v="47.38"/>
    <n v="4"/>
    <n v="9.4760000000000009"/>
    <n v="198.99600000000001"/>
    <s v="1/23/2019"/>
    <d v="1899-12-30T10:25:00"/>
    <s v="Cash"/>
    <n v="189.52"/>
    <n v="4.7619047620000003"/>
    <n v="9.4760000000000009"/>
    <n v="7.1"/>
    <d v="2019-01-23T00:00:00"/>
    <x v="0"/>
    <x v="1"/>
  </r>
  <r>
    <s v="225-32-0908"/>
    <x v="1"/>
    <x v="1"/>
    <x v="1"/>
    <s v="Female"/>
    <x v="3"/>
    <n v="44.86"/>
    <n v="10"/>
    <n v="22.43"/>
    <n v="471.03"/>
    <s v="1/26/2019"/>
    <d v="1899-12-30T19:54:00"/>
    <s v="Ewallet"/>
    <n v="448.6"/>
    <n v="4.7619047620000003"/>
    <n v="22.43"/>
    <n v="8.1999999999999993"/>
    <d v="2019-01-26T00:00:00"/>
    <x v="0"/>
    <x v="8"/>
  </r>
  <r>
    <s v="873-51-0671"/>
    <x v="0"/>
    <x v="0"/>
    <x v="0"/>
    <s v="Female"/>
    <x v="3"/>
    <n v="21.98"/>
    <n v="7"/>
    <n v="7.6929999999999996"/>
    <n v="161.553"/>
    <d v="2019-10-01T00:00:00"/>
    <d v="1899-12-30T16:42:00"/>
    <s v="Ewallet"/>
    <n v="153.86000000000001"/>
    <n v="4.7619047620000003"/>
    <n v="7.6929999999999996"/>
    <n v="5.0999999999999996"/>
    <d v="2019-01-10T00:00:00"/>
    <x v="0"/>
    <x v="7"/>
  </r>
  <r>
    <s v="152-08-9985"/>
    <x v="2"/>
    <x v="2"/>
    <x v="0"/>
    <s v="Male"/>
    <x v="0"/>
    <n v="64.36"/>
    <n v="9"/>
    <n v="28.962"/>
    <n v="608.202"/>
    <d v="2019-12-03T00:00:00"/>
    <d v="1899-12-30T12:09:00"/>
    <s v="Credit card"/>
    <n v="579.24"/>
    <n v="4.7619047620000003"/>
    <n v="28.962"/>
    <n v="8.6"/>
    <d v="2019-03-12T00:00:00"/>
    <x v="1"/>
    <x v="10"/>
  </r>
  <r>
    <s v="512-91-0811"/>
    <x v="1"/>
    <x v="1"/>
    <x v="1"/>
    <s v="Male"/>
    <x v="0"/>
    <n v="89.75"/>
    <n v="1"/>
    <n v="4.4874999999999998"/>
    <n v="94.237499999999997"/>
    <d v="2019-06-02T00:00:00"/>
    <d v="1899-12-30T20:05:00"/>
    <s v="Credit card"/>
    <n v="89.75"/>
    <n v="4.7619047620000003"/>
    <n v="4.4874999999999998"/>
    <n v="6.6"/>
    <d v="2019-02-06T00:00:00"/>
    <x v="2"/>
    <x v="2"/>
  </r>
  <r>
    <s v="594-34-4444"/>
    <x v="0"/>
    <x v="0"/>
    <x v="1"/>
    <s v="Male"/>
    <x v="1"/>
    <n v="97.16"/>
    <n v="1"/>
    <n v="4.8579999999999997"/>
    <n v="102.018"/>
    <d v="2019-08-03T00:00:00"/>
    <d v="1899-12-30T20:38:00"/>
    <s v="Ewallet"/>
    <n v="97.16"/>
    <n v="4.7619047620000003"/>
    <n v="4.8579999999999997"/>
    <n v="7.2"/>
    <d v="2019-03-08T00:00:00"/>
    <x v="1"/>
    <x v="2"/>
  </r>
  <r>
    <s v="766-85-7061"/>
    <x v="2"/>
    <x v="2"/>
    <x v="1"/>
    <s v="Male"/>
    <x v="0"/>
    <n v="87.87"/>
    <n v="10"/>
    <n v="43.935000000000002"/>
    <n v="922.63499999999999"/>
    <s v="3/29/2019"/>
    <d v="1899-12-30T10:25:00"/>
    <s v="Ewallet"/>
    <n v="878.7"/>
    <n v="4.7619047620000003"/>
    <n v="43.935000000000002"/>
    <n v="5.0999999999999996"/>
    <d v="2019-03-29T00:00:00"/>
    <x v="1"/>
    <x v="1"/>
  </r>
  <r>
    <s v="871-39-9221"/>
    <x v="1"/>
    <x v="1"/>
    <x v="1"/>
    <s v="Female"/>
    <x v="1"/>
    <n v="12.45"/>
    <n v="6"/>
    <n v="3.7349999999999999"/>
    <n v="78.435000000000002"/>
    <d v="2019-09-02T00:00:00"/>
    <d v="1899-12-30T13:11:00"/>
    <s v="Cash"/>
    <n v="74.7"/>
    <n v="4.7619047620000003"/>
    <n v="3.7349999999999999"/>
    <n v="4.0999999999999996"/>
    <d v="2019-02-09T00:00:00"/>
    <x v="2"/>
    <x v="0"/>
  </r>
  <r>
    <s v="865-92-6136"/>
    <x v="0"/>
    <x v="0"/>
    <x v="1"/>
    <s v="Male"/>
    <x v="4"/>
    <n v="52.75"/>
    <n v="3"/>
    <n v="7.9124999999999996"/>
    <n v="166.16249999999999"/>
    <s v="3/23/2019"/>
    <d v="1899-12-30T10:16:00"/>
    <s v="Ewallet"/>
    <n v="158.25"/>
    <n v="4.7619047620000003"/>
    <n v="7.9124999999999996"/>
    <n v="9.3000000000000007"/>
    <d v="2019-03-23T00:00:00"/>
    <x v="1"/>
    <x v="1"/>
  </r>
  <r>
    <s v="733-01-9107"/>
    <x v="2"/>
    <x v="2"/>
    <x v="1"/>
    <s v="Male"/>
    <x v="2"/>
    <n v="82.7"/>
    <n v="6"/>
    <n v="24.81"/>
    <n v="521.01"/>
    <d v="2019-05-03T00:00:00"/>
    <d v="1899-12-30T18:14:00"/>
    <s v="Cash"/>
    <n v="496.2"/>
    <n v="4.7619047620000003"/>
    <n v="24.81"/>
    <n v="7.4"/>
    <d v="2019-03-05T00:00:00"/>
    <x v="1"/>
    <x v="3"/>
  </r>
  <r>
    <s v="163-56-7055"/>
    <x v="1"/>
    <x v="1"/>
    <x v="0"/>
    <s v="Male"/>
    <x v="5"/>
    <n v="48.71"/>
    <n v="1"/>
    <n v="2.4355000000000002"/>
    <n v="51.145499999999998"/>
    <s v="3/26/2019"/>
    <d v="1899-12-30T19:20:00"/>
    <s v="Cash"/>
    <n v="48.71"/>
    <n v="4.7619047620000003"/>
    <n v="2.4355000000000002"/>
    <n v="4.0999999999999996"/>
    <d v="2019-03-26T00:00:00"/>
    <x v="1"/>
    <x v="8"/>
  </r>
  <r>
    <s v="189-98-2939"/>
    <x v="1"/>
    <x v="1"/>
    <x v="1"/>
    <s v="Male"/>
    <x v="5"/>
    <n v="78.55"/>
    <n v="9"/>
    <n v="35.347499999999997"/>
    <n v="742.29750000000001"/>
    <d v="2019-01-03T00:00:00"/>
    <d v="1899-12-30T13:22:00"/>
    <s v="Cash"/>
    <n v="706.95"/>
    <n v="4.7619047620000003"/>
    <n v="35.347499999999997"/>
    <n v="7.2"/>
    <d v="2019-03-01T00:00:00"/>
    <x v="1"/>
    <x v="0"/>
  </r>
  <r>
    <s v="551-21-3069"/>
    <x v="1"/>
    <x v="1"/>
    <x v="1"/>
    <s v="Female"/>
    <x v="1"/>
    <n v="23.07"/>
    <n v="9"/>
    <n v="10.381500000000001"/>
    <n v="218.01150000000001"/>
    <d v="2019-01-02T00:00:00"/>
    <d v="1899-12-30T11:27:00"/>
    <s v="Cash"/>
    <n v="207.63"/>
    <n v="4.7619047620000003"/>
    <n v="10.381500000000001"/>
    <n v="4.9000000000000004"/>
    <d v="2019-02-01T00:00:00"/>
    <x v="2"/>
    <x v="5"/>
  </r>
  <r>
    <s v="212-62-1842"/>
    <x v="0"/>
    <x v="0"/>
    <x v="1"/>
    <s v="Male"/>
    <x v="4"/>
    <n v="58.26"/>
    <n v="6"/>
    <n v="17.478000000000002"/>
    <n v="367.03800000000001"/>
    <s v="3/28/2019"/>
    <d v="1899-12-30T16:44:00"/>
    <s v="Cash"/>
    <n v="349.56"/>
    <n v="4.7619047620000003"/>
    <n v="17.478000000000002"/>
    <n v="9.9"/>
    <d v="2019-03-28T00:00:00"/>
    <x v="1"/>
    <x v="7"/>
  </r>
  <r>
    <s v="716-39-1409"/>
    <x v="2"/>
    <x v="2"/>
    <x v="1"/>
    <s v="Male"/>
    <x v="0"/>
    <n v="30.35"/>
    <n v="7"/>
    <n v="10.6225"/>
    <n v="223.07249999999999"/>
    <s v="3/19/2019"/>
    <d v="1899-12-30T18:19:00"/>
    <s v="Cash"/>
    <n v="212.45"/>
    <n v="4.7619047620000003"/>
    <n v="10.6225"/>
    <n v="8"/>
    <d v="2019-03-19T00:00:00"/>
    <x v="1"/>
    <x v="3"/>
  </r>
  <r>
    <s v="704-48-3927"/>
    <x v="0"/>
    <x v="0"/>
    <x v="0"/>
    <s v="Male"/>
    <x v="1"/>
    <n v="88.67"/>
    <n v="10"/>
    <n v="44.335000000000001"/>
    <n v="931.03499999999997"/>
    <d v="2019-12-01T00:00:00"/>
    <d v="1899-12-30T14:50:00"/>
    <s v="Ewallet"/>
    <n v="886.7"/>
    <n v="4.7619047620000003"/>
    <n v="44.335000000000001"/>
    <n v="7.3"/>
    <d v="2019-01-12T00:00:00"/>
    <x v="0"/>
    <x v="4"/>
  </r>
  <r>
    <s v="628-34-3388"/>
    <x v="1"/>
    <x v="1"/>
    <x v="1"/>
    <s v="Male"/>
    <x v="5"/>
    <n v="27.38"/>
    <n v="6"/>
    <n v="8.2140000000000004"/>
    <n v="172.494"/>
    <d v="2019-05-01T00:00:00"/>
    <d v="1899-12-30T20:54:00"/>
    <s v="Credit card"/>
    <n v="164.28"/>
    <n v="4.7619047620000003"/>
    <n v="8.2140000000000004"/>
    <n v="7.9"/>
    <d v="2019-01-05T00:00:00"/>
    <x v="0"/>
    <x v="2"/>
  </r>
  <r>
    <s v="630-74-5166"/>
    <x v="0"/>
    <x v="0"/>
    <x v="1"/>
    <s v="Male"/>
    <x v="3"/>
    <n v="62.13"/>
    <n v="6"/>
    <n v="18.638999999999999"/>
    <n v="391.41899999999998"/>
    <s v="3/22/2019"/>
    <d v="1899-12-30T20:19:00"/>
    <s v="Cash"/>
    <n v="372.78"/>
    <n v="4.7619047620000003"/>
    <n v="18.638999999999999"/>
    <n v="7.4"/>
    <d v="2019-03-22T00:00:00"/>
    <x v="1"/>
    <x v="2"/>
  </r>
  <r>
    <s v="588-01-7461"/>
    <x v="1"/>
    <x v="1"/>
    <x v="1"/>
    <s v="Female"/>
    <x v="4"/>
    <n v="33.979999999999997"/>
    <n v="9"/>
    <n v="15.291"/>
    <n v="321.11099999999999"/>
    <s v="3/24/2019"/>
    <d v="1899-12-30T10:43:00"/>
    <s v="Cash"/>
    <n v="305.82"/>
    <n v="4.7619047620000003"/>
    <n v="15.291"/>
    <n v="4.2"/>
    <d v="2019-03-24T00:00:00"/>
    <x v="1"/>
    <x v="1"/>
  </r>
  <r>
    <s v="861-77-0145"/>
    <x v="1"/>
    <x v="1"/>
    <x v="0"/>
    <s v="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d v="2019-03-03T00:00:00"/>
    <x v="1"/>
    <x v="4"/>
  </r>
  <r>
    <s v="479-26-8945"/>
    <x v="2"/>
    <x v="2"/>
    <x v="0"/>
    <s v="Female"/>
    <x v="3"/>
    <n v="16.489999999999998"/>
    <n v="2"/>
    <n v="1.649"/>
    <n v="34.628999999999998"/>
    <d v="2019-05-02T00:00:00"/>
    <d v="1899-12-30T11:32:00"/>
    <s v="Ewallet"/>
    <n v="32.979999999999997"/>
    <n v="4.7619047620000003"/>
    <n v="1.649"/>
    <n v="4.5999999999999996"/>
    <d v="2019-02-05T00:00:00"/>
    <x v="2"/>
    <x v="5"/>
  </r>
  <r>
    <s v="210-67-5886"/>
    <x v="1"/>
    <x v="1"/>
    <x v="0"/>
    <s v="Female"/>
    <x v="0"/>
    <n v="98.21"/>
    <n v="3"/>
    <n v="14.7315"/>
    <n v="309.36149999999998"/>
    <d v="2019-05-02T00:00:00"/>
    <d v="1899-12-30T10:41:00"/>
    <s v="Credit card"/>
    <n v="294.63"/>
    <n v="4.7619047620000003"/>
    <n v="14.7315"/>
    <n v="7.8"/>
    <d v="2019-02-05T00:00:00"/>
    <x v="2"/>
    <x v="1"/>
  </r>
  <r>
    <s v="227-78-1148"/>
    <x v="2"/>
    <x v="2"/>
    <x v="1"/>
    <s v="Female"/>
    <x v="5"/>
    <n v="72.84"/>
    <n v="7"/>
    <n v="25.494"/>
    <n v="535.37400000000002"/>
    <s v="2/15/2019"/>
    <d v="1899-12-30T12:44:00"/>
    <s v="Cash"/>
    <n v="509.88"/>
    <n v="4.7619047620000003"/>
    <n v="25.494"/>
    <n v="8.4"/>
    <d v="2019-02-15T00:00:00"/>
    <x v="2"/>
    <x v="10"/>
  </r>
  <r>
    <s v="645-44-1170"/>
    <x v="0"/>
    <x v="0"/>
    <x v="0"/>
    <s v="Male"/>
    <x v="2"/>
    <n v="58.07"/>
    <n v="9"/>
    <n v="26.131499999999999"/>
    <n v="548.76149999999996"/>
    <s v="1/19/2019"/>
    <d v="1899-12-30T20:07:00"/>
    <s v="Ewallet"/>
    <n v="522.63"/>
    <n v="4.7619047620000003"/>
    <n v="26.131499999999999"/>
    <n v="4.3"/>
    <d v="2019-01-19T00:00:00"/>
    <x v="0"/>
    <x v="2"/>
  </r>
  <r>
    <s v="237-01-6122"/>
    <x v="1"/>
    <x v="1"/>
    <x v="0"/>
    <s v="Female"/>
    <x v="2"/>
    <n v="80.790000000000006"/>
    <n v="9"/>
    <n v="36.355499999999999"/>
    <n v="763.46550000000002"/>
    <d v="2019-01-02T00:00:00"/>
    <d v="1899-12-30T20:31:00"/>
    <s v="Credit card"/>
    <n v="727.11"/>
    <n v="4.7619047620000003"/>
    <n v="36.355499999999999"/>
    <n v="9.5"/>
    <d v="2019-02-01T00:00:00"/>
    <x v="2"/>
    <x v="2"/>
  </r>
  <r>
    <s v="225-98-1496"/>
    <x v="1"/>
    <x v="1"/>
    <x v="1"/>
    <s v="Female"/>
    <x v="5"/>
    <n v="27.02"/>
    <n v="3"/>
    <n v="4.0529999999999999"/>
    <n v="85.113"/>
    <d v="2019-02-03T00:00:00"/>
    <d v="1899-12-30T13:01:00"/>
    <s v="Credit card"/>
    <n v="81.06"/>
    <n v="4.7619047620000003"/>
    <n v="4.0529999999999999"/>
    <n v="7.1"/>
    <d v="2019-03-02T00:00:00"/>
    <x v="1"/>
    <x v="0"/>
  </r>
  <r>
    <s v="291-32-1427"/>
    <x v="2"/>
    <x v="2"/>
    <x v="0"/>
    <s v="Male"/>
    <x v="5"/>
    <n v="21.94"/>
    <n v="5"/>
    <n v="5.4850000000000003"/>
    <n v="115.185"/>
    <d v="2019-05-03T00:00:00"/>
    <d v="1899-12-30T12:29:00"/>
    <s v="Ewallet"/>
    <n v="109.7"/>
    <n v="4.7619047620000003"/>
    <n v="5.4850000000000003"/>
    <n v="5.3"/>
    <d v="2019-03-05T00:00:00"/>
    <x v="1"/>
    <x v="10"/>
  </r>
  <r>
    <s v="659-65-8956"/>
    <x v="2"/>
    <x v="2"/>
    <x v="0"/>
    <s v="Male"/>
    <x v="5"/>
    <n v="51.36"/>
    <n v="1"/>
    <n v="2.5680000000000001"/>
    <n v="53.927999999999997"/>
    <s v="1/16/2019"/>
    <d v="1899-12-30T15:26:00"/>
    <s v="Ewallet"/>
    <n v="51.36"/>
    <n v="4.7619047620000003"/>
    <n v="2.5680000000000001"/>
    <n v="5.2"/>
    <d v="2019-01-16T00:00:00"/>
    <x v="0"/>
    <x v="9"/>
  </r>
  <r>
    <s v="642-32-2990"/>
    <x v="0"/>
    <x v="0"/>
    <x v="1"/>
    <s v="Female"/>
    <x v="4"/>
    <n v="10.96"/>
    <n v="10"/>
    <n v="5.48"/>
    <n v="115.08"/>
    <d v="2019-02-02T00:00:00"/>
    <d v="1899-12-30T20:48:00"/>
    <s v="Ewallet"/>
    <n v="109.6"/>
    <n v="4.7619047620000003"/>
    <n v="5.48"/>
    <n v="6"/>
    <d v="2019-02-02T00:00:00"/>
    <x v="2"/>
    <x v="2"/>
  </r>
  <r>
    <s v="378-24-2715"/>
    <x v="2"/>
    <x v="2"/>
    <x v="1"/>
    <s v="Male"/>
    <x v="2"/>
    <n v="53.44"/>
    <n v="2"/>
    <n v="5.3440000000000003"/>
    <n v="112.224"/>
    <s v="1/20/2019"/>
    <d v="1899-12-30T20:38:00"/>
    <s v="Ewallet"/>
    <n v="106.88"/>
    <n v="4.7619047620000003"/>
    <n v="5.3440000000000003"/>
    <n v="4.0999999999999996"/>
    <d v="2019-01-20T00:00:00"/>
    <x v="0"/>
    <x v="2"/>
  </r>
  <r>
    <s v="638-60-7125"/>
    <x v="0"/>
    <x v="0"/>
    <x v="1"/>
    <s v="Female"/>
    <x v="1"/>
    <n v="99.56"/>
    <n v="8"/>
    <n v="39.823999999999998"/>
    <n v="836.30399999999997"/>
    <s v="2/14/2019"/>
    <d v="1899-12-30T17:03:00"/>
    <s v="Credit card"/>
    <n v="796.48"/>
    <n v="4.7619047620000003"/>
    <n v="39.823999999999998"/>
    <n v="5.2"/>
    <d v="2019-02-14T00:00:00"/>
    <x v="2"/>
    <x v="6"/>
  </r>
  <r>
    <s v="659-36-1684"/>
    <x v="1"/>
    <x v="1"/>
    <x v="0"/>
    <s v="Male"/>
    <x v="3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n v="6.5"/>
    <d v="2019-01-12T00:00:00"/>
    <x v="0"/>
    <x v="10"/>
  </r>
  <r>
    <s v="219-22-9386"/>
    <x v="2"/>
    <x v="2"/>
    <x v="0"/>
    <s v="Male"/>
    <x v="3"/>
    <n v="99.96"/>
    <n v="9"/>
    <n v="44.981999999999999"/>
    <n v="944.62199999999996"/>
    <d v="2019-09-03T00:00:00"/>
    <d v="1899-12-30T17:26:00"/>
    <s v="Credit card"/>
    <n v="899.64"/>
    <n v="4.7619047620000003"/>
    <n v="44.981999999999999"/>
    <n v="4.2"/>
    <d v="2019-03-09T00:00:00"/>
    <x v="1"/>
    <x v="6"/>
  </r>
  <r>
    <s v="336-78-2147"/>
    <x v="1"/>
    <x v="1"/>
    <x v="0"/>
    <s v="Male"/>
    <x v="2"/>
    <n v="63.91"/>
    <n v="8"/>
    <n v="25.564"/>
    <n v="536.84400000000005"/>
    <s v="3/13/2019"/>
    <d v="1899-12-30T19:52:00"/>
    <s v="Credit card"/>
    <n v="511.28"/>
    <n v="4.7619047620000003"/>
    <n v="25.564"/>
    <n v="4.5999999999999996"/>
    <d v="2019-03-13T00:00:00"/>
    <x v="1"/>
    <x v="8"/>
  </r>
  <r>
    <s v="268-27-6179"/>
    <x v="2"/>
    <x v="2"/>
    <x v="0"/>
    <s v="Female"/>
    <x v="5"/>
    <n v="56.47"/>
    <n v="8"/>
    <n v="22.588000000000001"/>
    <n v="474.34800000000001"/>
    <d v="2019-09-03T00:00:00"/>
    <d v="1899-12-30T14:57:00"/>
    <s v="Ewallet"/>
    <n v="451.76"/>
    <n v="4.7619047620000003"/>
    <n v="22.588000000000001"/>
    <n v="7.3"/>
    <d v="2019-03-09T00:00:00"/>
    <x v="1"/>
    <x v="4"/>
  </r>
  <r>
    <s v="668-90-8900"/>
    <x v="0"/>
    <x v="0"/>
    <x v="1"/>
    <s v="Female"/>
    <x v="2"/>
    <n v="93.69"/>
    <n v="7"/>
    <n v="32.791499999999999"/>
    <n v="688.62149999999997"/>
    <d v="2019-10-03T00:00:00"/>
    <d v="1899-12-30T18:44:00"/>
    <s v="Credit card"/>
    <n v="655.83"/>
    <n v="4.7619047620000003"/>
    <n v="32.791499999999999"/>
    <n v="4.5"/>
    <d v="2019-03-10T00:00:00"/>
    <x v="1"/>
    <x v="3"/>
  </r>
  <r>
    <s v="870-54-3162"/>
    <x v="0"/>
    <x v="0"/>
    <x v="1"/>
    <s v="Female"/>
    <x v="3"/>
    <n v="32.25"/>
    <n v="5"/>
    <n v="8.0625"/>
    <n v="169.3125"/>
    <s v="1/27/2019"/>
    <d v="1899-12-30T13:26:00"/>
    <s v="Cash"/>
    <n v="161.25"/>
    <n v="4.7619047620000003"/>
    <n v="8.0625"/>
    <n v="9"/>
    <d v="2019-01-27T00:00:00"/>
    <x v="0"/>
    <x v="0"/>
  </r>
  <r>
    <s v="189-08-9157"/>
    <x v="1"/>
    <x v="1"/>
    <x v="1"/>
    <s v="Female"/>
    <x v="5"/>
    <n v="31.73"/>
    <n v="9"/>
    <n v="14.278499999999999"/>
    <n v="299.8485"/>
    <d v="2019-08-01T00:00:00"/>
    <d v="1899-12-30T16:17:00"/>
    <s v="Credit card"/>
    <n v="285.57"/>
    <n v="4.7619047620000003"/>
    <n v="14.278499999999999"/>
    <n v="5.9"/>
    <d v="2019-01-08T00:00:00"/>
    <x v="0"/>
    <x v="7"/>
  </r>
  <r>
    <s v="663-86-9076"/>
    <x v="1"/>
    <x v="1"/>
    <x v="0"/>
    <s v="Female"/>
    <x v="4"/>
    <n v="68.540000000000006"/>
    <n v="8"/>
    <n v="27.416"/>
    <n v="575.73599999999999"/>
    <d v="2019-08-01T00:00:00"/>
    <d v="1899-12-30T15:57:00"/>
    <s v="Ewallet"/>
    <n v="548.32000000000005"/>
    <n v="4.7619047620000003"/>
    <n v="27.416"/>
    <n v="8.5"/>
    <d v="2019-01-08T00:00:00"/>
    <x v="0"/>
    <x v="9"/>
  </r>
  <r>
    <s v="549-84-7482"/>
    <x v="2"/>
    <x v="2"/>
    <x v="1"/>
    <s v="Female"/>
    <x v="3"/>
    <n v="90.28"/>
    <n v="9"/>
    <n v="40.625999999999998"/>
    <n v="853.14599999999996"/>
    <d v="2019-08-02T00:00:00"/>
    <d v="1899-12-30T11:15:00"/>
    <s v="Ewallet"/>
    <n v="812.52"/>
    <n v="4.7619047620000003"/>
    <n v="40.625999999999998"/>
    <n v="7.2"/>
    <d v="2019-02-08T00:00:00"/>
    <x v="2"/>
    <x v="5"/>
  </r>
  <r>
    <s v="191-10-6171"/>
    <x v="2"/>
    <x v="2"/>
    <x v="1"/>
    <s v="Female"/>
    <x v="5"/>
    <n v="39.619999999999997"/>
    <n v="7"/>
    <n v="13.867000000000001"/>
    <n v="291.20699999999999"/>
    <s v="1/25/2019"/>
    <d v="1899-12-30T13:18:00"/>
    <s v="Cash"/>
    <n v="277.33999999999997"/>
    <n v="4.7619047620000003"/>
    <n v="13.867000000000001"/>
    <n v="7.5"/>
    <d v="2019-01-25T00:00:00"/>
    <x v="0"/>
    <x v="0"/>
  </r>
  <r>
    <s v="802-70-5316"/>
    <x v="0"/>
    <x v="0"/>
    <x v="0"/>
    <s v="Female"/>
    <x v="3"/>
    <n v="92.13"/>
    <n v="6"/>
    <n v="27.638999999999999"/>
    <n v="580.41899999999998"/>
    <d v="2019-06-03T00:00:00"/>
    <d v="1899-12-30T20:34:00"/>
    <s v="Cash"/>
    <n v="552.78"/>
    <n v="4.7619047620000003"/>
    <n v="27.638999999999999"/>
    <n v="8.3000000000000007"/>
    <d v="2019-03-06T00:00:00"/>
    <x v="1"/>
    <x v="2"/>
  </r>
  <r>
    <s v="695-51-0018"/>
    <x v="2"/>
    <x v="2"/>
    <x v="1"/>
    <s v="Female"/>
    <x v="3"/>
    <n v="34.840000000000003"/>
    <n v="4"/>
    <n v="6.968"/>
    <n v="146.328"/>
    <d v="2019-10-02T00:00:00"/>
    <d v="1899-12-30T18:36:00"/>
    <s v="Cash"/>
    <n v="139.36000000000001"/>
    <n v="4.7619047620000003"/>
    <n v="6.968"/>
    <n v="7.4"/>
    <d v="2019-02-10T00:00:00"/>
    <x v="2"/>
    <x v="3"/>
  </r>
  <r>
    <s v="590-83-4591"/>
    <x v="2"/>
    <x v="2"/>
    <x v="0"/>
    <s v="Male"/>
    <x v="1"/>
    <n v="87.45"/>
    <n v="6"/>
    <n v="26.234999999999999"/>
    <n v="550.93499999999995"/>
    <s v="2/17/2019"/>
    <d v="1899-12-30T14:40:00"/>
    <s v="Credit card"/>
    <n v="524.70000000000005"/>
    <n v="4.7619047620000003"/>
    <n v="26.234999999999999"/>
    <n v="8.8000000000000007"/>
    <d v="2019-02-17T00:00:00"/>
    <x v="2"/>
    <x v="4"/>
  </r>
  <r>
    <s v="483-71-1164"/>
    <x v="1"/>
    <x v="1"/>
    <x v="1"/>
    <s v="Female"/>
    <x v="0"/>
    <n v="81.3"/>
    <n v="6"/>
    <n v="24.39"/>
    <n v="512.19000000000005"/>
    <d v="2019-08-03T00:00:00"/>
    <d v="1899-12-30T16:43:00"/>
    <s v="Ewallet"/>
    <n v="487.8"/>
    <n v="4.7619047620000003"/>
    <n v="24.39"/>
    <n v="5.3"/>
    <d v="2019-03-08T00:00:00"/>
    <x v="1"/>
    <x v="7"/>
  </r>
  <r>
    <s v="597-78-7908"/>
    <x v="1"/>
    <x v="1"/>
    <x v="1"/>
    <s v="Male"/>
    <x v="5"/>
    <n v="90.22"/>
    <n v="3"/>
    <n v="13.532999999999999"/>
    <n v="284.19299999999998"/>
    <s v="2/18/2019"/>
    <d v="1899-12-30T19:39:00"/>
    <s v="Cash"/>
    <n v="270.66000000000003"/>
    <n v="4.7619047620000003"/>
    <n v="13.532999999999999"/>
    <n v="6.2"/>
    <d v="2019-02-18T00:00:00"/>
    <x v="2"/>
    <x v="8"/>
  </r>
  <r>
    <s v="700-81-1757"/>
    <x v="0"/>
    <x v="0"/>
    <x v="1"/>
    <s v="Female"/>
    <x v="1"/>
    <n v="26.31"/>
    <n v="5"/>
    <n v="6.5774999999999997"/>
    <n v="138.1275"/>
    <s v="1/18/2019"/>
    <d v="1899-12-30T20:59:00"/>
    <s v="Credit card"/>
    <n v="131.55000000000001"/>
    <n v="4.7619047620000003"/>
    <n v="6.5774999999999997"/>
    <n v="8.8000000000000007"/>
    <d v="2019-01-18T00:00:00"/>
    <x v="0"/>
    <x v="2"/>
  </r>
  <r>
    <s v="354-39-5160"/>
    <x v="0"/>
    <x v="0"/>
    <x v="0"/>
    <s v="Female"/>
    <x v="2"/>
    <n v="34.42"/>
    <n v="6"/>
    <n v="10.326000000000001"/>
    <n v="216.846"/>
    <s v="2/18/2019"/>
    <d v="1899-12-30T15:39:00"/>
    <s v="Cash"/>
    <n v="206.52"/>
    <n v="4.7619047620000003"/>
    <n v="10.326000000000001"/>
    <n v="9.8000000000000007"/>
    <d v="2019-02-18T00:00:00"/>
    <x v="2"/>
    <x v="9"/>
  </r>
  <r>
    <s v="241-72-9525"/>
    <x v="2"/>
    <x v="2"/>
    <x v="1"/>
    <s v="Male"/>
    <x v="3"/>
    <n v="51.91"/>
    <n v="10"/>
    <n v="25.954999999999998"/>
    <n v="545.05499999999995"/>
    <s v="2/16/2019"/>
    <d v="1899-12-30T12:21:00"/>
    <s v="Cash"/>
    <n v="519.1"/>
    <n v="4.7619047620000003"/>
    <n v="25.954999999999998"/>
    <n v="8.1999999999999993"/>
    <d v="2019-02-16T00:00:00"/>
    <x v="2"/>
    <x v="10"/>
  </r>
  <r>
    <s v="575-30-8091"/>
    <x v="0"/>
    <x v="0"/>
    <x v="1"/>
    <s v="Male"/>
    <x v="3"/>
    <n v="72.5"/>
    <n v="8"/>
    <n v="29"/>
    <n v="609"/>
    <s v="3/16/2019"/>
    <d v="1899-12-30T19:25:00"/>
    <s v="Ewallet"/>
    <n v="580"/>
    <n v="4.7619047620000003"/>
    <n v="29"/>
    <n v="9.1999999999999993"/>
    <d v="2019-03-16T00:00:00"/>
    <x v="1"/>
    <x v="8"/>
  </r>
  <r>
    <s v="731-81-9469"/>
    <x v="1"/>
    <x v="1"/>
    <x v="0"/>
    <s v="Female"/>
    <x v="3"/>
    <n v="89.8"/>
    <n v="10"/>
    <n v="44.9"/>
    <n v="942.9"/>
    <s v="1/23/2019"/>
    <d v="1899-12-30T13:00:00"/>
    <s v="Credit card"/>
    <n v="898"/>
    <n v="4.7619047620000003"/>
    <n v="44.9"/>
    <n v="5.4"/>
    <d v="2019-01-23T00:00:00"/>
    <x v="0"/>
    <x v="0"/>
  </r>
  <r>
    <s v="280-17-4359"/>
    <x v="1"/>
    <x v="1"/>
    <x v="0"/>
    <s v="Male"/>
    <x v="0"/>
    <n v="90.5"/>
    <n v="10"/>
    <n v="45.25"/>
    <n v="950.25"/>
    <s v="1/25/2019"/>
    <d v="1899-12-30T13:48:00"/>
    <s v="Cash"/>
    <n v="905"/>
    <n v="4.7619047620000003"/>
    <n v="45.25"/>
    <n v="8.1"/>
    <d v="2019-01-25T00:00:00"/>
    <x v="0"/>
    <x v="0"/>
  </r>
  <r>
    <s v="338-65-2210"/>
    <x v="1"/>
    <x v="1"/>
    <x v="0"/>
    <s v="Female"/>
    <x v="0"/>
    <n v="68.599999999999994"/>
    <n v="10"/>
    <n v="34.299999999999997"/>
    <n v="720.3"/>
    <d v="2019-05-02T00:00:00"/>
    <d v="1899-12-30T19:57:00"/>
    <s v="Cash"/>
    <n v="686"/>
    <n v="4.7619047620000003"/>
    <n v="34.299999999999997"/>
    <n v="9.1"/>
    <d v="2019-02-05T00:00:00"/>
    <x v="2"/>
    <x v="8"/>
  </r>
  <r>
    <s v="488-25-4221"/>
    <x v="1"/>
    <x v="1"/>
    <x v="0"/>
    <s v="Female"/>
    <x v="4"/>
    <n v="30.41"/>
    <n v="1"/>
    <n v="1.5205"/>
    <n v="31.930499999999999"/>
    <s v="2/22/2019"/>
    <d v="1899-12-30T10:36:00"/>
    <s v="Credit card"/>
    <n v="30.41"/>
    <n v="4.7619047620000003"/>
    <n v="1.5205"/>
    <n v="8.4"/>
    <d v="2019-02-22T00:00:00"/>
    <x v="2"/>
    <x v="1"/>
  </r>
  <r>
    <s v="239-10-7476"/>
    <x v="0"/>
    <x v="0"/>
    <x v="1"/>
    <s v="Female"/>
    <x v="2"/>
    <n v="77.95"/>
    <n v="6"/>
    <n v="23.385000000000002"/>
    <n v="491.08499999999998"/>
    <s v="1/21/2019"/>
    <d v="1899-12-30T16:37:00"/>
    <s v="Ewallet"/>
    <n v="467.7"/>
    <n v="4.7619047620000003"/>
    <n v="23.385000000000002"/>
    <n v="8"/>
    <d v="2019-01-21T00:00:00"/>
    <x v="0"/>
    <x v="7"/>
  </r>
  <r>
    <s v="458-41-1477"/>
    <x v="1"/>
    <x v="1"/>
    <x v="1"/>
    <s v="Female"/>
    <x v="0"/>
    <n v="46.26"/>
    <n v="6"/>
    <n v="13.878"/>
    <n v="291.43799999999999"/>
    <d v="2019-08-03T00:00:00"/>
    <d v="1899-12-30T17:11:00"/>
    <s v="Credit card"/>
    <n v="277.56"/>
    <n v="4.7619047620000003"/>
    <n v="13.878"/>
    <n v="9.5"/>
    <d v="2019-03-08T00:00:00"/>
    <x v="1"/>
    <x v="6"/>
  </r>
  <r>
    <s v="685-64-1609"/>
    <x v="0"/>
    <x v="0"/>
    <x v="0"/>
    <s v="Female"/>
    <x v="5"/>
    <n v="30.14"/>
    <n v="10"/>
    <n v="15.07"/>
    <n v="316.47000000000003"/>
    <d v="2019-10-02T00:00:00"/>
    <d v="1899-12-30T12:28:00"/>
    <s v="Ewallet"/>
    <n v="301.39999999999998"/>
    <n v="4.7619047620000003"/>
    <n v="15.07"/>
    <n v="9.1999999999999993"/>
    <d v="2019-02-10T00:00:00"/>
    <x v="2"/>
    <x v="10"/>
  </r>
  <r>
    <s v="568-90-5112"/>
    <x v="1"/>
    <x v="1"/>
    <x v="1"/>
    <s v="Male"/>
    <x v="0"/>
    <n v="66.14"/>
    <n v="4"/>
    <n v="13.228"/>
    <n v="277.78800000000001"/>
    <s v="3/19/2019"/>
    <d v="1899-12-30T12:46:00"/>
    <s v="Credit card"/>
    <n v="264.56"/>
    <n v="4.7619047620000003"/>
    <n v="13.228"/>
    <n v="5.6"/>
    <d v="2019-03-19T00:00:00"/>
    <x v="1"/>
    <x v="10"/>
  </r>
  <r>
    <s v="262-47-2794"/>
    <x v="2"/>
    <x v="2"/>
    <x v="0"/>
    <s v="Male"/>
    <x v="2"/>
    <n v="71.86"/>
    <n v="8"/>
    <n v="28.744"/>
    <n v="603.62400000000002"/>
    <d v="2019-06-03T00:00:00"/>
    <d v="1899-12-30T15:07:00"/>
    <s v="Credit card"/>
    <n v="574.88"/>
    <n v="4.7619047620000003"/>
    <n v="28.744"/>
    <n v="6.2"/>
    <d v="2019-03-06T00:00:00"/>
    <x v="1"/>
    <x v="9"/>
  </r>
  <r>
    <s v="238-49-0436"/>
    <x v="0"/>
    <x v="0"/>
    <x v="1"/>
    <s v="Male"/>
    <x v="0"/>
    <n v="32.46"/>
    <n v="8"/>
    <n v="12.984"/>
    <n v="272.66399999999999"/>
    <s v="3/27/2019"/>
    <d v="1899-12-30T13:48:00"/>
    <s v="Credit card"/>
    <n v="259.68"/>
    <n v="4.7619047620000003"/>
    <n v="12.984"/>
    <n v="4.9000000000000004"/>
    <d v="2019-03-27T00:00:00"/>
    <x v="1"/>
    <x v="0"/>
  </r>
  <r>
    <s v="608-96-3517"/>
    <x v="2"/>
    <x v="2"/>
    <x v="0"/>
    <s v="Female"/>
    <x v="5"/>
    <n v="91.54"/>
    <n v="4"/>
    <n v="18.308"/>
    <n v="384.46800000000002"/>
    <s v="3/23/2019"/>
    <d v="1899-12-30T19:20:00"/>
    <s v="Credit card"/>
    <n v="366.16"/>
    <n v="4.7619047620000003"/>
    <n v="18.308"/>
    <n v="4.8"/>
    <d v="2019-03-23T00:00:00"/>
    <x v="1"/>
    <x v="8"/>
  </r>
  <r>
    <s v="584-86-7256"/>
    <x v="1"/>
    <x v="1"/>
    <x v="0"/>
    <s v="Male"/>
    <x v="3"/>
    <n v="34.56"/>
    <n v="7"/>
    <n v="12.096"/>
    <n v="254.01599999999999"/>
    <d v="2019-11-03T00:00:00"/>
    <d v="1899-12-30T16:07:00"/>
    <s v="Credit card"/>
    <n v="241.92"/>
    <n v="4.7619047620000003"/>
    <n v="12.096"/>
    <n v="7.3"/>
    <d v="2019-03-11T00:00:00"/>
    <x v="1"/>
    <x v="7"/>
  </r>
  <r>
    <s v="746-94-0204"/>
    <x v="0"/>
    <x v="0"/>
    <x v="1"/>
    <s v="Male"/>
    <x v="5"/>
    <n v="83.24"/>
    <n v="9"/>
    <n v="37.457999999999998"/>
    <n v="786.61800000000005"/>
    <s v="1/29/2019"/>
    <d v="1899-12-30T11:56:00"/>
    <s v="Credit card"/>
    <n v="749.16"/>
    <n v="4.7619047620000003"/>
    <n v="37.457999999999998"/>
    <n v="7.4"/>
    <d v="2019-01-29T00:00:00"/>
    <x v="0"/>
    <x v="5"/>
  </r>
  <r>
    <s v="214-17-6927"/>
    <x v="1"/>
    <x v="1"/>
    <x v="1"/>
    <s v="Female"/>
    <x v="4"/>
    <n v="16.48"/>
    <n v="6"/>
    <n v="4.944"/>
    <n v="103.824"/>
    <d v="2019-07-02T00:00:00"/>
    <d v="1899-12-30T18:23:00"/>
    <s v="Ewallet"/>
    <n v="98.88"/>
    <n v="4.7619047620000003"/>
    <n v="4.944"/>
    <n v="9.9"/>
    <d v="2019-02-07T00:00:00"/>
    <x v="2"/>
    <x v="3"/>
  </r>
  <r>
    <s v="400-89-4171"/>
    <x v="1"/>
    <x v="1"/>
    <x v="1"/>
    <s v="Female"/>
    <x v="3"/>
    <n v="80.97"/>
    <n v="8"/>
    <n v="32.387999999999998"/>
    <n v="680.14800000000002"/>
    <s v="1/28/2019"/>
    <d v="1899-12-30T13:05:00"/>
    <s v="Cash"/>
    <n v="647.76"/>
    <n v="4.7619047620000003"/>
    <n v="32.387999999999998"/>
    <n v="9.3000000000000007"/>
    <d v="2019-01-28T00:00:00"/>
    <x v="0"/>
    <x v="0"/>
  </r>
  <r>
    <s v="782-95-9291"/>
    <x v="0"/>
    <x v="0"/>
    <x v="0"/>
    <s v="Male"/>
    <x v="4"/>
    <n v="92.29"/>
    <n v="5"/>
    <n v="23.072500000000002"/>
    <n v="484.52249999999998"/>
    <s v="2/20/2019"/>
    <d v="1899-12-30T15:55:00"/>
    <s v="Credit card"/>
    <n v="461.45"/>
    <n v="4.7619047620000003"/>
    <n v="23.072500000000002"/>
    <n v="9"/>
    <d v="2019-02-20T00:00:00"/>
    <x v="2"/>
    <x v="9"/>
  </r>
  <r>
    <s v="279-74-2924"/>
    <x v="2"/>
    <x v="2"/>
    <x v="0"/>
    <s v="Male"/>
    <x v="1"/>
    <n v="72.17"/>
    <n v="1"/>
    <n v="3.6084999999999998"/>
    <n v="75.778499999999994"/>
    <d v="2019-04-01T00:00:00"/>
    <d v="1899-12-30T19:40:00"/>
    <s v="Cash"/>
    <n v="72.17"/>
    <n v="4.7619047620000003"/>
    <n v="3.6084999999999998"/>
    <n v="6.1"/>
    <d v="2019-01-04T00:00:00"/>
    <x v="0"/>
    <x v="8"/>
  </r>
  <r>
    <s v="307-85-2293"/>
    <x v="2"/>
    <x v="2"/>
    <x v="1"/>
    <s v="Male"/>
    <x v="2"/>
    <n v="50.28"/>
    <n v="5"/>
    <n v="12.57"/>
    <n v="263.97000000000003"/>
    <d v="2019-07-03T00:00:00"/>
    <d v="1899-12-30T13:58:00"/>
    <s v="Ewallet"/>
    <n v="251.4"/>
    <n v="4.7619047620000003"/>
    <n v="12.57"/>
    <n v="9.6999999999999993"/>
    <d v="2019-03-07T00:00:00"/>
    <x v="1"/>
    <x v="0"/>
  </r>
  <r>
    <s v="743-04-1105"/>
    <x v="2"/>
    <x v="2"/>
    <x v="0"/>
    <s v="Male"/>
    <x v="0"/>
    <n v="97.22"/>
    <n v="9"/>
    <n v="43.749000000000002"/>
    <n v="918.72900000000004"/>
    <s v="3/30/2019"/>
    <d v="1899-12-30T14:43:00"/>
    <s v="Ewallet"/>
    <n v="874.98"/>
    <n v="4.7619047620000003"/>
    <n v="43.749000000000002"/>
    <n v="6"/>
    <d v="2019-03-30T00:00:00"/>
    <x v="1"/>
    <x v="4"/>
  </r>
  <r>
    <s v="423-57-2993"/>
    <x v="2"/>
    <x v="2"/>
    <x v="1"/>
    <s v="Male"/>
    <x v="3"/>
    <n v="93.39"/>
    <n v="6"/>
    <n v="28.016999999999999"/>
    <n v="588.35699999999997"/>
    <s v="3/27/2019"/>
    <d v="1899-12-30T19:18:00"/>
    <s v="Ewallet"/>
    <n v="560.34"/>
    <n v="4.7619047620000003"/>
    <n v="28.016999999999999"/>
    <n v="10"/>
    <d v="2019-03-27T00:00:00"/>
    <x v="1"/>
    <x v="8"/>
  </r>
  <r>
    <s v="894-41-5205"/>
    <x v="1"/>
    <x v="1"/>
    <x v="1"/>
    <s v="Female"/>
    <x v="4"/>
    <n v="43.18"/>
    <n v="8"/>
    <n v="17.271999999999998"/>
    <n v="362.71199999999999"/>
    <s v="1/19/2019"/>
    <d v="1899-12-30T19:39:00"/>
    <s v="Credit card"/>
    <n v="345.44"/>
    <n v="4.7619047620000003"/>
    <n v="17.271999999999998"/>
    <n v="8.3000000000000007"/>
    <d v="2019-01-19T00:00:00"/>
    <x v="0"/>
    <x v="8"/>
  </r>
  <r>
    <s v="275-28-0149"/>
    <x v="0"/>
    <x v="0"/>
    <x v="1"/>
    <s v="Male"/>
    <x v="3"/>
    <n v="63.69"/>
    <n v="1"/>
    <n v="3.1844999999999999"/>
    <n v="66.874499999999998"/>
    <s v="2/25/2019"/>
    <d v="1899-12-30T16:21:00"/>
    <s v="Cash"/>
    <n v="63.69"/>
    <n v="4.7619047620000003"/>
    <n v="3.1844999999999999"/>
    <n v="6"/>
    <d v="2019-02-25T00:00:00"/>
    <x v="2"/>
    <x v="7"/>
  </r>
  <r>
    <s v="101-17-6199"/>
    <x v="0"/>
    <x v="0"/>
    <x v="1"/>
    <s v="Male"/>
    <x v="4"/>
    <n v="45.79"/>
    <n v="7"/>
    <n v="16.026499999999999"/>
    <n v="336.55650000000003"/>
    <s v="3/13/2019"/>
    <d v="1899-12-30T19:44:00"/>
    <s v="Credit card"/>
    <n v="320.52999999999997"/>
    <n v="4.7619047620000003"/>
    <n v="16.026499999999999"/>
    <n v="7"/>
    <d v="2019-03-13T00:00:00"/>
    <x v="1"/>
    <x v="8"/>
  </r>
  <r>
    <s v="423-80-0988"/>
    <x v="1"/>
    <x v="1"/>
    <x v="1"/>
    <s v="Male"/>
    <x v="3"/>
    <n v="76.400000000000006"/>
    <n v="2"/>
    <n v="7.64"/>
    <n v="160.44"/>
    <s v="1/30/2019"/>
    <d v="1899-12-30T19:42:00"/>
    <s v="Ewallet"/>
    <n v="152.80000000000001"/>
    <n v="4.7619047620000003"/>
    <n v="7.64"/>
    <n v="6.5"/>
    <d v="2019-01-30T00:00:00"/>
    <x v="0"/>
    <x v="8"/>
  </r>
  <r>
    <s v="548-46-9322"/>
    <x v="2"/>
    <x v="2"/>
    <x v="1"/>
    <s v="Male"/>
    <x v="4"/>
    <n v="39.9"/>
    <n v="10"/>
    <n v="19.95"/>
    <n v="418.95"/>
    <s v="2/20/2019"/>
    <d v="1899-12-30T15:24:00"/>
    <s v="Credit card"/>
    <n v="399"/>
    <n v="4.7619047620000003"/>
    <n v="19.95"/>
    <n v="5.9"/>
    <d v="2019-02-20T00:00:00"/>
    <x v="2"/>
    <x v="9"/>
  </r>
  <r>
    <s v="505-02-0892"/>
    <x v="2"/>
    <x v="2"/>
    <x v="0"/>
    <s v="Male"/>
    <x v="0"/>
    <n v="42.57"/>
    <n v="8"/>
    <n v="17.027999999999999"/>
    <n v="357.58800000000002"/>
    <s v="2/25/2019"/>
    <d v="1899-12-30T14:12:00"/>
    <s v="Ewallet"/>
    <n v="340.56"/>
    <n v="4.7619047620000003"/>
    <n v="17.027999999999999"/>
    <n v="5.6"/>
    <d v="2019-02-25T00:00:00"/>
    <x v="2"/>
    <x v="4"/>
  </r>
  <r>
    <s v="234-65-2137"/>
    <x v="1"/>
    <x v="1"/>
    <x v="1"/>
    <s v="Male"/>
    <x v="2"/>
    <n v="95.58"/>
    <n v="10"/>
    <n v="47.79"/>
    <n v="1003.59"/>
    <s v="1/16/2019"/>
    <d v="1899-12-30T13:32:00"/>
    <s v="Cash"/>
    <n v="955.8"/>
    <n v="4.7619047620000003"/>
    <n v="47.79"/>
    <n v="4.8"/>
    <d v="2019-01-16T00:00:00"/>
    <x v="0"/>
    <x v="0"/>
  </r>
  <r>
    <s v="687-47-8271"/>
    <x v="0"/>
    <x v="0"/>
    <x v="1"/>
    <s v="Male"/>
    <x v="5"/>
    <n v="98.98"/>
    <n v="10"/>
    <n v="49.49"/>
    <n v="1039.29"/>
    <d v="2019-08-02T00:00:00"/>
    <d v="1899-12-30T16:20:00"/>
    <s v="Credit card"/>
    <n v="989.8"/>
    <n v="4.7619047620000003"/>
    <n v="49.49"/>
    <n v="8.6999999999999993"/>
    <d v="2019-02-08T00:00:00"/>
    <x v="2"/>
    <x v="7"/>
  </r>
  <r>
    <s v="796-32-9050"/>
    <x v="0"/>
    <x v="0"/>
    <x v="1"/>
    <s v="Male"/>
    <x v="4"/>
    <n v="51.28"/>
    <n v="6"/>
    <n v="15.384"/>
    <n v="323.06400000000002"/>
    <s v="1/19/2019"/>
    <d v="1899-12-30T16:31:00"/>
    <s v="Cash"/>
    <n v="307.68"/>
    <n v="4.7619047620000003"/>
    <n v="15.384"/>
    <n v="6.5"/>
    <d v="2019-01-19T00:00:00"/>
    <x v="0"/>
    <x v="7"/>
  </r>
  <r>
    <s v="105-31-1824"/>
    <x v="0"/>
    <x v="0"/>
    <x v="0"/>
    <s v="Male"/>
    <x v="3"/>
    <n v="69.52"/>
    <n v="7"/>
    <n v="24.332000000000001"/>
    <n v="510.97199999999998"/>
    <d v="2019-01-02T00:00:00"/>
    <d v="1899-12-30T15:10:00"/>
    <s v="Credit card"/>
    <n v="486.64"/>
    <n v="4.7619047620000003"/>
    <n v="24.332000000000001"/>
    <n v="8.5"/>
    <d v="2019-02-01T00:00:00"/>
    <x v="2"/>
    <x v="9"/>
  </r>
  <r>
    <s v="249-42-3782"/>
    <x v="0"/>
    <x v="0"/>
    <x v="1"/>
    <s v="Male"/>
    <x v="0"/>
    <n v="70.010000000000005"/>
    <n v="5"/>
    <n v="17.502500000000001"/>
    <n v="367.55250000000001"/>
    <d v="2019-03-01T00:00:00"/>
    <d v="1899-12-30T11:36:00"/>
    <s v="Ewallet"/>
    <n v="350.05"/>
    <n v="4.7619047620000003"/>
    <n v="17.502500000000001"/>
    <n v="5.5"/>
    <d v="2019-01-03T00:00:00"/>
    <x v="0"/>
    <x v="5"/>
  </r>
  <r>
    <s v="316-55-4634"/>
    <x v="2"/>
    <x v="2"/>
    <x v="0"/>
    <s v="Male"/>
    <x v="4"/>
    <n v="80.05"/>
    <n v="5"/>
    <n v="20.012499999999999"/>
    <n v="420.26249999999999"/>
    <s v="1/26/2019"/>
    <d v="1899-12-30T12:45:00"/>
    <s v="Credit card"/>
    <n v="400.25"/>
    <n v="4.7619047620000003"/>
    <n v="20.012499999999999"/>
    <n v="9.4"/>
    <d v="2019-01-26T00:00:00"/>
    <x v="0"/>
    <x v="10"/>
  </r>
  <r>
    <s v="733-33-4967"/>
    <x v="1"/>
    <x v="1"/>
    <x v="1"/>
    <s v="Male"/>
    <x v="1"/>
    <n v="20.85"/>
    <n v="8"/>
    <n v="8.34"/>
    <n v="175.14"/>
    <d v="2019-03-03T00:00:00"/>
    <d v="1899-12-30T19:17:00"/>
    <s v="Cash"/>
    <n v="166.8"/>
    <n v="4.7619047620000003"/>
    <n v="8.34"/>
    <n v="6.3"/>
    <d v="2019-03-03T00:00:00"/>
    <x v="1"/>
    <x v="8"/>
  </r>
  <r>
    <s v="608-27-6295"/>
    <x v="2"/>
    <x v="2"/>
    <x v="0"/>
    <s v="Male"/>
    <x v="1"/>
    <n v="52.89"/>
    <n v="6"/>
    <n v="15.867000000000001"/>
    <n v="333.20699999999999"/>
    <s v="1/19/2019"/>
    <d v="1899-12-30T17:34:00"/>
    <s v="Credit card"/>
    <n v="317.33999999999997"/>
    <n v="4.7619047620000003"/>
    <n v="15.867000000000001"/>
    <n v="9.8000000000000007"/>
    <d v="2019-01-19T00:00:00"/>
    <x v="0"/>
    <x v="6"/>
  </r>
  <r>
    <s v="414-12-7047"/>
    <x v="2"/>
    <x v="2"/>
    <x v="1"/>
    <s v="Male"/>
    <x v="4"/>
    <n v="19.79"/>
    <n v="8"/>
    <n v="7.9160000000000004"/>
    <n v="166.23599999999999"/>
    <s v="1/18/2019"/>
    <d v="1899-12-30T12:04:00"/>
    <s v="Ewallet"/>
    <n v="158.32"/>
    <n v="4.7619047620000003"/>
    <n v="7.9160000000000004"/>
    <n v="8.6999999999999993"/>
    <d v="2019-01-18T00:00:00"/>
    <x v="0"/>
    <x v="10"/>
  </r>
  <r>
    <s v="827-26-2100"/>
    <x v="0"/>
    <x v="0"/>
    <x v="0"/>
    <s v="Male"/>
    <x v="2"/>
    <n v="33.840000000000003"/>
    <n v="9"/>
    <n v="15.228"/>
    <n v="319.78800000000001"/>
    <s v="3/21/2019"/>
    <d v="1899-12-30T16:21:00"/>
    <s v="Ewallet"/>
    <n v="304.56"/>
    <n v="4.7619047620000003"/>
    <n v="15.228"/>
    <n v="8.8000000000000007"/>
    <d v="2019-03-21T00:00:00"/>
    <x v="1"/>
    <x v="7"/>
  </r>
  <r>
    <s v="175-54-2529"/>
    <x v="0"/>
    <x v="0"/>
    <x v="0"/>
    <s v="Male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  <d v="2019-03-03T00:00:00"/>
    <x v="1"/>
    <x v="6"/>
  </r>
  <r>
    <s v="139-52-2867"/>
    <x v="1"/>
    <x v="1"/>
    <x v="1"/>
    <s v="Female"/>
    <x v="5"/>
    <n v="22.51"/>
    <n v="7"/>
    <n v="7.8784999999999998"/>
    <n v="165.4485"/>
    <s v="2/13/2019"/>
    <d v="1899-12-30T10:50:00"/>
    <s v="Credit card"/>
    <n v="157.57"/>
    <n v="4.7619047620000003"/>
    <n v="7.8784999999999998"/>
    <n v="4.8"/>
    <d v="2019-02-13T00:00:00"/>
    <x v="2"/>
    <x v="1"/>
  </r>
  <r>
    <s v="407-63-8975"/>
    <x v="0"/>
    <x v="0"/>
    <x v="1"/>
    <s v="Male"/>
    <x v="4"/>
    <n v="73.88"/>
    <n v="6"/>
    <n v="22.164000000000001"/>
    <n v="465.44400000000002"/>
    <s v="3/23/2019"/>
    <d v="1899-12-30T19:16:00"/>
    <s v="Ewallet"/>
    <n v="443.28"/>
    <n v="4.7619047620000003"/>
    <n v="22.164000000000001"/>
    <n v="4.4000000000000004"/>
    <d v="2019-03-23T00:00:00"/>
    <x v="1"/>
    <x v="8"/>
  </r>
  <r>
    <s v="342-65-4817"/>
    <x v="1"/>
    <x v="1"/>
    <x v="0"/>
    <s v="Male"/>
    <x v="0"/>
    <n v="86.8"/>
    <n v="3"/>
    <n v="13.02"/>
    <n v="273.42"/>
    <s v="1/28/2019"/>
    <d v="1899-12-30T16:47:00"/>
    <s v="Ewallet"/>
    <n v="260.39999999999998"/>
    <n v="4.7619047620000003"/>
    <n v="13.02"/>
    <n v="9.9"/>
    <d v="2019-01-28T00:00:00"/>
    <x v="0"/>
    <x v="7"/>
  </r>
  <r>
    <s v="130-98-8941"/>
    <x v="1"/>
    <x v="1"/>
    <x v="1"/>
    <s v="Male"/>
    <x v="5"/>
    <n v="64.260000000000005"/>
    <n v="7"/>
    <n v="22.491"/>
    <n v="472.31099999999998"/>
    <d v="2019-09-02T00:00:00"/>
    <d v="1899-12-30T10:00:00"/>
    <s v="Cash"/>
    <n v="449.82"/>
    <n v="4.7619047620000003"/>
    <n v="22.491"/>
    <n v="5.7"/>
    <d v="2019-02-09T00:00:00"/>
    <x v="2"/>
    <x v="1"/>
  </r>
  <r>
    <s v="434-83-9547"/>
    <x v="1"/>
    <x v="1"/>
    <x v="0"/>
    <s v="Male"/>
    <x v="4"/>
    <n v="38.47"/>
    <n v="8"/>
    <n v="15.388"/>
    <n v="323.14800000000002"/>
    <s v="1/23/2019"/>
    <d v="1899-12-30T11:51:00"/>
    <s v="Cash"/>
    <n v="307.76"/>
    <n v="4.7619047620000003"/>
    <n v="15.388"/>
    <n v="7.7"/>
    <d v="2019-01-23T00:00:00"/>
    <x v="0"/>
    <x v="5"/>
  </r>
  <r>
    <s v="851-28-6367"/>
    <x v="0"/>
    <x v="0"/>
    <x v="0"/>
    <s v="Male"/>
    <x v="3"/>
    <n v="15.5"/>
    <n v="10"/>
    <n v="7.75"/>
    <n v="162.75"/>
    <s v="3/23/2019"/>
    <d v="1899-12-30T10:55:00"/>
    <s v="Ewallet"/>
    <n v="155"/>
    <n v="4.7619047620000003"/>
    <n v="7.75"/>
    <n v="8"/>
    <d v="2019-03-23T00:00:00"/>
    <x v="1"/>
    <x v="1"/>
  </r>
  <r>
    <s v="824-88-3614"/>
    <x v="1"/>
    <x v="1"/>
    <x v="1"/>
    <s v="Male"/>
    <x v="0"/>
    <n v="34.31"/>
    <n v="8"/>
    <n v="13.724"/>
    <n v="288.20400000000001"/>
    <s v="1/25/2019"/>
    <d v="1899-12-30T15:00:00"/>
    <s v="Ewallet"/>
    <n v="274.48"/>
    <n v="4.7619047620000003"/>
    <n v="13.724"/>
    <n v="5.7"/>
    <d v="2019-01-25T00:00:00"/>
    <x v="0"/>
    <x v="9"/>
  </r>
  <r>
    <s v="586-25-0848"/>
    <x v="0"/>
    <x v="0"/>
    <x v="1"/>
    <s v="Female"/>
    <x v="3"/>
    <n v="12.34"/>
    <n v="7"/>
    <n v="4.319"/>
    <n v="90.698999999999998"/>
    <d v="2019-04-03T00:00:00"/>
    <d v="1899-12-30T11:19:00"/>
    <s v="Credit card"/>
    <n v="86.38"/>
    <n v="4.7619047620000003"/>
    <n v="4.319"/>
    <n v="6.7"/>
    <d v="2019-03-04T00:00:00"/>
    <x v="1"/>
    <x v="5"/>
  </r>
  <r>
    <s v="895-66-0685"/>
    <x v="2"/>
    <x v="2"/>
    <x v="0"/>
    <s v="Male"/>
    <x v="4"/>
    <n v="18.079999999999998"/>
    <n v="3"/>
    <n v="2.7120000000000002"/>
    <n v="56.951999999999998"/>
    <d v="2019-05-03T00:00:00"/>
    <d v="1899-12-30T19:46:00"/>
    <s v="Ewallet"/>
    <n v="54.24"/>
    <n v="4.7619047620000003"/>
    <n v="2.7120000000000002"/>
    <n v="8"/>
    <d v="2019-03-05T00:00:00"/>
    <x v="1"/>
    <x v="8"/>
  </r>
  <r>
    <s v="305-14-0245"/>
    <x v="2"/>
    <x v="2"/>
    <x v="0"/>
    <s v="Female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  <d v="2019-03-03T00:00:00"/>
    <x v="1"/>
    <x v="8"/>
  </r>
  <r>
    <s v="732-04-5373"/>
    <x v="2"/>
    <x v="2"/>
    <x v="0"/>
    <s v="Male"/>
    <x v="2"/>
    <n v="46.47"/>
    <n v="4"/>
    <n v="9.2940000000000005"/>
    <n v="195.17400000000001"/>
    <d v="2019-08-02T00:00:00"/>
    <d v="1899-12-30T10:53:00"/>
    <s v="Cash"/>
    <n v="185.88"/>
    <n v="4.7619047620000003"/>
    <n v="9.2940000000000005"/>
    <n v="7"/>
    <d v="2019-02-08T00:00:00"/>
    <x v="2"/>
    <x v="1"/>
  </r>
  <r>
    <s v="400-60-7251"/>
    <x v="0"/>
    <x v="0"/>
    <x v="1"/>
    <s v="Male"/>
    <x v="2"/>
    <n v="74.069999999999993"/>
    <n v="1"/>
    <n v="3.7035"/>
    <n v="77.773499999999999"/>
    <d v="2019-10-02T00:00:00"/>
    <d v="1899-12-30T12:50:00"/>
    <s v="Ewallet"/>
    <n v="74.069999999999993"/>
    <n v="4.7619047620000003"/>
    <n v="3.7035"/>
    <n v="9.9"/>
    <d v="2019-02-10T00:00:00"/>
    <x v="2"/>
    <x v="10"/>
  </r>
  <r>
    <s v="593-65-1552"/>
    <x v="1"/>
    <x v="1"/>
    <x v="1"/>
    <s v="Female"/>
    <x v="2"/>
    <n v="69.81"/>
    <n v="4"/>
    <n v="13.962"/>
    <n v="293.202"/>
    <s v="1/28/2019"/>
    <d v="1899-12-30T20:50:00"/>
    <s v="Credit card"/>
    <n v="279.24"/>
    <n v="4.7619047620000003"/>
    <n v="13.962"/>
    <n v="5.9"/>
    <d v="2019-01-28T00:00:00"/>
    <x v="0"/>
    <x v="2"/>
  </r>
  <r>
    <s v="284-34-9626"/>
    <x v="2"/>
    <x v="2"/>
    <x v="1"/>
    <s v="Female"/>
    <x v="2"/>
    <n v="77.040000000000006"/>
    <n v="3"/>
    <n v="11.555999999999999"/>
    <n v="242.67599999999999"/>
    <d v="2019-11-02T00:00:00"/>
    <d v="1899-12-30T10:39:00"/>
    <s v="Credit card"/>
    <n v="231.12"/>
    <n v="4.7619047620000003"/>
    <n v="11.555999999999999"/>
    <n v="7.2"/>
    <d v="2019-02-11T00:00:00"/>
    <x v="2"/>
    <x v="1"/>
  </r>
  <r>
    <s v="437-58-8131"/>
    <x v="2"/>
    <x v="2"/>
    <x v="1"/>
    <s v="Female"/>
    <x v="5"/>
    <n v="73.52"/>
    <n v="2"/>
    <n v="7.3520000000000003"/>
    <n v="154.392"/>
    <s v="1/15/2019"/>
    <d v="1899-12-30T13:41:00"/>
    <s v="Ewallet"/>
    <n v="147.04"/>
    <n v="4.7619047620000003"/>
    <n v="7.3520000000000003"/>
    <n v="4.5999999999999996"/>
    <d v="2019-01-15T00:00:00"/>
    <x v="0"/>
    <x v="0"/>
  </r>
  <r>
    <s v="286-43-6208"/>
    <x v="1"/>
    <x v="1"/>
    <x v="1"/>
    <s v="Female"/>
    <x v="4"/>
    <n v="87.8"/>
    <n v="9"/>
    <n v="39.51"/>
    <n v="829.71"/>
    <s v="3/16/2019"/>
    <d v="1899-12-30T19:08:00"/>
    <s v="Cash"/>
    <n v="790.2"/>
    <n v="4.7619047620000003"/>
    <n v="39.51"/>
    <n v="9.1999999999999993"/>
    <d v="2019-03-16T00:00:00"/>
    <x v="1"/>
    <x v="8"/>
  </r>
  <r>
    <s v="641-43-2399"/>
    <x v="2"/>
    <x v="2"/>
    <x v="1"/>
    <s v="Male"/>
    <x v="2"/>
    <n v="25.55"/>
    <n v="4"/>
    <n v="5.1100000000000003"/>
    <n v="107.31"/>
    <s v="1/26/2019"/>
    <d v="1899-12-30T20:23:00"/>
    <s v="Ewallet"/>
    <n v="102.2"/>
    <n v="4.7619047620000003"/>
    <n v="5.1100000000000003"/>
    <n v="5.7"/>
    <d v="2019-01-26T00:00:00"/>
    <x v="0"/>
    <x v="2"/>
  </r>
  <r>
    <s v="831-07-6050"/>
    <x v="0"/>
    <x v="0"/>
    <x v="1"/>
    <s v="Male"/>
    <x v="1"/>
    <n v="32.71"/>
    <n v="5"/>
    <n v="8.1775000000000002"/>
    <n v="171.72749999999999"/>
    <s v="3/19/2019"/>
    <d v="1899-12-30T11:30:00"/>
    <s v="Credit card"/>
    <n v="163.55000000000001"/>
    <n v="4.7619047620000003"/>
    <n v="8.1775000000000002"/>
    <n v="9.9"/>
    <d v="2019-03-19T00:00:00"/>
    <x v="1"/>
    <x v="5"/>
  </r>
  <r>
    <s v="556-86-3144"/>
    <x v="1"/>
    <x v="1"/>
    <x v="0"/>
    <s v="Female"/>
    <x v="5"/>
    <n v="74.290000000000006"/>
    <n v="1"/>
    <n v="3.7145000000000001"/>
    <n v="78.004499999999993"/>
    <s v="1/13/2019"/>
    <d v="1899-12-30T19:30:00"/>
    <s v="Cash"/>
    <n v="74.290000000000006"/>
    <n v="4.7619047620000003"/>
    <n v="3.7145000000000001"/>
    <n v="5"/>
    <d v="2019-01-13T00:00:00"/>
    <x v="0"/>
    <x v="8"/>
  </r>
  <r>
    <s v="848-24-9445"/>
    <x v="1"/>
    <x v="1"/>
    <x v="0"/>
    <s v="Male"/>
    <x v="0"/>
    <n v="43.7"/>
    <n v="2"/>
    <n v="4.37"/>
    <n v="91.77"/>
    <s v="3/26/2019"/>
    <d v="1899-12-30T18:03:00"/>
    <s v="Cash"/>
    <n v="87.4"/>
    <n v="4.7619047620000003"/>
    <n v="4.37"/>
    <n v="4.9000000000000004"/>
    <d v="2019-03-26T00:00:00"/>
    <x v="1"/>
    <x v="3"/>
  </r>
  <r>
    <s v="856-22-8149"/>
    <x v="0"/>
    <x v="0"/>
    <x v="1"/>
    <s v="Female"/>
    <x v="2"/>
    <n v="25.29"/>
    <n v="1"/>
    <n v="1.2645"/>
    <n v="26.554500000000001"/>
    <s v="3/23/2019"/>
    <d v="1899-12-30T10:13:00"/>
    <s v="Ewallet"/>
    <n v="25.29"/>
    <n v="4.7619047620000003"/>
    <n v="1.2645"/>
    <n v="6.1"/>
    <d v="2019-03-23T00:00:00"/>
    <x v="1"/>
    <x v="1"/>
  </r>
  <r>
    <s v="699-01-4164"/>
    <x v="1"/>
    <x v="1"/>
    <x v="1"/>
    <s v="Male"/>
    <x v="0"/>
    <n v="41.5"/>
    <n v="4"/>
    <n v="8.3000000000000007"/>
    <n v="174.3"/>
    <d v="2019-12-03T00:00:00"/>
    <d v="1899-12-30T19:58:00"/>
    <s v="Credit card"/>
    <n v="166"/>
    <n v="4.7619047620000003"/>
    <n v="8.3000000000000007"/>
    <n v="8.1999999999999993"/>
    <d v="2019-03-12T00:00:00"/>
    <x v="1"/>
    <x v="8"/>
  </r>
  <r>
    <s v="420-11-4919"/>
    <x v="1"/>
    <x v="1"/>
    <x v="0"/>
    <s v="Female"/>
    <x v="4"/>
    <n v="71.39"/>
    <n v="5"/>
    <n v="17.8475"/>
    <n v="374.79750000000001"/>
    <s v="2/17/2019"/>
    <d v="1899-12-30T19:57:00"/>
    <s v="Credit card"/>
    <n v="356.95"/>
    <n v="4.7619047620000003"/>
    <n v="17.8475"/>
    <n v="5.5"/>
    <d v="2019-02-17T00:00:00"/>
    <x v="2"/>
    <x v="8"/>
  </r>
  <r>
    <s v="606-80-4905"/>
    <x v="1"/>
    <x v="1"/>
    <x v="0"/>
    <s v="Female"/>
    <x v="3"/>
    <n v="19.149999999999999"/>
    <n v="6"/>
    <n v="5.7450000000000001"/>
    <n v="120.645"/>
    <s v="1/29/2019"/>
    <d v="1899-12-30T10:01:00"/>
    <s v="Credit card"/>
    <n v="114.9"/>
    <n v="4.7619047620000003"/>
    <n v="5.7450000000000001"/>
    <n v="6.8"/>
    <d v="2019-01-29T00:00:00"/>
    <x v="0"/>
    <x v="1"/>
  </r>
  <r>
    <s v="542-41-0513"/>
    <x v="2"/>
    <x v="2"/>
    <x v="0"/>
    <s v="Female"/>
    <x v="1"/>
    <n v="57.49"/>
    <n v="4"/>
    <n v="11.497999999999999"/>
    <n v="241.458"/>
    <s v="3/15/2019"/>
    <d v="1899-12-30T11:57:00"/>
    <s v="Cash"/>
    <n v="229.96"/>
    <n v="4.7619047620000003"/>
    <n v="11.497999999999999"/>
    <n v="6.6"/>
    <d v="2019-03-15T00:00:00"/>
    <x v="1"/>
    <x v="5"/>
  </r>
  <r>
    <s v="426-39-2418"/>
    <x v="1"/>
    <x v="1"/>
    <x v="1"/>
    <s v="Male"/>
    <x v="1"/>
    <n v="61.41"/>
    <n v="7"/>
    <n v="21.493500000000001"/>
    <n v="451.36349999999999"/>
    <s v="1/14/2019"/>
    <d v="1899-12-30T10:02:00"/>
    <s v="Cash"/>
    <n v="429.87"/>
    <n v="4.7619047620000003"/>
    <n v="21.493500000000001"/>
    <n v="9.8000000000000007"/>
    <d v="2019-01-14T00:00:00"/>
    <x v="0"/>
    <x v="1"/>
  </r>
  <r>
    <s v="875-46-5808"/>
    <x v="2"/>
    <x v="2"/>
    <x v="0"/>
    <s v="Male"/>
    <x v="0"/>
    <n v="25.9"/>
    <n v="10"/>
    <n v="12.95"/>
    <n v="271.95"/>
    <d v="2019-06-02T00:00:00"/>
    <d v="1899-12-30T14:51:00"/>
    <s v="Ewallet"/>
    <n v="259"/>
    <n v="4.7619047620000003"/>
    <n v="12.95"/>
    <n v="8.6999999999999993"/>
    <d v="2019-02-06T00:00:00"/>
    <x v="2"/>
    <x v="4"/>
  </r>
  <r>
    <s v="394-43-4238"/>
    <x v="2"/>
    <x v="2"/>
    <x v="0"/>
    <s v="Male"/>
    <x v="2"/>
    <n v="17.77"/>
    <n v="5"/>
    <n v="4.4424999999999999"/>
    <n v="93.292500000000004"/>
    <s v="2/15/2019"/>
    <d v="1899-12-30T12:42:00"/>
    <s v="Credit card"/>
    <n v="88.85"/>
    <n v="4.7619047620000003"/>
    <n v="4.4424999999999999"/>
    <n v="5.4"/>
    <d v="2019-02-15T00:00:00"/>
    <x v="2"/>
    <x v="10"/>
  </r>
  <r>
    <s v="749-24-1565"/>
    <x v="0"/>
    <x v="0"/>
    <x v="1"/>
    <s v="Female"/>
    <x v="0"/>
    <n v="23.03"/>
    <n v="9"/>
    <n v="10.3635"/>
    <n v="217.6335"/>
    <d v="2019-03-01T00:00:00"/>
    <d v="1899-12-30T12:02:00"/>
    <s v="Ewallet"/>
    <n v="207.27"/>
    <n v="4.7619047620000003"/>
    <n v="10.3635"/>
    <n v="7.9"/>
    <d v="2019-01-03T00:00:00"/>
    <x v="0"/>
    <x v="10"/>
  </r>
  <r>
    <s v="672-51-8681"/>
    <x v="1"/>
    <x v="1"/>
    <x v="0"/>
    <s v="Female"/>
    <x v="1"/>
    <n v="66.650000000000006"/>
    <n v="9"/>
    <n v="29.9925"/>
    <n v="629.84249999999997"/>
    <d v="2019-04-01T00:00:00"/>
    <d v="1899-12-30T18:19:00"/>
    <s v="Credit card"/>
    <n v="599.85"/>
    <n v="4.7619047620000003"/>
    <n v="29.9925"/>
    <n v="9.6999999999999993"/>
    <d v="2019-01-04T00:00:00"/>
    <x v="0"/>
    <x v="3"/>
  </r>
  <r>
    <s v="263-87-5680"/>
    <x v="1"/>
    <x v="1"/>
    <x v="0"/>
    <s v="Female"/>
    <x v="2"/>
    <n v="28.53"/>
    <n v="10"/>
    <n v="14.265000000000001"/>
    <n v="299.565"/>
    <s v="3/18/2019"/>
    <d v="1899-12-30T17:38:00"/>
    <s v="Ewallet"/>
    <n v="285.3"/>
    <n v="4.7619047620000003"/>
    <n v="14.265000000000001"/>
    <n v="7.8"/>
    <d v="2019-03-18T00:00:00"/>
    <x v="1"/>
    <x v="6"/>
  </r>
  <r>
    <s v="573-58-9734"/>
    <x v="2"/>
    <x v="2"/>
    <x v="1"/>
    <s v="Female"/>
    <x v="5"/>
    <n v="30.37"/>
    <n v="3"/>
    <n v="4.5555000000000003"/>
    <n v="95.665499999999994"/>
    <s v="3/28/2019"/>
    <d v="1899-12-30T13:41:00"/>
    <s v="Ewallet"/>
    <n v="91.11"/>
    <n v="4.7619047620000003"/>
    <n v="4.5555000000000003"/>
    <n v="5.0999999999999996"/>
    <d v="2019-03-28T00:00:00"/>
    <x v="1"/>
    <x v="0"/>
  </r>
  <r>
    <s v="817-69-8206"/>
    <x v="2"/>
    <x v="2"/>
    <x v="1"/>
    <s v="Female"/>
    <x v="1"/>
    <n v="99.73"/>
    <n v="9"/>
    <n v="44.878500000000003"/>
    <n v="942.44849999999997"/>
    <d v="2019-02-03T00:00:00"/>
    <d v="1899-12-30T19:42:00"/>
    <s v="Credit card"/>
    <n v="897.57"/>
    <n v="4.7619047620000003"/>
    <n v="44.878500000000003"/>
    <n v="6.5"/>
    <d v="2019-03-02T00:00:00"/>
    <x v="1"/>
    <x v="8"/>
  </r>
  <r>
    <s v="888-02-0338"/>
    <x v="0"/>
    <x v="0"/>
    <x v="1"/>
    <s v="Male"/>
    <x v="1"/>
    <n v="26.23"/>
    <n v="9"/>
    <n v="11.8035"/>
    <n v="247.87350000000001"/>
    <s v="1/25/2019"/>
    <d v="1899-12-30T20:24:00"/>
    <s v="Ewallet"/>
    <n v="236.07"/>
    <n v="4.7619047620000003"/>
    <n v="11.8035"/>
    <n v="5.9"/>
    <d v="2019-01-25T00:00:00"/>
    <x v="0"/>
    <x v="2"/>
  </r>
  <r>
    <s v="677-11-0152"/>
    <x v="1"/>
    <x v="1"/>
    <x v="1"/>
    <s v="Female"/>
    <x v="4"/>
    <n v="93.26"/>
    <n v="9"/>
    <n v="41.966999999999999"/>
    <n v="881.30700000000002"/>
    <s v="1/16/2019"/>
    <d v="1899-12-30T18:08:00"/>
    <s v="Cash"/>
    <n v="839.34"/>
    <n v="4.7619047620000003"/>
    <n v="41.966999999999999"/>
    <n v="8.8000000000000007"/>
    <d v="2019-01-16T00:00:00"/>
    <x v="0"/>
    <x v="3"/>
  </r>
  <r>
    <s v="142-63-6033"/>
    <x v="2"/>
    <x v="2"/>
    <x v="1"/>
    <s v="Male"/>
    <x v="2"/>
    <n v="92.36"/>
    <n v="5"/>
    <n v="23.09"/>
    <n v="484.89"/>
    <s v="3/20/2019"/>
    <d v="1899-12-30T19:17:00"/>
    <s v="Ewallet"/>
    <n v="461.8"/>
    <n v="4.7619047620000003"/>
    <n v="23.09"/>
    <n v="4.9000000000000004"/>
    <d v="2019-03-20T00:00:00"/>
    <x v="1"/>
    <x v="8"/>
  </r>
  <r>
    <s v="656-16-1063"/>
    <x v="2"/>
    <x v="2"/>
    <x v="1"/>
    <s v="Male"/>
    <x v="3"/>
    <n v="46.42"/>
    <n v="3"/>
    <n v="6.9630000000000001"/>
    <n v="146.22300000000001"/>
    <d v="2019-04-01T00:00:00"/>
    <d v="1899-12-30T13:24:00"/>
    <s v="Credit card"/>
    <n v="139.26"/>
    <n v="4.7619047620000003"/>
    <n v="6.9630000000000001"/>
    <n v="4.4000000000000004"/>
    <d v="2019-01-04T00:00:00"/>
    <x v="0"/>
    <x v="0"/>
  </r>
  <r>
    <s v="891-58-8335"/>
    <x v="2"/>
    <x v="2"/>
    <x v="0"/>
    <s v="Female"/>
    <x v="3"/>
    <n v="29.61"/>
    <n v="7"/>
    <n v="10.3635"/>
    <n v="217.6335"/>
    <d v="2019-11-03T00:00:00"/>
    <d v="1899-12-30T15:53:00"/>
    <s v="Cash"/>
    <n v="207.27"/>
    <n v="4.7619047620000003"/>
    <n v="10.3635"/>
    <n v="6.5"/>
    <d v="2019-03-11T00:00:00"/>
    <x v="1"/>
    <x v="9"/>
  </r>
  <r>
    <s v="802-43-8934"/>
    <x v="0"/>
    <x v="0"/>
    <x v="1"/>
    <s v="Male"/>
    <x v="2"/>
    <n v="18.28"/>
    <n v="1"/>
    <n v="0.91400000000000003"/>
    <n v="19.193999999999999"/>
    <s v="3/22/2019"/>
    <d v="1899-12-30T15:05:00"/>
    <s v="Credit card"/>
    <n v="18.28"/>
    <n v="4.7619047620000003"/>
    <n v="0.91400000000000003"/>
    <n v="8.3000000000000007"/>
    <d v="2019-03-22T00:00:00"/>
    <x v="1"/>
    <x v="9"/>
  </r>
  <r>
    <s v="560-30-5617"/>
    <x v="2"/>
    <x v="2"/>
    <x v="1"/>
    <s v="Female"/>
    <x v="3"/>
    <n v="24.77"/>
    <n v="5"/>
    <n v="6.1924999999999999"/>
    <n v="130.04249999999999"/>
    <s v="3/24/2019"/>
    <d v="1899-12-30T18:27:00"/>
    <s v="Cash"/>
    <n v="123.85"/>
    <n v="4.7619047620000003"/>
    <n v="6.1924999999999999"/>
    <n v="8.5"/>
    <d v="2019-03-24T00:00:00"/>
    <x v="1"/>
    <x v="3"/>
  </r>
  <r>
    <s v="319-74-2561"/>
    <x v="0"/>
    <x v="0"/>
    <x v="0"/>
    <s v="Female"/>
    <x v="1"/>
    <n v="94.64"/>
    <n v="3"/>
    <n v="14.196"/>
    <n v="298.11599999999999"/>
    <s v="2/21/2019"/>
    <d v="1899-12-30T16:55:00"/>
    <s v="Cash"/>
    <n v="283.92"/>
    <n v="4.7619047620000003"/>
    <n v="14.196"/>
    <n v="5.5"/>
    <d v="2019-02-21T00:00:00"/>
    <x v="2"/>
    <x v="7"/>
  </r>
  <r>
    <s v="549-03-9315"/>
    <x v="2"/>
    <x v="2"/>
    <x v="1"/>
    <s v="Male"/>
    <x v="5"/>
    <n v="94.87"/>
    <n v="8"/>
    <n v="37.948"/>
    <n v="796.90800000000002"/>
    <d v="2019-12-02T00:00:00"/>
    <d v="1899-12-30T12:58:00"/>
    <s v="Ewallet"/>
    <n v="758.96"/>
    <n v="4.7619047620000003"/>
    <n v="37.948"/>
    <n v="8.6999999999999993"/>
    <d v="2019-02-12T00:00:00"/>
    <x v="2"/>
    <x v="10"/>
  </r>
  <r>
    <s v="790-29-1172"/>
    <x v="2"/>
    <x v="2"/>
    <x v="1"/>
    <s v="Female"/>
    <x v="4"/>
    <n v="57.34"/>
    <n v="3"/>
    <n v="8.6010000000000009"/>
    <n v="180.62100000000001"/>
    <d v="2019-10-03T00:00:00"/>
    <d v="1899-12-30T18:59:00"/>
    <s v="Credit card"/>
    <n v="172.02"/>
    <n v="4.7619047620000003"/>
    <n v="8.6010000000000009"/>
    <n v="7.9"/>
    <d v="2019-03-10T00:00:00"/>
    <x v="1"/>
    <x v="3"/>
  </r>
  <r>
    <s v="239-36-3640"/>
    <x v="2"/>
    <x v="2"/>
    <x v="1"/>
    <s v="Male"/>
    <x v="1"/>
    <n v="45.35"/>
    <n v="6"/>
    <n v="13.605"/>
    <n v="285.70499999999998"/>
    <s v="1/31/2019"/>
    <d v="1899-12-30T13:44:00"/>
    <s v="Ewallet"/>
    <n v="272.10000000000002"/>
    <n v="4.7619047620000003"/>
    <n v="13.605"/>
    <n v="6.1"/>
    <d v="2019-01-31T00:00:00"/>
    <x v="0"/>
    <x v="0"/>
  </r>
  <r>
    <s v="468-01-2051"/>
    <x v="2"/>
    <x v="2"/>
    <x v="1"/>
    <s v="Male"/>
    <x v="4"/>
    <n v="62.08"/>
    <n v="7"/>
    <n v="21.728000000000002"/>
    <n v="456.28800000000001"/>
    <d v="2019-06-03T00:00:00"/>
    <d v="1899-12-30T13:46:00"/>
    <s v="Ewallet"/>
    <n v="434.56"/>
    <n v="4.7619047620000003"/>
    <n v="21.728000000000002"/>
    <n v="5.4"/>
    <d v="2019-03-06T00:00:00"/>
    <x v="1"/>
    <x v="0"/>
  </r>
  <r>
    <s v="389-25-3394"/>
    <x v="1"/>
    <x v="1"/>
    <x v="1"/>
    <s v="Male"/>
    <x v="1"/>
    <n v="11.81"/>
    <n v="5"/>
    <n v="2.9525000000000001"/>
    <n v="62.002499999999998"/>
    <s v="2/17/2019"/>
    <d v="1899-12-30T18:06:00"/>
    <s v="Cash"/>
    <n v="59.05"/>
    <n v="4.7619047620000003"/>
    <n v="2.9525000000000001"/>
    <n v="9.4"/>
    <d v="2019-02-17T00:00:00"/>
    <x v="2"/>
    <x v="3"/>
  </r>
  <r>
    <s v="279-62-1445"/>
    <x v="1"/>
    <x v="1"/>
    <x v="0"/>
    <s v="Female"/>
    <x v="5"/>
    <n v="12.54"/>
    <n v="1"/>
    <n v="0.627"/>
    <n v="13.167"/>
    <s v="2/21/2019"/>
    <d v="1899-12-30T12:38:00"/>
    <s v="Cash"/>
    <n v="12.54"/>
    <n v="4.7619047620000003"/>
    <n v="0.627"/>
    <n v="8.1999999999999993"/>
    <d v="2019-02-21T00:00:00"/>
    <x v="2"/>
    <x v="10"/>
  </r>
  <r>
    <s v="213-72-6612"/>
    <x v="0"/>
    <x v="0"/>
    <x v="1"/>
    <s v="Male"/>
    <x v="4"/>
    <n v="43.25"/>
    <n v="2"/>
    <n v="4.3250000000000002"/>
    <n v="90.825000000000003"/>
    <s v="3/20/2019"/>
    <d v="1899-12-30T15:56:00"/>
    <s v="Cash"/>
    <n v="86.5"/>
    <n v="4.7619047620000003"/>
    <n v="4.3250000000000002"/>
    <n v="6.2"/>
    <d v="2019-03-20T00:00:00"/>
    <x v="1"/>
    <x v="9"/>
  </r>
  <r>
    <s v="746-68-6593"/>
    <x v="1"/>
    <x v="1"/>
    <x v="0"/>
    <s v="Female"/>
    <x v="3"/>
    <n v="87.16"/>
    <n v="2"/>
    <n v="8.7159999999999993"/>
    <n v="183.036"/>
    <d v="2019-11-01T00:00:00"/>
    <d v="1899-12-30T14:29:00"/>
    <s v="Credit card"/>
    <n v="174.32"/>
    <n v="4.7619047620000003"/>
    <n v="8.7159999999999993"/>
    <n v="9.6999999999999993"/>
    <d v="2019-01-11T00:00:00"/>
    <x v="0"/>
    <x v="4"/>
  </r>
  <r>
    <s v="836-82-5858"/>
    <x v="2"/>
    <x v="2"/>
    <x v="0"/>
    <s v="Male"/>
    <x v="0"/>
    <n v="69.37"/>
    <n v="9"/>
    <n v="31.2165"/>
    <n v="655.54650000000004"/>
    <s v="1/26/2019"/>
    <d v="1899-12-30T19:14:00"/>
    <s v="Ewallet"/>
    <n v="624.33000000000004"/>
    <n v="4.7619047620000003"/>
    <n v="31.2165"/>
    <n v="4"/>
    <d v="2019-01-26T00:00:00"/>
    <x v="0"/>
    <x v="8"/>
  </r>
  <r>
    <s v="583-72-1480"/>
    <x v="1"/>
    <x v="1"/>
    <x v="0"/>
    <s v="Male"/>
    <x v="1"/>
    <n v="37.06"/>
    <n v="4"/>
    <n v="7.4119999999999999"/>
    <n v="155.65199999999999"/>
    <s v="1/31/2019"/>
    <d v="1899-12-30T16:24:00"/>
    <s v="Ewallet"/>
    <n v="148.24"/>
    <n v="4.7619047620000003"/>
    <n v="7.4119999999999999"/>
    <n v="9.6999999999999993"/>
    <d v="2019-01-31T00:00:00"/>
    <x v="0"/>
    <x v="7"/>
  </r>
  <r>
    <s v="466-61-5506"/>
    <x v="2"/>
    <x v="2"/>
    <x v="0"/>
    <s v="Female"/>
    <x v="1"/>
    <n v="90.7"/>
    <n v="6"/>
    <n v="27.21"/>
    <n v="571.41"/>
    <s v="2/26/2019"/>
    <d v="1899-12-30T10:52:00"/>
    <s v="Cash"/>
    <n v="544.20000000000005"/>
    <n v="4.7619047620000003"/>
    <n v="27.21"/>
    <n v="5.3"/>
    <d v="2019-02-26T00:00:00"/>
    <x v="2"/>
    <x v="1"/>
  </r>
  <r>
    <s v="721-86-6247"/>
    <x v="0"/>
    <x v="0"/>
    <x v="1"/>
    <s v="Female"/>
    <x v="2"/>
    <n v="63.42"/>
    <n v="8"/>
    <n v="25.367999999999999"/>
    <n v="532.72799999999995"/>
    <d v="2019-11-03T00:00:00"/>
    <d v="1899-12-30T12:55:00"/>
    <s v="Ewallet"/>
    <n v="507.36"/>
    <n v="4.7619047620000003"/>
    <n v="25.367999999999999"/>
    <n v="7.4"/>
    <d v="2019-03-11T00:00:00"/>
    <x v="1"/>
    <x v="10"/>
  </r>
  <r>
    <s v="289-65-5721"/>
    <x v="2"/>
    <x v="2"/>
    <x v="1"/>
    <s v="Female"/>
    <x v="5"/>
    <n v="81.37"/>
    <n v="2"/>
    <n v="8.1370000000000005"/>
    <n v="170.87700000000001"/>
    <s v="1/26/2019"/>
    <d v="1899-12-30T19:28:00"/>
    <s v="Cash"/>
    <n v="162.74"/>
    <n v="4.7619047620000003"/>
    <n v="8.1370000000000005"/>
    <n v="6.5"/>
    <d v="2019-01-26T00:00:00"/>
    <x v="0"/>
    <x v="8"/>
  </r>
  <r>
    <s v="545-46-3100"/>
    <x v="2"/>
    <x v="2"/>
    <x v="0"/>
    <s v="Female"/>
    <x v="1"/>
    <n v="10.59"/>
    <n v="3"/>
    <n v="1.5885"/>
    <n v="33.358499999999999"/>
    <d v="2019-12-03T00:00:00"/>
    <d v="1899-12-30T13:52:00"/>
    <s v="Credit card"/>
    <n v="31.77"/>
    <n v="4.7619047620000003"/>
    <n v="1.5885"/>
    <n v="8.6999999999999993"/>
    <d v="2019-03-12T00:00:00"/>
    <x v="1"/>
    <x v="0"/>
  </r>
  <r>
    <s v="418-02-5978"/>
    <x v="2"/>
    <x v="2"/>
    <x v="1"/>
    <s v="Female"/>
    <x v="0"/>
    <n v="84.09"/>
    <n v="9"/>
    <n v="37.840499999999999"/>
    <n v="794.65049999999997"/>
    <d v="2019-11-02T00:00:00"/>
    <d v="1899-12-30T10:54:00"/>
    <s v="Cash"/>
    <n v="756.81"/>
    <n v="4.7619047620000003"/>
    <n v="37.840499999999999"/>
    <n v="8"/>
    <d v="2019-02-11T00:00:00"/>
    <x v="2"/>
    <x v="1"/>
  </r>
  <r>
    <s v="269-04-5750"/>
    <x v="2"/>
    <x v="2"/>
    <x v="0"/>
    <s v="Male"/>
    <x v="5"/>
    <n v="73.819999999999993"/>
    <n v="4"/>
    <n v="14.763999999999999"/>
    <n v="310.04399999999998"/>
    <s v="2/21/2019"/>
    <d v="1899-12-30T18:31:00"/>
    <s v="Cash"/>
    <n v="295.27999999999997"/>
    <n v="4.7619047620000003"/>
    <n v="14.763999999999999"/>
    <n v="6.7"/>
    <d v="2019-02-21T00:00:00"/>
    <x v="2"/>
    <x v="3"/>
  </r>
  <r>
    <s v="157-13-5295"/>
    <x v="0"/>
    <x v="0"/>
    <x v="0"/>
    <s v="Male"/>
    <x v="0"/>
    <n v="51.94"/>
    <n v="10"/>
    <n v="25.97"/>
    <n v="545.37"/>
    <d v="2019-09-03T00:00:00"/>
    <d v="1899-12-30T18:24:00"/>
    <s v="Ewallet"/>
    <n v="519.4"/>
    <n v="4.7619047620000003"/>
    <n v="25.97"/>
    <n v="6.5"/>
    <d v="2019-03-09T00:00:00"/>
    <x v="1"/>
    <x v="3"/>
  </r>
  <r>
    <s v="645-78-8093"/>
    <x v="0"/>
    <x v="0"/>
    <x v="1"/>
    <s v="Female"/>
    <x v="3"/>
    <n v="93.14"/>
    <n v="2"/>
    <n v="9.3140000000000001"/>
    <n v="195.59399999999999"/>
    <s v="1/20/2019"/>
    <d v="1899-12-30T18:09:00"/>
    <s v="Ewallet"/>
    <n v="186.28"/>
    <n v="4.7619047620000003"/>
    <n v="9.3140000000000001"/>
    <n v="4.0999999999999996"/>
    <d v="2019-01-20T00:00:00"/>
    <x v="0"/>
    <x v="3"/>
  </r>
  <r>
    <s v="211-30-9270"/>
    <x v="1"/>
    <x v="1"/>
    <x v="1"/>
    <s v="Male"/>
    <x v="0"/>
    <n v="17.41"/>
    <n v="5"/>
    <n v="4.3525"/>
    <n v="91.402500000000003"/>
    <s v="1/28/2019"/>
    <d v="1899-12-30T15:16:00"/>
    <s v="Credit card"/>
    <n v="87.05"/>
    <n v="4.7619047620000003"/>
    <n v="4.3525"/>
    <n v="4.9000000000000004"/>
    <d v="2019-01-28T00:00:00"/>
    <x v="0"/>
    <x v="9"/>
  </r>
  <r>
    <s v="755-12-3214"/>
    <x v="1"/>
    <x v="1"/>
    <x v="0"/>
    <s v="Female"/>
    <x v="5"/>
    <n v="44.22"/>
    <n v="5"/>
    <n v="11.055"/>
    <n v="232.155"/>
    <d v="2019-05-03T00:00:00"/>
    <d v="1899-12-30T17:07:00"/>
    <s v="Credit card"/>
    <n v="221.1"/>
    <n v="4.7619047620000003"/>
    <n v="11.055"/>
    <n v="8.6"/>
    <d v="2019-03-05T00:00:00"/>
    <x v="1"/>
    <x v="6"/>
  </r>
  <r>
    <s v="346-84-3103"/>
    <x v="2"/>
    <x v="2"/>
    <x v="0"/>
    <s v="Female"/>
    <x v="1"/>
    <n v="13.22"/>
    <n v="5"/>
    <n v="3.3050000000000002"/>
    <n v="69.405000000000001"/>
    <d v="2019-02-03T00:00:00"/>
    <d v="1899-12-30T19:26:00"/>
    <s v="Cash"/>
    <n v="66.099999999999994"/>
    <n v="4.7619047620000003"/>
    <n v="3.3050000000000002"/>
    <n v="4.3"/>
    <d v="2019-03-02T00:00:00"/>
    <x v="1"/>
    <x v="8"/>
  </r>
  <r>
    <s v="478-06-7835"/>
    <x v="0"/>
    <x v="0"/>
    <x v="1"/>
    <s v="Male"/>
    <x v="5"/>
    <n v="89.69"/>
    <n v="1"/>
    <n v="4.4844999999999997"/>
    <n v="94.174499999999995"/>
    <d v="2019-11-01T00:00:00"/>
    <d v="1899-12-30T11:20:00"/>
    <s v="Ewallet"/>
    <n v="89.69"/>
    <n v="4.7619047620000003"/>
    <n v="4.4844999999999997"/>
    <n v="4.9000000000000004"/>
    <d v="2019-01-11T00:00:00"/>
    <x v="0"/>
    <x v="5"/>
  </r>
  <r>
    <s v="540-11-4336"/>
    <x v="0"/>
    <x v="0"/>
    <x v="1"/>
    <s v="Male"/>
    <x v="4"/>
    <n v="24.94"/>
    <n v="9"/>
    <n v="11.223000000000001"/>
    <n v="235.68299999999999"/>
    <d v="2019-11-01T00:00:00"/>
    <d v="1899-12-30T16:49:00"/>
    <s v="Credit card"/>
    <n v="224.46"/>
    <n v="4.7619047620000003"/>
    <n v="11.223000000000001"/>
    <n v="5.6"/>
    <d v="2019-01-11T00:00:00"/>
    <x v="0"/>
    <x v="7"/>
  </r>
  <r>
    <s v="448-81-5016"/>
    <x v="0"/>
    <x v="0"/>
    <x v="1"/>
    <s v="Male"/>
    <x v="0"/>
    <n v="59.77"/>
    <n v="2"/>
    <n v="5.9770000000000003"/>
    <n v="125.517"/>
    <d v="2019-11-03T00:00:00"/>
    <d v="1899-12-30T12:01:00"/>
    <s v="Credit card"/>
    <n v="119.54"/>
    <n v="4.7619047620000003"/>
    <n v="5.9770000000000003"/>
    <n v="5.8"/>
    <d v="2019-03-11T00:00:00"/>
    <x v="1"/>
    <x v="10"/>
  </r>
  <r>
    <s v="142-72-4741"/>
    <x v="1"/>
    <x v="1"/>
    <x v="0"/>
    <s v="Male"/>
    <x v="5"/>
    <n v="93.2"/>
    <n v="2"/>
    <n v="9.32"/>
    <n v="195.72"/>
    <s v="2/28/2019"/>
    <d v="1899-12-30T18:37:00"/>
    <s v="Credit card"/>
    <n v="186.4"/>
    <n v="4.7619047620000003"/>
    <n v="9.32"/>
    <n v="6"/>
    <d v="2019-02-28T00:00:00"/>
    <x v="2"/>
    <x v="3"/>
  </r>
  <r>
    <s v="217-58-1179"/>
    <x v="0"/>
    <x v="0"/>
    <x v="0"/>
    <s v="Male"/>
    <x v="2"/>
    <n v="62.65"/>
    <n v="4"/>
    <n v="12.53"/>
    <n v="263.13"/>
    <d v="2019-05-01T00:00:00"/>
    <d v="1899-12-30T11:25:00"/>
    <s v="Cash"/>
    <n v="250.6"/>
    <n v="4.7619047620000003"/>
    <n v="12.53"/>
    <n v="4.2"/>
    <d v="2019-01-05T00:00:00"/>
    <x v="0"/>
    <x v="5"/>
  </r>
  <r>
    <s v="376-02-8238"/>
    <x v="2"/>
    <x v="2"/>
    <x v="1"/>
    <s v="Male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d v="2019-02-02T00:00:00"/>
    <x v="2"/>
    <x v="3"/>
  </r>
  <r>
    <s v="530-90-9855"/>
    <x v="0"/>
    <x v="0"/>
    <x v="0"/>
    <s v="Male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  <d v="2019-01-01T00:00:00"/>
    <x v="0"/>
    <x v="4"/>
  </r>
  <r>
    <s v="866-05-7563"/>
    <x v="2"/>
    <x v="2"/>
    <x v="0"/>
    <s v="Female"/>
    <x v="1"/>
    <n v="81.400000000000006"/>
    <n v="3"/>
    <n v="12.21"/>
    <n v="256.41000000000003"/>
    <d v="2019-09-02T00:00:00"/>
    <d v="1899-12-30T19:43:00"/>
    <s v="Cash"/>
    <n v="244.2"/>
    <n v="4.7619047620000003"/>
    <n v="12.21"/>
    <n v="4.8"/>
    <d v="2019-02-09T00:00:00"/>
    <x v="2"/>
    <x v="8"/>
  </r>
  <r>
    <s v="604-70-6476"/>
    <x v="0"/>
    <x v="0"/>
    <x v="0"/>
    <s v="Male"/>
    <x v="5"/>
    <n v="17.940000000000001"/>
    <n v="5"/>
    <n v="4.4850000000000003"/>
    <n v="94.185000000000002"/>
    <s v="1/23/2019"/>
    <d v="1899-12-30T14:04:00"/>
    <s v="Ewallet"/>
    <n v="89.7"/>
    <n v="4.7619047620000003"/>
    <n v="4.4850000000000003"/>
    <n v="6.8"/>
    <d v="2019-01-23T00:00:00"/>
    <x v="0"/>
    <x v="4"/>
  </r>
  <r>
    <s v="799-71-1548"/>
    <x v="0"/>
    <x v="0"/>
    <x v="0"/>
    <s v="Male"/>
    <x v="1"/>
    <n v="77.72"/>
    <n v="4"/>
    <n v="15.544"/>
    <n v="326.42399999999998"/>
    <d v="2019-07-01T00:00:00"/>
    <d v="1899-12-30T16:11:00"/>
    <s v="Credit card"/>
    <n v="310.88"/>
    <n v="4.7619047620000003"/>
    <n v="15.544"/>
    <n v="8.8000000000000007"/>
    <d v="2019-01-07T00:00:00"/>
    <x v="0"/>
    <x v="7"/>
  </r>
  <r>
    <s v="785-13-7708"/>
    <x v="2"/>
    <x v="2"/>
    <x v="1"/>
    <s v="Male"/>
    <x v="4"/>
    <n v="73.06"/>
    <n v="7"/>
    <n v="25.571000000000002"/>
    <n v="536.99099999999999"/>
    <s v="1/14/2019"/>
    <d v="1899-12-30T19:06:00"/>
    <s v="Credit card"/>
    <n v="511.42"/>
    <n v="4.7619047620000003"/>
    <n v="25.571000000000002"/>
    <n v="4.2"/>
    <d v="2019-01-14T00:00:00"/>
    <x v="0"/>
    <x v="8"/>
  </r>
  <r>
    <s v="845-51-0542"/>
    <x v="2"/>
    <x v="2"/>
    <x v="0"/>
    <s v="Male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  <d v="2019-02-02T00:00:00"/>
    <x v="2"/>
    <x v="9"/>
  </r>
  <r>
    <s v="662-47-5456"/>
    <x v="1"/>
    <x v="1"/>
    <x v="0"/>
    <s v="Male"/>
    <x v="5"/>
    <n v="35.19"/>
    <n v="10"/>
    <n v="17.594999999999999"/>
    <n v="369.495"/>
    <s v="3/17/2019"/>
    <d v="1899-12-30T19:06:00"/>
    <s v="Credit card"/>
    <n v="351.9"/>
    <n v="4.7619047620000003"/>
    <n v="17.594999999999999"/>
    <n v="8.4"/>
    <d v="2019-03-17T00:00:00"/>
    <x v="1"/>
    <x v="8"/>
  </r>
  <r>
    <s v="883-17-4236"/>
    <x v="1"/>
    <x v="1"/>
    <x v="1"/>
    <s v="Female"/>
    <x v="3"/>
    <n v="14.39"/>
    <n v="2"/>
    <n v="1.4390000000000001"/>
    <n v="30.219000000000001"/>
    <d v="2019-02-03T00:00:00"/>
    <d v="1899-12-30T19:44:00"/>
    <s v="Credit card"/>
    <n v="28.78"/>
    <n v="4.7619047620000003"/>
    <n v="1.4390000000000001"/>
    <n v="7.2"/>
    <d v="2019-03-02T00:00:00"/>
    <x v="1"/>
    <x v="8"/>
  </r>
  <r>
    <s v="290-68-2984"/>
    <x v="0"/>
    <x v="0"/>
    <x v="1"/>
    <s v="Male"/>
    <x v="2"/>
    <n v="23.75"/>
    <n v="4"/>
    <n v="4.75"/>
    <n v="99.75"/>
    <s v="3/16/2019"/>
    <d v="1899-12-30T11:22:00"/>
    <s v="Cash"/>
    <n v="95"/>
    <n v="4.7619047620000003"/>
    <n v="4.75"/>
    <n v="5.2"/>
    <d v="2019-03-16T00:00:00"/>
    <x v="1"/>
    <x v="5"/>
  </r>
  <r>
    <s v="704-11-6354"/>
    <x v="0"/>
    <x v="0"/>
    <x v="0"/>
    <s v="Male"/>
    <x v="2"/>
    <n v="58.9"/>
    <n v="8"/>
    <n v="23.56"/>
    <n v="494.76"/>
    <d v="2019-06-01T00:00:00"/>
    <d v="1899-12-30T11:23:00"/>
    <s v="Cash"/>
    <n v="471.2"/>
    <n v="4.7619047620000003"/>
    <n v="23.56"/>
    <n v="8.9"/>
    <d v="2019-01-06T00:00:00"/>
    <x v="0"/>
    <x v="5"/>
  </r>
  <r>
    <s v="110-48-7033"/>
    <x v="2"/>
    <x v="2"/>
    <x v="0"/>
    <s v="Male"/>
    <x v="5"/>
    <n v="32.619999999999997"/>
    <n v="4"/>
    <n v="6.524"/>
    <n v="137.00399999999999"/>
    <s v="1/29/2019"/>
    <d v="1899-12-30T14:12:00"/>
    <s v="Cash"/>
    <n v="130.47999999999999"/>
    <n v="4.7619047620000003"/>
    <n v="6.524"/>
    <n v="9"/>
    <d v="2019-01-29T00:00:00"/>
    <x v="0"/>
    <x v="4"/>
  </r>
  <r>
    <s v="366-93-0948"/>
    <x v="0"/>
    <x v="0"/>
    <x v="0"/>
    <s v="Male"/>
    <x v="1"/>
    <n v="66.349999999999994"/>
    <n v="1"/>
    <n v="3.3174999999999999"/>
    <n v="69.667500000000004"/>
    <s v="1/31/2019"/>
    <d v="1899-12-30T10:46:00"/>
    <s v="Credit card"/>
    <n v="66.349999999999994"/>
    <n v="4.7619047620000003"/>
    <n v="3.3174999999999999"/>
    <n v="9.6999999999999993"/>
    <d v="2019-01-31T00:00:00"/>
    <x v="0"/>
    <x v="1"/>
  </r>
  <r>
    <s v="729-09-9681"/>
    <x v="0"/>
    <x v="0"/>
    <x v="0"/>
    <s v="Male"/>
    <x v="2"/>
    <n v="25.91"/>
    <n v="6"/>
    <n v="7.7729999999999997"/>
    <n v="163.233"/>
    <d v="2019-05-02T00:00:00"/>
    <d v="1899-12-30T10:16:00"/>
    <s v="Ewallet"/>
    <n v="155.46"/>
    <n v="4.7619047620000003"/>
    <n v="7.7729999999999997"/>
    <n v="8.6999999999999993"/>
    <d v="2019-02-05T00:00:00"/>
    <x v="2"/>
    <x v="1"/>
  </r>
  <r>
    <s v="151-16-1484"/>
    <x v="0"/>
    <x v="0"/>
    <x v="0"/>
    <s v="Male"/>
    <x v="1"/>
    <n v="32.25"/>
    <n v="4"/>
    <n v="6.45"/>
    <n v="135.44999999999999"/>
    <s v="2/13/2019"/>
    <d v="1899-12-30T12:38:00"/>
    <s v="Ewallet"/>
    <n v="129"/>
    <n v="4.7619047620000003"/>
    <n v="6.45"/>
    <n v="6.5"/>
    <d v="2019-02-13T00:00:00"/>
    <x v="2"/>
    <x v="10"/>
  </r>
  <r>
    <s v="380-94-4661"/>
    <x v="1"/>
    <x v="1"/>
    <x v="0"/>
    <s v="Male"/>
    <x v="1"/>
    <n v="65.94"/>
    <n v="4"/>
    <n v="13.188000000000001"/>
    <n v="276.94799999999998"/>
    <d v="2019-07-02T00:00:00"/>
    <d v="1899-12-30T13:05:00"/>
    <s v="Credit card"/>
    <n v="263.76"/>
    <n v="4.7619047620000003"/>
    <n v="13.188000000000001"/>
    <n v="6.9"/>
    <d v="2019-02-07T00:00:00"/>
    <x v="2"/>
    <x v="0"/>
  </r>
  <r>
    <s v="850-41-9669"/>
    <x v="0"/>
    <x v="0"/>
    <x v="1"/>
    <s v="Female"/>
    <x v="1"/>
    <n v="75.06"/>
    <n v="9"/>
    <n v="33.777000000000001"/>
    <n v="709.31700000000001"/>
    <s v="3/19/2019"/>
    <d v="1899-12-30T13:25:00"/>
    <s v="Ewallet"/>
    <n v="675.54"/>
    <n v="4.7619047620000003"/>
    <n v="33.777000000000001"/>
    <n v="6.2"/>
    <d v="2019-03-19T00:00:00"/>
    <x v="1"/>
    <x v="0"/>
  </r>
  <r>
    <s v="821-07-3596"/>
    <x v="1"/>
    <x v="1"/>
    <x v="1"/>
    <s v="Female"/>
    <x v="5"/>
    <n v="16.45"/>
    <n v="4"/>
    <n v="3.29"/>
    <n v="69.09"/>
    <d v="2019-07-03T00:00:00"/>
    <d v="1899-12-30T14:53:00"/>
    <s v="Ewallet"/>
    <n v="65.8"/>
    <n v="4.7619047620000003"/>
    <n v="3.29"/>
    <n v="5.6"/>
    <d v="2019-03-07T00:00:00"/>
    <x v="1"/>
    <x v="4"/>
  </r>
  <r>
    <s v="655-85-5130"/>
    <x v="2"/>
    <x v="2"/>
    <x v="0"/>
    <s v="Female"/>
    <x v="5"/>
    <n v="38.299999999999997"/>
    <n v="4"/>
    <n v="7.66"/>
    <n v="160.86000000000001"/>
    <s v="3/13/2019"/>
    <d v="1899-12-30T19:22:00"/>
    <s v="Cash"/>
    <n v="153.19999999999999"/>
    <n v="4.7619047620000003"/>
    <n v="7.66"/>
    <n v="5.7"/>
    <d v="2019-03-13T00:00:00"/>
    <x v="1"/>
    <x v="8"/>
  </r>
  <r>
    <s v="447-15-7839"/>
    <x v="0"/>
    <x v="0"/>
    <x v="0"/>
    <s v="Female"/>
    <x v="3"/>
    <n v="22.24"/>
    <n v="10"/>
    <n v="11.12"/>
    <n v="233.52"/>
    <d v="2019-09-02T00:00:00"/>
    <d v="1899-12-30T11:00:00"/>
    <s v="Cash"/>
    <n v="222.4"/>
    <n v="4.7619047620000003"/>
    <n v="11.12"/>
    <n v="4.2"/>
    <d v="2019-02-09T00:00:00"/>
    <x v="2"/>
    <x v="5"/>
  </r>
  <r>
    <s v="154-74-7179"/>
    <x v="2"/>
    <x v="2"/>
    <x v="1"/>
    <s v="Male"/>
    <x v="3"/>
    <n v="54.45"/>
    <n v="1"/>
    <n v="2.7225000000000001"/>
    <n v="57.172499999999999"/>
    <s v="2/26/2019"/>
    <d v="1899-12-30T19:24:00"/>
    <s v="Ewallet"/>
    <n v="54.45"/>
    <n v="4.7619047620000003"/>
    <n v="2.7225000000000001"/>
    <n v="7.9"/>
    <d v="2019-02-26T00:00:00"/>
    <x v="2"/>
    <x v="8"/>
  </r>
  <r>
    <s v="253-12-6086"/>
    <x v="0"/>
    <x v="0"/>
    <x v="0"/>
    <s v="Female"/>
    <x v="3"/>
    <n v="98.4"/>
    <n v="7"/>
    <n v="34.44"/>
    <n v="723.24"/>
    <d v="2019-12-03T00:00:00"/>
    <d v="1899-12-30T12:43:00"/>
    <s v="Credit card"/>
    <n v="688.8"/>
    <n v="4.7619047620000003"/>
    <n v="34.44"/>
    <n v="8.6999999999999993"/>
    <d v="2019-03-12T00:00:00"/>
    <x v="1"/>
    <x v="10"/>
  </r>
  <r>
    <s v="808-65-0703"/>
    <x v="1"/>
    <x v="1"/>
    <x v="1"/>
    <s v="Male"/>
    <x v="2"/>
    <n v="35.47"/>
    <n v="4"/>
    <n v="7.0940000000000003"/>
    <n v="148.97399999999999"/>
    <s v="3/14/2019"/>
    <d v="1899-12-30T17:22:00"/>
    <s v="Credit card"/>
    <n v="141.88"/>
    <n v="4.7619047620000003"/>
    <n v="7.0940000000000003"/>
    <n v="6.9"/>
    <d v="2019-03-14T00:00:00"/>
    <x v="1"/>
    <x v="6"/>
  </r>
  <r>
    <s v="571-94-0759"/>
    <x v="2"/>
    <x v="2"/>
    <x v="0"/>
    <s v="Female"/>
    <x v="4"/>
    <n v="74.599999999999994"/>
    <n v="10"/>
    <n v="37.299999999999997"/>
    <n v="783.3"/>
    <d v="2019-08-01T00:00:00"/>
    <d v="1899-12-30T20:55:00"/>
    <s v="Cash"/>
    <n v="746"/>
    <n v="4.7619047620000003"/>
    <n v="37.299999999999997"/>
    <n v="9.5"/>
    <d v="2019-01-08T00:00:00"/>
    <x v="0"/>
    <x v="2"/>
  </r>
  <r>
    <s v="144-51-6085"/>
    <x v="0"/>
    <x v="0"/>
    <x v="0"/>
    <s v="Male"/>
    <x v="2"/>
    <n v="70.739999999999995"/>
    <n v="4"/>
    <n v="14.148"/>
    <n v="297.108"/>
    <d v="2019-05-01T00:00:00"/>
    <d v="1899-12-30T16:05:00"/>
    <s v="Credit card"/>
    <n v="282.95999999999998"/>
    <n v="4.7619047620000003"/>
    <n v="14.148"/>
    <n v="4.4000000000000004"/>
    <d v="2019-01-05T00:00:00"/>
    <x v="0"/>
    <x v="7"/>
  </r>
  <r>
    <s v="731-14-2199"/>
    <x v="0"/>
    <x v="0"/>
    <x v="0"/>
    <s v="Female"/>
    <x v="2"/>
    <n v="35.54"/>
    <n v="10"/>
    <n v="17.77"/>
    <n v="373.17"/>
    <d v="2019-04-01T00:00:00"/>
    <d v="1899-12-30T13:34:00"/>
    <s v="Ewallet"/>
    <n v="355.4"/>
    <n v="4.7619047620000003"/>
    <n v="17.77"/>
    <n v="7"/>
    <d v="2019-01-04T00:00:00"/>
    <x v="0"/>
    <x v="0"/>
  </r>
  <r>
    <s v="783-09-1637"/>
    <x v="2"/>
    <x v="2"/>
    <x v="1"/>
    <s v="Female"/>
    <x v="3"/>
    <n v="67.430000000000007"/>
    <n v="5"/>
    <n v="16.857500000000002"/>
    <n v="354.00749999999999"/>
    <d v="2019-06-03T00:00:00"/>
    <d v="1899-12-30T18:13:00"/>
    <s v="Ewallet"/>
    <n v="337.15"/>
    <n v="4.7619047620000003"/>
    <n v="16.857500000000002"/>
    <n v="6.3"/>
    <d v="2019-03-06T00:00:00"/>
    <x v="1"/>
    <x v="3"/>
  </r>
  <r>
    <s v="687-15-1097"/>
    <x v="1"/>
    <x v="1"/>
    <x v="0"/>
    <s v="Female"/>
    <x v="0"/>
    <n v="21.12"/>
    <n v="2"/>
    <n v="2.1120000000000001"/>
    <n v="44.351999999999997"/>
    <d v="2019-03-01T00:00:00"/>
    <d v="1899-12-30T19:17:00"/>
    <s v="Cash"/>
    <n v="42.24"/>
    <n v="4.7619047620000003"/>
    <n v="2.1120000000000001"/>
    <n v="9.6999999999999993"/>
    <d v="2019-01-03T00:00:00"/>
    <x v="0"/>
    <x v="8"/>
  </r>
  <r>
    <s v="126-54-1082"/>
    <x v="0"/>
    <x v="0"/>
    <x v="0"/>
    <s v="Female"/>
    <x v="2"/>
    <n v="21.54"/>
    <n v="9"/>
    <n v="9.6929999999999996"/>
    <n v="203.553"/>
    <d v="2019-07-01T00:00:00"/>
    <d v="1899-12-30T11:44:00"/>
    <s v="Credit card"/>
    <n v="193.86"/>
    <n v="4.7619047620000003"/>
    <n v="9.6929999999999996"/>
    <n v="8.8000000000000007"/>
    <d v="2019-01-07T00:00:00"/>
    <x v="0"/>
    <x v="5"/>
  </r>
  <r>
    <s v="633-91-1052"/>
    <x v="0"/>
    <x v="0"/>
    <x v="1"/>
    <s v="Female"/>
    <x v="2"/>
    <n v="12.03"/>
    <n v="2"/>
    <n v="1.2030000000000001"/>
    <n v="25.263000000000002"/>
    <s v="1/27/2019"/>
    <d v="1899-12-30T15:51:00"/>
    <s v="Cash"/>
    <n v="24.06"/>
    <n v="4.7619047620000003"/>
    <n v="1.2030000000000001"/>
    <n v="5.0999999999999996"/>
    <d v="2019-01-27T00:00:00"/>
    <x v="0"/>
    <x v="9"/>
  </r>
  <r>
    <s v="477-24-6490"/>
    <x v="2"/>
    <x v="2"/>
    <x v="1"/>
    <s v="Female"/>
    <x v="0"/>
    <n v="99.71"/>
    <n v="6"/>
    <n v="29.913"/>
    <n v="628.173"/>
    <s v="2/26/2019"/>
    <d v="1899-12-30T16:52:00"/>
    <s v="Ewallet"/>
    <n v="598.26"/>
    <n v="4.7619047620000003"/>
    <n v="29.913"/>
    <n v="7.9"/>
    <d v="2019-02-26T00:00:00"/>
    <x v="2"/>
    <x v="7"/>
  </r>
  <r>
    <s v="566-19-5475"/>
    <x v="2"/>
    <x v="2"/>
    <x v="1"/>
    <s v="Male"/>
    <x v="5"/>
    <n v="47.97"/>
    <n v="7"/>
    <n v="16.7895"/>
    <n v="352.5795"/>
    <d v="2019-07-01T00:00:00"/>
    <d v="1899-12-30T20:52:00"/>
    <s v="Cash"/>
    <n v="335.79"/>
    <n v="4.7619047620000003"/>
    <n v="16.7895"/>
    <n v="6.2"/>
    <d v="2019-01-07T00:00:00"/>
    <x v="0"/>
    <x v="2"/>
  </r>
  <r>
    <s v="526-86-8552"/>
    <x v="1"/>
    <x v="1"/>
    <x v="0"/>
    <s v="Female"/>
    <x v="2"/>
    <n v="21.82"/>
    <n v="10"/>
    <n v="10.91"/>
    <n v="229.11"/>
    <d v="2019-07-01T00:00:00"/>
    <d v="1899-12-30T17:36:00"/>
    <s v="Cash"/>
    <n v="218.2"/>
    <n v="4.7619047620000003"/>
    <n v="10.91"/>
    <n v="7.1"/>
    <d v="2019-01-07T00:00:00"/>
    <x v="0"/>
    <x v="6"/>
  </r>
  <r>
    <s v="376-56-3573"/>
    <x v="1"/>
    <x v="1"/>
    <x v="1"/>
    <s v="Female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  <d v="2019-02-02T00:00:00"/>
    <x v="2"/>
    <x v="0"/>
  </r>
  <r>
    <s v="537-72-0426"/>
    <x v="1"/>
    <x v="1"/>
    <x v="0"/>
    <s v="Male"/>
    <x v="5"/>
    <n v="70.989999999999995"/>
    <n v="10"/>
    <n v="35.494999999999997"/>
    <n v="745.39499999999998"/>
    <s v="3/20/2019"/>
    <d v="1899-12-30T16:28:00"/>
    <s v="Cash"/>
    <n v="709.9"/>
    <n v="4.7619047620000003"/>
    <n v="35.494999999999997"/>
    <n v="5.7"/>
    <d v="2019-03-20T00:00:00"/>
    <x v="1"/>
    <x v="7"/>
  </r>
  <r>
    <s v="828-61-5674"/>
    <x v="0"/>
    <x v="0"/>
    <x v="0"/>
    <s v="Male"/>
    <x v="3"/>
    <n v="44.02"/>
    <n v="10"/>
    <n v="22.01"/>
    <n v="462.21"/>
    <s v="3/20/2019"/>
    <d v="1899-12-30T19:57:00"/>
    <s v="Credit card"/>
    <n v="440.2"/>
    <n v="4.7619047620000003"/>
    <n v="22.01"/>
    <n v="9.6"/>
    <d v="2019-03-20T00:00:00"/>
    <x v="1"/>
    <x v="8"/>
  </r>
  <r>
    <s v="136-08-6195"/>
    <x v="0"/>
    <x v="0"/>
    <x v="1"/>
    <s v="Female"/>
    <x v="2"/>
    <n v="69.959999999999994"/>
    <n v="8"/>
    <n v="27.984000000000002"/>
    <n v="587.66399999999999"/>
    <s v="2/15/2019"/>
    <d v="1899-12-30T17:01:00"/>
    <s v="Credit card"/>
    <n v="559.67999999999995"/>
    <n v="4.7619047620000003"/>
    <n v="27.984000000000002"/>
    <n v="6.4"/>
    <d v="2019-02-15T00:00:00"/>
    <x v="2"/>
    <x v="6"/>
  </r>
  <r>
    <s v="523-38-0215"/>
    <x v="1"/>
    <x v="1"/>
    <x v="1"/>
    <s v="Male"/>
    <x v="2"/>
    <n v="37"/>
    <n v="1"/>
    <n v="1.85"/>
    <n v="38.85"/>
    <d v="2019-06-03T00:00:00"/>
    <d v="1899-12-30T13:29:00"/>
    <s v="Credit card"/>
    <n v="37"/>
    <n v="4.7619047620000003"/>
    <n v="1.85"/>
    <n v="7.9"/>
    <d v="2019-03-06T00:00:00"/>
    <x v="1"/>
    <x v="0"/>
  </r>
  <r>
    <s v="490-29-1201"/>
    <x v="0"/>
    <x v="0"/>
    <x v="1"/>
    <s v="Female"/>
    <x v="3"/>
    <n v="15.34"/>
    <n v="1"/>
    <n v="0.76700000000000002"/>
    <n v="16.106999999999999"/>
    <d v="2019-06-01T00:00:00"/>
    <d v="1899-12-30T11:09:00"/>
    <s v="Cash"/>
    <n v="15.34"/>
    <n v="4.7619047620000003"/>
    <n v="0.76700000000000002"/>
    <n v="6.5"/>
    <d v="2019-01-06T00:00:00"/>
    <x v="0"/>
    <x v="5"/>
  </r>
  <r>
    <s v="667-92-0055"/>
    <x v="0"/>
    <x v="0"/>
    <x v="0"/>
    <s v="Male"/>
    <x v="0"/>
    <n v="99.83"/>
    <n v="6"/>
    <n v="29.949000000000002"/>
    <n v="628.92899999999997"/>
    <d v="2019-04-03T00:00:00"/>
    <d v="1899-12-30T15:02:00"/>
    <s v="Ewallet"/>
    <n v="598.98"/>
    <n v="4.7619047620000003"/>
    <n v="29.949000000000002"/>
    <n v="8.5"/>
    <d v="2019-03-04T00:00:00"/>
    <x v="1"/>
    <x v="9"/>
  </r>
  <r>
    <s v="565-17-3836"/>
    <x v="0"/>
    <x v="0"/>
    <x v="0"/>
    <s v="Female"/>
    <x v="0"/>
    <n v="47.67"/>
    <n v="4"/>
    <n v="9.5340000000000007"/>
    <n v="200.214"/>
    <d v="2019-12-03T00:00:00"/>
    <d v="1899-12-30T14:21:00"/>
    <s v="Cash"/>
    <n v="190.68"/>
    <n v="4.7619047620000003"/>
    <n v="9.5340000000000007"/>
    <n v="9.1"/>
    <d v="2019-03-12T00:00:00"/>
    <x v="1"/>
    <x v="4"/>
  </r>
  <r>
    <s v="498-41-1961"/>
    <x v="2"/>
    <x v="2"/>
    <x v="1"/>
    <s v="Male"/>
    <x v="0"/>
    <n v="66.680000000000007"/>
    <n v="5"/>
    <n v="16.670000000000002"/>
    <n v="350.07"/>
    <s v="2/20/2019"/>
    <d v="1899-12-30T18:01:00"/>
    <s v="Cash"/>
    <n v="333.4"/>
    <n v="4.7619047620000003"/>
    <n v="16.670000000000002"/>
    <n v="7.6"/>
    <d v="2019-02-20T00:00:00"/>
    <x v="2"/>
    <x v="3"/>
  </r>
  <r>
    <s v="593-95-4461"/>
    <x v="1"/>
    <x v="1"/>
    <x v="0"/>
    <s v="Male"/>
    <x v="2"/>
    <n v="74.86"/>
    <n v="1"/>
    <n v="3.7429999999999999"/>
    <n v="78.602999999999994"/>
    <s v="3/24/2019"/>
    <d v="1899-12-30T14:49:00"/>
    <s v="Cash"/>
    <n v="74.86"/>
    <n v="4.7619047620000003"/>
    <n v="3.7429999999999999"/>
    <n v="6.9"/>
    <d v="2019-03-24T00:00:00"/>
    <x v="1"/>
    <x v="4"/>
  </r>
  <r>
    <s v="226-71-3580"/>
    <x v="1"/>
    <x v="1"/>
    <x v="1"/>
    <s v="Female"/>
    <x v="3"/>
    <n v="23.75"/>
    <n v="9"/>
    <n v="10.6875"/>
    <n v="224.4375"/>
    <s v="1/31/2019"/>
    <d v="1899-12-30T12:02:00"/>
    <s v="Cash"/>
    <n v="213.75"/>
    <n v="4.7619047620000003"/>
    <n v="10.6875"/>
    <n v="9.5"/>
    <d v="2019-01-31T00:00:00"/>
    <x v="0"/>
    <x v="10"/>
  </r>
  <r>
    <s v="283-79-9594"/>
    <x v="2"/>
    <x v="2"/>
    <x v="1"/>
    <s v="Female"/>
    <x v="4"/>
    <n v="48.51"/>
    <n v="7"/>
    <n v="16.9785"/>
    <n v="356.54849999999999"/>
    <s v="1/25/2019"/>
    <d v="1899-12-30T13:30:00"/>
    <s v="Credit card"/>
    <n v="339.57"/>
    <n v="4.7619047620000003"/>
    <n v="16.9785"/>
    <n v="5.2"/>
    <d v="2019-01-25T00:00:00"/>
    <x v="0"/>
    <x v="0"/>
  </r>
  <r>
    <s v="430-60-3493"/>
    <x v="0"/>
    <x v="0"/>
    <x v="0"/>
    <s v="Female"/>
    <x v="2"/>
    <n v="94.88"/>
    <n v="7"/>
    <n v="33.207999999999998"/>
    <n v="697.36800000000005"/>
    <d v="2019-03-02T00:00:00"/>
    <d v="1899-12-30T14:38:00"/>
    <s v="Cash"/>
    <n v="664.16"/>
    <n v="4.7619047620000003"/>
    <n v="33.207999999999998"/>
    <n v="4.2"/>
    <d v="2019-02-03T00:00:00"/>
    <x v="2"/>
    <x v="4"/>
  </r>
  <r>
    <s v="139-20-0155"/>
    <x v="2"/>
    <x v="2"/>
    <x v="0"/>
    <s v="Male"/>
    <x v="1"/>
    <n v="40.299999999999997"/>
    <n v="10"/>
    <n v="20.149999999999999"/>
    <n v="423.15"/>
    <s v="1/24/2019"/>
    <d v="1899-12-30T17:37:00"/>
    <s v="Credit card"/>
    <n v="403"/>
    <n v="4.7619047620000003"/>
    <n v="20.149999999999999"/>
    <n v="7"/>
    <d v="2019-01-24T00:00:00"/>
    <x v="0"/>
    <x v="6"/>
  </r>
  <r>
    <s v="558-80-4082"/>
    <x v="1"/>
    <x v="1"/>
    <x v="1"/>
    <s v="Male"/>
    <x v="1"/>
    <n v="27.85"/>
    <n v="7"/>
    <n v="9.7475000000000005"/>
    <n v="204.69749999999999"/>
    <s v="3/14/2019"/>
    <d v="1899-12-30T17:20:00"/>
    <s v="Ewallet"/>
    <n v="194.95"/>
    <n v="4.7619047620000003"/>
    <n v="9.7475000000000005"/>
    <n v="6"/>
    <d v="2019-03-14T00:00:00"/>
    <x v="1"/>
    <x v="6"/>
  </r>
  <r>
    <s v="278-97-7759"/>
    <x v="0"/>
    <x v="0"/>
    <x v="0"/>
    <s v="Female"/>
    <x v="1"/>
    <n v="62.48"/>
    <n v="1"/>
    <n v="3.1240000000000001"/>
    <n v="65.603999999999999"/>
    <s v="2/18/2019"/>
    <d v="1899-12-30T20:29:00"/>
    <s v="Cash"/>
    <n v="62.48"/>
    <n v="4.7619047620000003"/>
    <n v="3.1240000000000001"/>
    <n v="4.7"/>
    <d v="2019-02-18T00:00:00"/>
    <x v="2"/>
    <x v="2"/>
  </r>
  <r>
    <s v="316-68-6352"/>
    <x v="0"/>
    <x v="0"/>
    <x v="0"/>
    <s v="Female"/>
    <x v="4"/>
    <n v="36.36"/>
    <n v="2"/>
    <n v="3.6360000000000001"/>
    <n v="76.355999999999995"/>
    <s v="1/21/2019"/>
    <d v="1899-12-30T10:00:00"/>
    <s v="Cash"/>
    <n v="72.72"/>
    <n v="4.7619047620000003"/>
    <n v="3.6360000000000001"/>
    <n v="7.1"/>
    <d v="2019-01-21T00:00:00"/>
    <x v="0"/>
    <x v="1"/>
  </r>
  <r>
    <s v="585-03-5943"/>
    <x v="2"/>
    <x v="2"/>
    <x v="1"/>
    <s v="Male"/>
    <x v="0"/>
    <n v="18.11"/>
    <n v="10"/>
    <n v="9.0549999999999997"/>
    <n v="190.155"/>
    <s v="3/13/2019"/>
    <d v="1899-12-30T11:46:00"/>
    <s v="Ewallet"/>
    <n v="181.1"/>
    <n v="4.7619047620000003"/>
    <n v="9.0549999999999997"/>
    <n v="5.9"/>
    <d v="2019-03-13T00:00:00"/>
    <x v="1"/>
    <x v="5"/>
  </r>
  <r>
    <s v="211-05-0490"/>
    <x v="1"/>
    <x v="1"/>
    <x v="0"/>
    <s v="Female"/>
    <x v="1"/>
    <n v="51.92"/>
    <n v="5"/>
    <n v="12.98"/>
    <n v="272.58"/>
    <d v="2019-03-03T00:00:00"/>
    <d v="1899-12-30T13:42:00"/>
    <s v="Cash"/>
    <n v="259.60000000000002"/>
    <n v="4.7619047620000003"/>
    <n v="12.98"/>
    <n v="7.5"/>
    <d v="2019-03-03T00:00:00"/>
    <x v="1"/>
    <x v="0"/>
  </r>
  <r>
    <s v="727-75-6477"/>
    <x v="1"/>
    <x v="1"/>
    <x v="1"/>
    <s v="Male"/>
    <x v="1"/>
    <n v="28.84"/>
    <n v="4"/>
    <n v="5.7679999999999998"/>
    <n v="121.128"/>
    <s v="3/29/2019"/>
    <d v="1899-12-30T14:44:00"/>
    <s v="Cash"/>
    <n v="115.36"/>
    <n v="4.7619047620000003"/>
    <n v="5.7679999999999998"/>
    <n v="6.4"/>
    <d v="2019-03-29T00:00:00"/>
    <x v="1"/>
    <x v="4"/>
  </r>
  <r>
    <s v="744-02-5987"/>
    <x v="0"/>
    <x v="0"/>
    <x v="0"/>
    <s v="Male"/>
    <x v="2"/>
    <n v="78.38"/>
    <n v="6"/>
    <n v="23.513999999999999"/>
    <n v="493.79399999999998"/>
    <d v="2019-10-01T00:00:00"/>
    <d v="1899-12-30T14:16:00"/>
    <s v="Ewallet"/>
    <n v="470.28"/>
    <n v="4.7619047620000003"/>
    <n v="23.513999999999999"/>
    <n v="5.8"/>
    <d v="2019-01-10T00:00:00"/>
    <x v="0"/>
    <x v="4"/>
  </r>
  <r>
    <s v="307-83-9164"/>
    <x v="0"/>
    <x v="0"/>
    <x v="0"/>
    <s v="Male"/>
    <x v="2"/>
    <n v="60.01"/>
    <n v="4"/>
    <n v="12.002000000000001"/>
    <n v="252.042"/>
    <s v="1/25/2019"/>
    <d v="1899-12-30T15:54:00"/>
    <s v="Cash"/>
    <n v="240.04"/>
    <n v="4.7619047620000003"/>
    <n v="12.002000000000001"/>
    <n v="4.5"/>
    <d v="2019-01-25T00:00:00"/>
    <x v="0"/>
    <x v="9"/>
  </r>
  <r>
    <s v="779-06-0012"/>
    <x v="1"/>
    <x v="1"/>
    <x v="0"/>
    <s v="Female"/>
    <x v="2"/>
    <n v="88.61"/>
    <n v="1"/>
    <n v="4.4305000000000003"/>
    <n v="93.040499999999994"/>
    <s v="1/19/2019"/>
    <d v="1899-12-30T10:21:00"/>
    <s v="Cash"/>
    <n v="88.61"/>
    <n v="4.7619047620000003"/>
    <n v="4.4305000000000003"/>
    <n v="7.7"/>
    <d v="2019-01-19T00:00:00"/>
    <x v="0"/>
    <x v="1"/>
  </r>
  <r>
    <s v="446-47-6729"/>
    <x v="1"/>
    <x v="1"/>
    <x v="1"/>
    <s v="Male"/>
    <x v="5"/>
    <n v="99.82"/>
    <n v="2"/>
    <n v="9.9819999999999993"/>
    <n v="209.62200000000001"/>
    <d v="2019-02-01T00:00:00"/>
    <d v="1899-12-30T18:09:00"/>
    <s v="Credit card"/>
    <n v="199.64"/>
    <n v="4.7619047620000003"/>
    <n v="9.9819999999999993"/>
    <n v="6.7"/>
    <d v="2019-01-02T00:00:00"/>
    <x v="0"/>
    <x v="3"/>
  </r>
  <r>
    <s v="573-10-3877"/>
    <x v="2"/>
    <x v="2"/>
    <x v="0"/>
    <s v="Male"/>
    <x v="0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n v="4.7"/>
    <d v="2019-03-12T00:00:00"/>
    <x v="1"/>
    <x v="7"/>
  </r>
  <r>
    <s v="735-06-4124"/>
    <x v="1"/>
    <x v="1"/>
    <x v="1"/>
    <s v="Male"/>
    <x v="4"/>
    <n v="48.61"/>
    <n v="1"/>
    <n v="2.4304999999999999"/>
    <n v="51.040500000000002"/>
    <s v="2/25/2019"/>
    <d v="1899-12-30T15:31:00"/>
    <s v="Cash"/>
    <n v="48.61"/>
    <n v="4.7619047620000003"/>
    <n v="2.4304999999999999"/>
    <n v="4.4000000000000004"/>
    <d v="2019-02-25T00:00:00"/>
    <x v="2"/>
    <x v="9"/>
  </r>
  <r>
    <s v="439-54-7422"/>
    <x v="0"/>
    <x v="0"/>
    <x v="1"/>
    <s v="Female"/>
    <x v="1"/>
    <n v="51.19"/>
    <n v="4"/>
    <n v="10.238"/>
    <n v="214.99799999999999"/>
    <s v="3/18/2019"/>
    <d v="1899-12-30T17:15:00"/>
    <s v="Credit card"/>
    <n v="204.76"/>
    <n v="4.7619047620000003"/>
    <n v="10.238"/>
    <n v="4.7"/>
    <d v="2019-03-18T00:00:00"/>
    <x v="1"/>
    <x v="6"/>
  </r>
  <r>
    <s v="396-90-2219"/>
    <x v="2"/>
    <x v="2"/>
    <x v="1"/>
    <s v="Female"/>
    <x v="1"/>
    <n v="14.96"/>
    <n v="8"/>
    <n v="5.984"/>
    <n v="125.664"/>
    <s v="2/23/2019"/>
    <d v="1899-12-30T12:29:00"/>
    <s v="Cash"/>
    <n v="119.68"/>
    <n v="4.7619047620000003"/>
    <n v="5.984"/>
    <n v="8.6"/>
    <d v="2019-02-23T00:00:00"/>
    <x v="2"/>
    <x v="10"/>
  </r>
  <r>
    <s v="411-77-0180"/>
    <x v="0"/>
    <x v="0"/>
    <x v="0"/>
    <s v="Male"/>
    <x v="1"/>
    <n v="72.2"/>
    <n v="7"/>
    <n v="25.27"/>
    <n v="530.66999999999996"/>
    <s v="3/26/2019"/>
    <d v="1899-12-30T20:14:00"/>
    <s v="Ewallet"/>
    <n v="505.4"/>
    <n v="4.7619047620000003"/>
    <n v="25.27"/>
    <n v="4.3"/>
    <d v="2019-03-26T00:00:00"/>
    <x v="1"/>
    <x v="2"/>
  </r>
  <r>
    <s v="286-01-5402"/>
    <x v="0"/>
    <x v="0"/>
    <x v="1"/>
    <s v="Female"/>
    <x v="3"/>
    <n v="40.229999999999997"/>
    <n v="7"/>
    <n v="14.080500000000001"/>
    <n v="295.69049999999999"/>
    <s v="3/30/2019"/>
    <d v="1899-12-30T13:22:00"/>
    <s v="Cash"/>
    <n v="281.61"/>
    <n v="4.7619047620000003"/>
    <n v="14.080500000000001"/>
    <n v="9.6"/>
    <d v="2019-03-30T00:00:00"/>
    <x v="1"/>
    <x v="0"/>
  </r>
  <r>
    <s v="803-17-8013"/>
    <x v="0"/>
    <x v="0"/>
    <x v="0"/>
    <s v="Female"/>
    <x v="2"/>
    <n v="88.79"/>
    <n v="8"/>
    <n v="35.515999999999998"/>
    <n v="745.83600000000001"/>
    <s v="2/17/2019"/>
    <d v="1899-12-30T17:09:00"/>
    <s v="Cash"/>
    <n v="710.32"/>
    <n v="4.7619047620000003"/>
    <n v="35.515999999999998"/>
    <n v="4.0999999999999996"/>
    <d v="2019-02-17T00:00:00"/>
    <x v="2"/>
    <x v="6"/>
  </r>
  <r>
    <s v="512-98-1403"/>
    <x v="0"/>
    <x v="0"/>
    <x v="0"/>
    <s v="Female"/>
    <x v="1"/>
    <n v="26.48"/>
    <n v="3"/>
    <n v="3.972"/>
    <n v="83.412000000000006"/>
    <s v="3/21/2019"/>
    <d v="1899-12-30T10:40:00"/>
    <s v="Ewallet"/>
    <n v="79.44"/>
    <n v="4.7619047620000003"/>
    <n v="3.972"/>
    <n v="4.7"/>
    <d v="2019-03-21T00:00:00"/>
    <x v="1"/>
    <x v="1"/>
  </r>
  <r>
    <s v="848-42-2560"/>
    <x v="0"/>
    <x v="0"/>
    <x v="1"/>
    <s v="Female"/>
    <x v="5"/>
    <n v="81.91"/>
    <n v="2"/>
    <n v="8.1910000000000007"/>
    <n v="172.011"/>
    <d v="2019-05-03T00:00:00"/>
    <d v="1899-12-30T17:43:00"/>
    <s v="Cash"/>
    <n v="163.82"/>
    <n v="4.7619047620000003"/>
    <n v="8.1910000000000007"/>
    <n v="7.8"/>
    <d v="2019-03-05T00:00:00"/>
    <x v="1"/>
    <x v="6"/>
  </r>
  <r>
    <s v="532-59-7201"/>
    <x v="2"/>
    <x v="2"/>
    <x v="0"/>
    <s v="Male"/>
    <x v="3"/>
    <n v="79.930000000000007"/>
    <n v="6"/>
    <n v="23.978999999999999"/>
    <n v="503.55900000000003"/>
    <s v="1/31/2019"/>
    <d v="1899-12-30T14:04:00"/>
    <s v="Cash"/>
    <n v="479.58"/>
    <n v="4.7619047620000003"/>
    <n v="23.978999999999999"/>
    <n v="5.5"/>
    <d v="2019-01-31T00:00:00"/>
    <x v="0"/>
    <x v="4"/>
  </r>
  <r>
    <s v="181-94-6432"/>
    <x v="1"/>
    <x v="1"/>
    <x v="0"/>
    <s v="Male"/>
    <x v="5"/>
    <n v="69.33"/>
    <n v="2"/>
    <n v="6.9329999999999998"/>
    <n v="145.59299999999999"/>
    <d v="2019-05-02T00:00:00"/>
    <d v="1899-12-30T19:05:00"/>
    <s v="Ewallet"/>
    <n v="138.66"/>
    <n v="4.7619047620000003"/>
    <n v="6.9329999999999998"/>
    <n v="9.6999999999999993"/>
    <d v="2019-02-05T00:00:00"/>
    <x v="2"/>
    <x v="8"/>
  </r>
  <r>
    <s v="870-76-1733"/>
    <x v="0"/>
    <x v="0"/>
    <x v="0"/>
    <s v="Female"/>
    <x v="4"/>
    <n v="14.23"/>
    <n v="5"/>
    <n v="3.5575000000000001"/>
    <n v="74.707499999999996"/>
    <d v="2019-01-02T00:00:00"/>
    <d v="1899-12-30T10:08:00"/>
    <s v="Credit card"/>
    <n v="71.150000000000006"/>
    <n v="4.7619047620000003"/>
    <n v="3.5575000000000001"/>
    <n v="4.4000000000000004"/>
    <d v="2019-02-01T00:00:00"/>
    <x v="2"/>
    <x v="1"/>
  </r>
  <r>
    <s v="423-64-4619"/>
    <x v="0"/>
    <x v="0"/>
    <x v="0"/>
    <s v="Female"/>
    <x v="0"/>
    <n v="15.55"/>
    <n v="9"/>
    <n v="6.9974999999999996"/>
    <n v="146.94749999999999"/>
    <d v="2019-07-03T00:00:00"/>
    <d v="1899-12-30T13:12:00"/>
    <s v="Cash"/>
    <n v="139.94999999999999"/>
    <n v="4.7619047620000003"/>
    <n v="6.9974999999999996"/>
    <n v="5"/>
    <d v="2019-03-07T00:00:00"/>
    <x v="1"/>
    <x v="0"/>
  </r>
  <r>
    <s v="227-07-4446"/>
    <x v="1"/>
    <x v="1"/>
    <x v="0"/>
    <s v="Female"/>
    <x v="1"/>
    <n v="78.13"/>
    <n v="10"/>
    <n v="39.064999999999998"/>
    <n v="820.36500000000001"/>
    <d v="2019-10-02T00:00:00"/>
    <d v="1899-12-30T20:51:00"/>
    <s v="Cash"/>
    <n v="781.3"/>
    <n v="4.7619047620000003"/>
    <n v="39.064999999999998"/>
    <n v="4.4000000000000004"/>
    <d v="2019-02-10T00:00:00"/>
    <x v="2"/>
    <x v="2"/>
  </r>
  <r>
    <s v="174-36-3675"/>
    <x v="1"/>
    <x v="1"/>
    <x v="0"/>
    <s v="Male"/>
    <x v="4"/>
    <n v="99.37"/>
    <n v="2"/>
    <n v="9.9369999999999994"/>
    <n v="208.67699999999999"/>
    <s v="2/14/2019"/>
    <d v="1899-12-30T17:29:00"/>
    <s v="Cash"/>
    <n v="198.74"/>
    <n v="4.7619047620000003"/>
    <n v="9.9369999999999994"/>
    <n v="5.2"/>
    <d v="2019-02-14T00:00:00"/>
    <x v="2"/>
    <x v="6"/>
  </r>
  <r>
    <s v="428-83-5800"/>
    <x v="1"/>
    <x v="1"/>
    <x v="0"/>
    <s v="Female"/>
    <x v="4"/>
    <n v="21.08"/>
    <n v="3"/>
    <n v="3.1619999999999999"/>
    <n v="66.402000000000001"/>
    <d v="2019-09-02T00:00:00"/>
    <d v="1899-12-30T10:25:00"/>
    <s v="Cash"/>
    <n v="63.24"/>
    <n v="4.7619047620000003"/>
    <n v="3.1619999999999999"/>
    <n v="7.3"/>
    <d v="2019-02-09T00:00:00"/>
    <x v="2"/>
    <x v="1"/>
  </r>
  <r>
    <s v="603-07-0961"/>
    <x v="1"/>
    <x v="1"/>
    <x v="0"/>
    <s v="Male"/>
    <x v="1"/>
    <n v="74.790000000000006"/>
    <n v="5"/>
    <n v="18.697500000000002"/>
    <n v="392.64749999999998"/>
    <d v="2019-10-01T00:00:00"/>
    <d v="1899-12-30T11:34:00"/>
    <s v="Cash"/>
    <n v="373.95"/>
    <n v="4.7619047620000003"/>
    <n v="18.697500000000002"/>
    <n v="4.9000000000000004"/>
    <d v="2019-01-10T00:00:00"/>
    <x v="0"/>
    <x v="5"/>
  </r>
  <r>
    <s v="704-20-4138"/>
    <x v="1"/>
    <x v="1"/>
    <x v="0"/>
    <s v="Female"/>
    <x v="0"/>
    <n v="29.67"/>
    <n v="7"/>
    <n v="10.384499999999999"/>
    <n v="218.0745"/>
    <d v="2019-11-03T00:00:00"/>
    <d v="1899-12-30T18:58:00"/>
    <s v="Credit card"/>
    <n v="207.69"/>
    <n v="4.7619047620000003"/>
    <n v="10.384499999999999"/>
    <n v="8.1"/>
    <d v="2019-03-11T00:00:00"/>
    <x v="1"/>
    <x v="3"/>
  </r>
  <r>
    <s v="787-15-1757"/>
    <x v="1"/>
    <x v="1"/>
    <x v="0"/>
    <s v="Male"/>
    <x v="0"/>
    <n v="44.07"/>
    <n v="4"/>
    <n v="8.8140000000000001"/>
    <n v="185.09399999999999"/>
    <s v="2/18/2019"/>
    <d v="1899-12-30T16:28:00"/>
    <s v="Ewallet"/>
    <n v="176.28"/>
    <n v="4.7619047620000003"/>
    <n v="8.8140000000000001"/>
    <n v="8.4"/>
    <d v="2019-02-18T00:00:00"/>
    <x v="2"/>
    <x v="7"/>
  </r>
  <r>
    <s v="649-11-3678"/>
    <x v="1"/>
    <x v="1"/>
    <x v="1"/>
    <s v="Female"/>
    <x v="4"/>
    <n v="22.93"/>
    <n v="9"/>
    <n v="10.3185"/>
    <n v="216.6885"/>
    <s v="2/26/2019"/>
    <d v="1899-12-30T20:26:00"/>
    <s v="Cash"/>
    <n v="206.37"/>
    <n v="4.7619047620000003"/>
    <n v="10.3185"/>
    <n v="5.5"/>
    <d v="2019-02-26T00:00:00"/>
    <x v="2"/>
    <x v="2"/>
  </r>
  <r>
    <s v="622-20-1945"/>
    <x v="1"/>
    <x v="1"/>
    <x v="1"/>
    <s v="Female"/>
    <x v="0"/>
    <n v="39.42"/>
    <n v="1"/>
    <n v="1.9710000000000001"/>
    <n v="41.390999999999998"/>
    <s v="1/18/2019"/>
    <d v="1899-12-30T15:08:00"/>
    <s v="Cash"/>
    <n v="39.42"/>
    <n v="4.7619047620000003"/>
    <n v="1.9710000000000001"/>
    <n v="8.4"/>
    <d v="2019-01-18T00:00:00"/>
    <x v="0"/>
    <x v="9"/>
  </r>
  <r>
    <s v="372-94-8041"/>
    <x v="0"/>
    <x v="0"/>
    <x v="1"/>
    <s v="Male"/>
    <x v="0"/>
    <n v="15.26"/>
    <n v="6"/>
    <n v="4.5780000000000003"/>
    <n v="96.138000000000005"/>
    <s v="2/15/2019"/>
    <d v="1899-12-30T18:03:00"/>
    <s v="Ewallet"/>
    <n v="91.56"/>
    <n v="4.7619047620000003"/>
    <n v="4.5780000000000003"/>
    <n v="9.8000000000000007"/>
    <d v="2019-02-15T00:00:00"/>
    <x v="2"/>
    <x v="3"/>
  </r>
  <r>
    <s v="563-91-7120"/>
    <x v="0"/>
    <x v="0"/>
    <x v="1"/>
    <s v="Female"/>
    <x v="5"/>
    <n v="61.77"/>
    <n v="5"/>
    <n v="15.442500000000001"/>
    <n v="324.29250000000002"/>
    <d v="2019-08-03T00:00:00"/>
    <d v="1899-12-30T13:21:00"/>
    <s v="Cash"/>
    <n v="308.85000000000002"/>
    <n v="4.7619047620000003"/>
    <n v="15.442500000000001"/>
    <n v="6.7"/>
    <d v="2019-03-08T00:00:00"/>
    <x v="1"/>
    <x v="0"/>
  </r>
  <r>
    <s v="746-54-5508"/>
    <x v="0"/>
    <x v="0"/>
    <x v="1"/>
    <s v="Male"/>
    <x v="2"/>
    <n v="21.52"/>
    <n v="6"/>
    <n v="6.4560000000000004"/>
    <n v="135.57599999999999"/>
    <s v="1/17/2019"/>
    <d v="1899-12-30T12:48:00"/>
    <s v="Credit card"/>
    <n v="129.12"/>
    <n v="4.7619047620000003"/>
    <n v="6.4560000000000004"/>
    <n v="9.4"/>
    <d v="2019-01-17T00:00:00"/>
    <x v="0"/>
    <x v="10"/>
  </r>
  <r>
    <s v="276-54-0879"/>
    <x v="2"/>
    <x v="2"/>
    <x v="1"/>
    <s v="Male"/>
    <x v="3"/>
    <n v="97.74"/>
    <n v="4"/>
    <n v="19.547999999999998"/>
    <n v="410.50799999999998"/>
    <d v="2019-12-03T00:00:00"/>
    <d v="1899-12-30T19:53:00"/>
    <s v="Ewallet"/>
    <n v="390.96"/>
    <n v="4.7619047620000003"/>
    <n v="19.547999999999998"/>
    <n v="6.4"/>
    <d v="2019-03-12T00:00:00"/>
    <x v="1"/>
    <x v="8"/>
  </r>
  <r>
    <s v="815-11-1168"/>
    <x v="0"/>
    <x v="0"/>
    <x v="0"/>
    <s v="Male"/>
    <x v="4"/>
    <n v="99.78"/>
    <n v="5"/>
    <n v="24.945"/>
    <n v="523.84500000000003"/>
    <d v="2019-09-03T00:00:00"/>
    <d v="1899-12-30T19:09:00"/>
    <s v="Cash"/>
    <n v="498.9"/>
    <n v="4.7619047620000003"/>
    <n v="24.945"/>
    <n v="5.4"/>
    <d v="2019-03-09T00:00:00"/>
    <x v="1"/>
    <x v="8"/>
  </r>
  <r>
    <s v="719-76-3868"/>
    <x v="1"/>
    <x v="1"/>
    <x v="0"/>
    <s v="Male"/>
    <x v="4"/>
    <n v="94.26"/>
    <n v="4"/>
    <n v="18.852"/>
    <n v="395.892"/>
    <d v="2019-12-03T00:00:00"/>
    <d v="1899-12-30T16:30:00"/>
    <s v="Cash"/>
    <n v="377.04"/>
    <n v="4.7619047620000003"/>
    <n v="18.852"/>
    <n v="8.6"/>
    <d v="2019-03-12T00:00:00"/>
    <x v="1"/>
    <x v="7"/>
  </r>
  <r>
    <s v="730-61-8757"/>
    <x v="2"/>
    <x v="2"/>
    <x v="0"/>
    <s v="Male"/>
    <x v="0"/>
    <n v="51.13"/>
    <n v="4"/>
    <n v="10.226000000000001"/>
    <n v="214.74600000000001"/>
    <s v="1/25/2019"/>
    <d v="1899-12-30T10:11:00"/>
    <s v="Credit card"/>
    <n v="204.52"/>
    <n v="4.7619047620000003"/>
    <n v="10.226000000000001"/>
    <n v="4"/>
    <d v="2019-01-25T00:00:00"/>
    <x v="0"/>
    <x v="1"/>
  </r>
  <r>
    <s v="340-66-0321"/>
    <x v="0"/>
    <x v="0"/>
    <x v="0"/>
    <s v="Male"/>
    <x v="1"/>
    <n v="36.36"/>
    <n v="4"/>
    <n v="7.2720000000000002"/>
    <n v="152.71199999999999"/>
    <s v="3/25/2019"/>
    <d v="1899-12-30T13:07:00"/>
    <s v="Cash"/>
    <n v="145.44"/>
    <n v="4.7619047620000003"/>
    <n v="7.2720000000000002"/>
    <n v="7.6"/>
    <d v="2019-03-25T00:00:00"/>
    <x v="1"/>
    <x v="0"/>
  </r>
  <r>
    <s v="868-81-1752"/>
    <x v="2"/>
    <x v="2"/>
    <x v="1"/>
    <s v="Male"/>
    <x v="2"/>
    <n v="22.02"/>
    <n v="9"/>
    <n v="9.9090000000000007"/>
    <n v="208.089"/>
    <d v="2019-07-02T00:00:00"/>
    <d v="1899-12-30T18:48:00"/>
    <s v="Cash"/>
    <n v="198.18"/>
    <n v="4.7619047620000003"/>
    <n v="9.9090000000000007"/>
    <n v="6.8"/>
    <d v="2019-02-07T00:00:00"/>
    <x v="2"/>
    <x v="3"/>
  </r>
  <r>
    <s v="634-97-8956"/>
    <x v="0"/>
    <x v="0"/>
    <x v="1"/>
    <s v="Male"/>
    <x v="4"/>
    <n v="32.9"/>
    <n v="3"/>
    <n v="4.9349999999999996"/>
    <n v="103.63500000000001"/>
    <s v="2/17/2019"/>
    <d v="1899-12-30T17:27:00"/>
    <s v="Credit card"/>
    <n v="98.7"/>
    <n v="4.7619047620000003"/>
    <n v="4.9349999999999996"/>
    <n v="9.1"/>
    <d v="2019-02-17T00:00:00"/>
    <x v="2"/>
    <x v="6"/>
  </r>
  <r>
    <s v="566-71-1091"/>
    <x v="0"/>
    <x v="0"/>
    <x v="1"/>
    <s v="Male"/>
    <x v="5"/>
    <n v="77.02"/>
    <n v="5"/>
    <n v="19.254999999999999"/>
    <n v="404.35500000000002"/>
    <d v="2019-03-02T00:00:00"/>
    <d v="1899-12-30T15:59:00"/>
    <s v="Cash"/>
    <n v="385.1"/>
    <n v="4.7619047620000003"/>
    <n v="19.254999999999999"/>
    <n v="5.5"/>
    <d v="2019-02-03T00:00:00"/>
    <x v="2"/>
    <x v="9"/>
  </r>
  <r>
    <s v="442-48-3607"/>
    <x v="0"/>
    <x v="0"/>
    <x v="0"/>
    <s v="Male"/>
    <x v="4"/>
    <n v="23.48"/>
    <n v="2"/>
    <n v="2.3479999999999999"/>
    <n v="49.308"/>
    <s v="3/14/2019"/>
    <d v="1899-12-30T11:21:00"/>
    <s v="Credit card"/>
    <n v="46.96"/>
    <n v="4.7619047620000003"/>
    <n v="2.3479999999999999"/>
    <n v="7.9"/>
    <d v="2019-03-14T00:00:00"/>
    <x v="1"/>
    <x v="5"/>
  </r>
  <r>
    <s v="835-16-0096"/>
    <x v="1"/>
    <x v="1"/>
    <x v="0"/>
    <s v="Male"/>
    <x v="3"/>
    <n v="14.7"/>
    <n v="5"/>
    <n v="3.6749999999999998"/>
    <n v="77.174999999999997"/>
    <s v="3/24/2019"/>
    <d v="1899-12-30T13:48:00"/>
    <s v="Ewallet"/>
    <n v="73.5"/>
    <n v="4.7619047620000003"/>
    <n v="3.6749999999999998"/>
    <n v="8.5"/>
    <d v="2019-03-24T00:00:00"/>
    <x v="1"/>
    <x v="0"/>
  </r>
  <r>
    <s v="527-09-6272"/>
    <x v="0"/>
    <x v="0"/>
    <x v="0"/>
    <s v="Female"/>
    <x v="1"/>
    <n v="28.45"/>
    <n v="5"/>
    <n v="7.1124999999999998"/>
    <n v="149.36250000000001"/>
    <s v="3/21/2019"/>
    <d v="1899-12-30T10:17:00"/>
    <s v="Credit card"/>
    <n v="142.25"/>
    <n v="4.7619047620000003"/>
    <n v="7.1124999999999998"/>
    <n v="9.1"/>
    <d v="2019-03-21T00:00:00"/>
    <x v="1"/>
    <x v="1"/>
  </r>
  <r>
    <s v="898-04-2717"/>
    <x v="0"/>
    <x v="0"/>
    <x v="1"/>
    <s v="Male"/>
    <x v="5"/>
    <n v="76.400000000000006"/>
    <n v="9"/>
    <n v="34.380000000000003"/>
    <n v="721.98"/>
    <s v="3/19/2019"/>
    <d v="1899-12-30T15:49:00"/>
    <s v="Ewallet"/>
    <n v="687.6"/>
    <n v="4.7619047620000003"/>
    <n v="34.380000000000003"/>
    <n v="7.5"/>
    <d v="2019-03-19T00:00:00"/>
    <x v="1"/>
    <x v="9"/>
  </r>
  <r>
    <s v="692-27-8933"/>
    <x v="2"/>
    <x v="2"/>
    <x v="1"/>
    <s v="Female"/>
    <x v="3"/>
    <n v="57.95"/>
    <n v="6"/>
    <n v="17.385000000000002"/>
    <n v="365.08499999999998"/>
    <s v="2/24/2019"/>
    <d v="1899-12-30T13:02:00"/>
    <s v="Cash"/>
    <n v="347.7"/>
    <n v="4.7619047620000003"/>
    <n v="17.385000000000002"/>
    <n v="5.2"/>
    <d v="2019-02-24T00:00:00"/>
    <x v="2"/>
    <x v="0"/>
  </r>
  <r>
    <s v="633-09-3463"/>
    <x v="1"/>
    <x v="1"/>
    <x v="1"/>
    <s v="Female"/>
    <x v="1"/>
    <n v="47.65"/>
    <n v="3"/>
    <n v="7.1475"/>
    <n v="150.0975"/>
    <s v="3/28/2019"/>
    <d v="1899-12-30T12:58:00"/>
    <s v="Credit card"/>
    <n v="142.94999999999999"/>
    <n v="4.7619047620000003"/>
    <n v="7.1475"/>
    <n v="9.5"/>
    <d v="2019-03-28T00:00:00"/>
    <x v="1"/>
    <x v="10"/>
  </r>
  <r>
    <s v="374-17-3652"/>
    <x v="2"/>
    <x v="2"/>
    <x v="0"/>
    <s v="Female"/>
    <x v="4"/>
    <n v="42.82"/>
    <n v="9"/>
    <n v="19.268999999999998"/>
    <n v="404.649"/>
    <d v="2019-05-02T00:00:00"/>
    <d v="1899-12-30T15:26:00"/>
    <s v="Credit card"/>
    <n v="385.38"/>
    <n v="4.7619047620000003"/>
    <n v="19.268999999999998"/>
    <n v="8.9"/>
    <d v="2019-02-05T00:00:00"/>
    <x v="2"/>
    <x v="9"/>
  </r>
  <r>
    <s v="378-07-7001"/>
    <x v="2"/>
    <x v="2"/>
    <x v="0"/>
    <s v="Male"/>
    <x v="1"/>
    <n v="48.09"/>
    <n v="3"/>
    <n v="7.2134999999999998"/>
    <n v="151.48349999999999"/>
    <d v="2019-10-02T00:00:00"/>
    <d v="1899-12-30T18:23:00"/>
    <s v="Credit card"/>
    <n v="144.27000000000001"/>
    <n v="4.7619047620000003"/>
    <n v="7.2134999999999998"/>
    <n v="7.8"/>
    <d v="2019-02-10T00:00:00"/>
    <x v="2"/>
    <x v="3"/>
  </r>
  <r>
    <s v="433-75-6987"/>
    <x v="2"/>
    <x v="2"/>
    <x v="0"/>
    <s v="Female"/>
    <x v="0"/>
    <n v="55.97"/>
    <n v="7"/>
    <n v="19.589500000000001"/>
    <n v="411.37950000000001"/>
    <d v="2019-05-03T00:00:00"/>
    <d v="1899-12-30T19:06:00"/>
    <s v="Ewallet"/>
    <n v="391.79"/>
    <n v="4.7619047620000003"/>
    <n v="19.589500000000001"/>
    <n v="8.9"/>
    <d v="2019-03-05T00:00:00"/>
    <x v="1"/>
    <x v="8"/>
  </r>
  <r>
    <s v="873-95-4984"/>
    <x v="2"/>
    <x v="2"/>
    <x v="0"/>
    <s v="Female"/>
    <x v="0"/>
    <n v="76.900000000000006"/>
    <n v="7"/>
    <n v="26.914999999999999"/>
    <n v="565.21500000000003"/>
    <s v="2/15/2019"/>
    <d v="1899-12-30T20:21:00"/>
    <s v="Cash"/>
    <n v="538.29999999999995"/>
    <n v="4.7619047620000003"/>
    <n v="26.914999999999999"/>
    <n v="7.7"/>
    <d v="2019-02-15T00:00:00"/>
    <x v="2"/>
    <x v="2"/>
  </r>
  <r>
    <s v="416-13-5917"/>
    <x v="1"/>
    <x v="1"/>
    <x v="1"/>
    <s v="Female"/>
    <x v="4"/>
    <n v="97.03"/>
    <n v="5"/>
    <n v="24.2575"/>
    <n v="509.40750000000003"/>
    <s v="1/30/2019"/>
    <d v="1899-12-30T16:24:00"/>
    <s v="Ewallet"/>
    <n v="485.15"/>
    <n v="4.7619047620000003"/>
    <n v="24.2575"/>
    <n v="9.3000000000000007"/>
    <d v="2019-01-30T00:00:00"/>
    <x v="0"/>
    <x v="7"/>
  </r>
  <r>
    <s v="150-89-8043"/>
    <x v="0"/>
    <x v="0"/>
    <x v="1"/>
    <s v="Male"/>
    <x v="3"/>
    <n v="44.65"/>
    <n v="3"/>
    <n v="6.6974999999999998"/>
    <n v="140.64750000000001"/>
    <s v="2/14/2019"/>
    <d v="1899-12-30T15:04:00"/>
    <s v="Cash"/>
    <n v="133.94999999999999"/>
    <n v="4.7619047620000003"/>
    <n v="6.6974999999999998"/>
    <n v="6.2"/>
    <d v="2019-02-14T00:00:00"/>
    <x v="2"/>
    <x v="9"/>
  </r>
  <r>
    <s v="135-84-8019"/>
    <x v="0"/>
    <x v="0"/>
    <x v="1"/>
    <s v="Female"/>
    <x v="5"/>
    <n v="77.930000000000007"/>
    <n v="9"/>
    <n v="35.0685"/>
    <n v="736.43849999999998"/>
    <s v="2/27/2019"/>
    <d v="1899-12-30T16:10:00"/>
    <s v="Ewallet"/>
    <n v="701.37"/>
    <n v="4.7619047620000003"/>
    <n v="35.0685"/>
    <n v="7.6"/>
    <d v="2019-02-27T00:00:00"/>
    <x v="2"/>
    <x v="7"/>
  </r>
  <r>
    <s v="441-94-7118"/>
    <x v="0"/>
    <x v="0"/>
    <x v="0"/>
    <s v="Male"/>
    <x v="1"/>
    <n v="71.95"/>
    <n v="1"/>
    <n v="3.5975000000000001"/>
    <n v="75.547499999999999"/>
    <d v="2019-04-02T00:00:00"/>
    <d v="1899-12-30T12:14:00"/>
    <s v="Cash"/>
    <n v="71.95"/>
    <n v="4.7619047620000003"/>
    <n v="3.5975000000000001"/>
    <n v="7.3"/>
    <d v="2019-02-04T00:00:00"/>
    <x v="2"/>
    <x v="10"/>
  </r>
  <r>
    <s v="725-96-3778"/>
    <x v="1"/>
    <x v="1"/>
    <x v="0"/>
    <s v="Female"/>
    <x v="2"/>
    <n v="89.25"/>
    <n v="8"/>
    <n v="35.700000000000003"/>
    <n v="749.7"/>
    <s v="1/20/2019"/>
    <d v="1899-12-30T10:13:00"/>
    <s v="Cash"/>
    <n v="714"/>
    <n v="4.7619047620000003"/>
    <n v="35.700000000000003"/>
    <n v="4.7"/>
    <d v="2019-01-20T00:00:00"/>
    <x v="0"/>
    <x v="1"/>
  </r>
  <r>
    <s v="531-80-1784"/>
    <x v="0"/>
    <x v="0"/>
    <x v="1"/>
    <s v="Male"/>
    <x v="1"/>
    <n v="26.02"/>
    <n v="7"/>
    <n v="9.1069999999999993"/>
    <n v="191.24700000000001"/>
    <s v="3/28/2019"/>
    <d v="1899-12-30T17:38:00"/>
    <s v="Cash"/>
    <n v="182.14"/>
    <n v="4.7619047620000003"/>
    <n v="9.1069999999999993"/>
    <n v="5.0999999999999996"/>
    <d v="2019-03-28T00:00:00"/>
    <x v="1"/>
    <x v="6"/>
  </r>
  <r>
    <s v="400-45-1220"/>
    <x v="2"/>
    <x v="2"/>
    <x v="1"/>
    <s v="Female"/>
    <x v="0"/>
    <n v="13.5"/>
    <n v="10"/>
    <n v="6.75"/>
    <n v="141.75"/>
    <s v="2/27/2019"/>
    <d v="1899-12-30T11:06:00"/>
    <s v="Credit card"/>
    <n v="135"/>
    <n v="4.7619047620000003"/>
    <n v="6.75"/>
    <n v="4.8"/>
    <d v="2019-02-27T00:00:00"/>
    <x v="2"/>
    <x v="5"/>
  </r>
  <r>
    <s v="860-79-0874"/>
    <x v="1"/>
    <x v="1"/>
    <x v="0"/>
    <s v="Female"/>
    <x v="5"/>
    <n v="99.3"/>
    <n v="10"/>
    <n v="49.65"/>
    <n v="1042.6500000000001"/>
    <s v="2/15/2019"/>
    <d v="1899-12-30T14:53:00"/>
    <s v="Credit card"/>
    <n v="993"/>
    <n v="4.7619047620000003"/>
    <n v="49.65"/>
    <n v="6.6"/>
    <d v="2019-02-15T00:00:00"/>
    <x v="2"/>
    <x v="4"/>
  </r>
  <r>
    <s v="834-61-8124"/>
    <x v="0"/>
    <x v="0"/>
    <x v="1"/>
    <s v="Male"/>
    <x v="1"/>
    <n v="51.69"/>
    <n v="7"/>
    <n v="18.0915"/>
    <n v="379.92149999999998"/>
    <s v="1/26/2019"/>
    <d v="1899-12-30T18:22:00"/>
    <s v="Cash"/>
    <n v="361.83"/>
    <n v="4.7619047620000003"/>
    <n v="18.0915"/>
    <n v="5.5"/>
    <d v="2019-01-26T00:00:00"/>
    <x v="0"/>
    <x v="3"/>
  </r>
  <r>
    <s v="115-99-4379"/>
    <x v="2"/>
    <x v="2"/>
    <x v="0"/>
    <s v="Female"/>
    <x v="5"/>
    <n v="54.73"/>
    <n v="7"/>
    <n v="19.1555"/>
    <n v="402.26549999999997"/>
    <s v="3/14/2019"/>
    <d v="1899-12-30T19:02:00"/>
    <s v="Credit card"/>
    <n v="383.11"/>
    <n v="4.7619047620000003"/>
    <n v="19.1555"/>
    <n v="8.5"/>
    <d v="2019-03-14T00:00:00"/>
    <x v="1"/>
    <x v="8"/>
  </r>
  <r>
    <s v="565-67-6697"/>
    <x v="2"/>
    <x v="2"/>
    <x v="0"/>
    <s v="Male"/>
    <x v="2"/>
    <n v="27"/>
    <n v="9"/>
    <n v="12.15"/>
    <n v="255.15"/>
    <d v="2019-02-03T00:00:00"/>
    <d v="1899-12-30T14:16:00"/>
    <s v="Cash"/>
    <n v="243"/>
    <n v="4.7619047620000003"/>
    <n v="12.15"/>
    <n v="4.8"/>
    <d v="2019-03-02T00:00:00"/>
    <x v="1"/>
    <x v="4"/>
  </r>
  <r>
    <s v="320-49-6392"/>
    <x v="1"/>
    <x v="1"/>
    <x v="1"/>
    <s v="Female"/>
    <x v="1"/>
    <n v="30.24"/>
    <n v="1"/>
    <n v="1.512"/>
    <n v="31.751999999999999"/>
    <d v="2019-04-03T00:00:00"/>
    <d v="1899-12-30T15:44:00"/>
    <s v="Cash"/>
    <n v="30.24"/>
    <n v="4.7619047620000003"/>
    <n v="1.512"/>
    <n v="8.4"/>
    <d v="2019-03-04T00:00:00"/>
    <x v="1"/>
    <x v="9"/>
  </r>
  <r>
    <s v="889-04-9723"/>
    <x v="2"/>
    <x v="2"/>
    <x v="0"/>
    <s v="Female"/>
    <x v="4"/>
    <n v="89.14"/>
    <n v="4"/>
    <n v="17.827999999999999"/>
    <n v="374.38799999999998"/>
    <d v="2019-07-01T00:00:00"/>
    <d v="1899-12-30T12:20:00"/>
    <s v="Credit card"/>
    <n v="356.56"/>
    <n v="4.7619047620000003"/>
    <n v="17.827999999999999"/>
    <n v="7.8"/>
    <d v="2019-01-07T00:00:00"/>
    <x v="0"/>
    <x v="10"/>
  </r>
  <r>
    <s v="632-90-0281"/>
    <x v="1"/>
    <x v="1"/>
    <x v="1"/>
    <s v="Female"/>
    <x v="5"/>
    <n v="37.549999999999997"/>
    <n v="10"/>
    <n v="18.774999999999999"/>
    <n v="394.27499999999998"/>
    <d v="2019-08-03T00:00:00"/>
    <d v="1899-12-30T20:01:00"/>
    <s v="Credit card"/>
    <n v="375.5"/>
    <n v="4.7619047620000003"/>
    <n v="18.774999999999999"/>
    <n v="9.3000000000000007"/>
    <d v="2019-03-08T00:00:00"/>
    <x v="1"/>
    <x v="2"/>
  </r>
  <r>
    <s v="554-42-2417"/>
    <x v="1"/>
    <x v="1"/>
    <x v="1"/>
    <s v="Female"/>
    <x v="3"/>
    <n v="95.44"/>
    <n v="10"/>
    <n v="47.72"/>
    <n v="1002.12"/>
    <d v="2019-09-01T00:00:00"/>
    <d v="1899-12-30T13:45:00"/>
    <s v="Cash"/>
    <n v="954.4"/>
    <n v="4.7619047620000003"/>
    <n v="47.72"/>
    <n v="5.2"/>
    <d v="2019-01-09T00:00:00"/>
    <x v="0"/>
    <x v="0"/>
  </r>
  <r>
    <s v="453-63-6187"/>
    <x v="2"/>
    <x v="2"/>
    <x v="1"/>
    <s v="Male"/>
    <x v="1"/>
    <n v="27.5"/>
    <n v="3"/>
    <n v="4.125"/>
    <n v="86.625"/>
    <d v="2019-01-03T00:00:00"/>
    <d v="1899-12-30T15:40:00"/>
    <s v="Ewallet"/>
    <n v="82.5"/>
    <n v="4.7619047620000003"/>
    <n v="4.125"/>
    <n v="6.5"/>
    <d v="2019-03-01T00:00:00"/>
    <x v="1"/>
    <x v="9"/>
  </r>
  <r>
    <s v="578-80-7669"/>
    <x v="2"/>
    <x v="2"/>
    <x v="1"/>
    <s v="Male"/>
    <x v="3"/>
    <n v="74.97"/>
    <n v="1"/>
    <n v="3.7484999999999999"/>
    <n v="78.718500000000006"/>
    <s v="3/16/2019"/>
    <d v="1899-12-30T16:58:00"/>
    <s v="Cash"/>
    <n v="74.97"/>
    <n v="4.7619047620000003"/>
    <n v="3.7484999999999999"/>
    <n v="5.6"/>
    <d v="2019-03-16T00:00:00"/>
    <x v="1"/>
    <x v="7"/>
  </r>
  <r>
    <s v="612-36-5536"/>
    <x v="0"/>
    <x v="0"/>
    <x v="0"/>
    <s v="Male"/>
    <x v="4"/>
    <n v="80.959999999999994"/>
    <n v="8"/>
    <n v="32.384"/>
    <n v="680.06399999999996"/>
    <s v="2/17/2019"/>
    <d v="1899-12-30T11:12:00"/>
    <s v="Credit card"/>
    <n v="647.67999999999995"/>
    <n v="4.7619047620000003"/>
    <n v="32.384"/>
    <n v="7.4"/>
    <d v="2019-02-17T00:00:00"/>
    <x v="2"/>
    <x v="5"/>
  </r>
  <r>
    <s v="605-72-4132"/>
    <x v="1"/>
    <x v="1"/>
    <x v="1"/>
    <s v="Female"/>
    <x v="4"/>
    <n v="94.47"/>
    <n v="8"/>
    <n v="37.787999999999997"/>
    <n v="793.548"/>
    <s v="2/27/2019"/>
    <d v="1899-12-30T15:12:00"/>
    <s v="Cash"/>
    <n v="755.76"/>
    <n v="4.7619047620000003"/>
    <n v="37.787999999999997"/>
    <n v="9.1"/>
    <d v="2019-02-27T00:00:00"/>
    <x v="2"/>
    <x v="9"/>
  </r>
  <r>
    <s v="471-41-2823"/>
    <x v="1"/>
    <x v="1"/>
    <x v="1"/>
    <s v="Male"/>
    <x v="4"/>
    <n v="99.79"/>
    <n v="2"/>
    <n v="9.9789999999999992"/>
    <n v="209.559"/>
    <d v="2019-07-03T00:00:00"/>
    <d v="1899-12-30T20:37:00"/>
    <s v="Ewallet"/>
    <n v="199.58"/>
    <n v="4.7619047620000003"/>
    <n v="9.9789999999999992"/>
    <n v="8"/>
    <d v="2019-03-07T00:00:00"/>
    <x v="1"/>
    <x v="2"/>
  </r>
  <r>
    <s v="462-67-9126"/>
    <x v="0"/>
    <x v="0"/>
    <x v="1"/>
    <s v="Male"/>
    <x v="2"/>
    <n v="73.22"/>
    <n v="6"/>
    <n v="21.966000000000001"/>
    <n v="461.286"/>
    <s v="1/21/2019"/>
    <d v="1899-12-30T17:44:00"/>
    <s v="Cash"/>
    <n v="439.32"/>
    <n v="4.7619047620000003"/>
    <n v="21.966000000000001"/>
    <n v="7.2"/>
    <d v="2019-01-21T00:00:00"/>
    <x v="0"/>
    <x v="6"/>
  </r>
  <r>
    <s v="272-27-9238"/>
    <x v="1"/>
    <x v="1"/>
    <x v="1"/>
    <s v="Female"/>
    <x v="4"/>
    <n v="41.24"/>
    <n v="4"/>
    <n v="8.2479999999999993"/>
    <n v="173.208"/>
    <s v="2/19/2019"/>
    <d v="1899-12-30T16:23:00"/>
    <s v="Cash"/>
    <n v="164.96"/>
    <n v="4.7619047620000003"/>
    <n v="8.2479999999999993"/>
    <n v="7.1"/>
    <d v="2019-02-19T00:00:00"/>
    <x v="2"/>
    <x v="7"/>
  </r>
  <r>
    <s v="834-25-9262"/>
    <x v="1"/>
    <x v="1"/>
    <x v="1"/>
    <s v="Female"/>
    <x v="5"/>
    <n v="81.680000000000007"/>
    <n v="4"/>
    <n v="16.335999999999999"/>
    <n v="343.05599999999998"/>
    <d v="2019-06-01T00:00:00"/>
    <d v="1899-12-30T12:12:00"/>
    <s v="Cash"/>
    <n v="326.72000000000003"/>
    <n v="4.7619047620000003"/>
    <n v="16.335999999999999"/>
    <n v="9.1"/>
    <d v="2019-01-06T00:00:00"/>
    <x v="0"/>
    <x v="10"/>
  </r>
  <r>
    <s v="122-61-9553"/>
    <x v="1"/>
    <x v="1"/>
    <x v="1"/>
    <s v="Female"/>
    <x v="1"/>
    <n v="51.32"/>
    <n v="9"/>
    <n v="23.094000000000001"/>
    <n v="484.97399999999999"/>
    <s v="3/14/2019"/>
    <d v="1899-12-30T19:33:00"/>
    <s v="Cash"/>
    <n v="461.88"/>
    <n v="4.7619047620000003"/>
    <n v="23.094000000000001"/>
    <n v="5.6"/>
    <d v="2019-03-14T00:00:00"/>
    <x v="1"/>
    <x v="8"/>
  </r>
  <r>
    <s v="468-88-0009"/>
    <x v="0"/>
    <x v="0"/>
    <x v="0"/>
    <s v="Male"/>
    <x v="2"/>
    <n v="65.94"/>
    <n v="4"/>
    <n v="13.188000000000001"/>
    <n v="276.94799999999998"/>
    <s v="3/24/2019"/>
    <d v="1899-12-30T10:29:00"/>
    <s v="Cash"/>
    <n v="263.76"/>
    <n v="4.7619047620000003"/>
    <n v="13.188000000000001"/>
    <n v="6"/>
    <d v="2019-03-24T00:00:00"/>
    <x v="1"/>
    <x v="1"/>
  </r>
  <r>
    <s v="613-59-9758"/>
    <x v="1"/>
    <x v="1"/>
    <x v="1"/>
    <s v="Female"/>
    <x v="3"/>
    <n v="14.36"/>
    <n v="10"/>
    <n v="7.18"/>
    <n v="150.78"/>
    <s v="1/27/2019"/>
    <d v="1899-12-30T14:28:00"/>
    <s v="Cash"/>
    <n v="143.6"/>
    <n v="4.7619047620000003"/>
    <n v="7.18"/>
    <n v="5.4"/>
    <d v="2019-01-27T00:00:00"/>
    <x v="0"/>
    <x v="4"/>
  </r>
  <r>
    <s v="254-31-0042"/>
    <x v="0"/>
    <x v="0"/>
    <x v="0"/>
    <s v="Male"/>
    <x v="1"/>
    <n v="21.5"/>
    <n v="9"/>
    <n v="9.6750000000000007"/>
    <n v="203.17500000000001"/>
    <d v="2019-06-03T00:00:00"/>
    <d v="1899-12-30T12:46:00"/>
    <s v="Credit card"/>
    <n v="193.5"/>
    <n v="4.7619047620000003"/>
    <n v="9.6750000000000007"/>
    <n v="7.8"/>
    <d v="2019-03-06T00:00:00"/>
    <x v="1"/>
    <x v="10"/>
  </r>
  <r>
    <s v="201-86-2184"/>
    <x v="2"/>
    <x v="2"/>
    <x v="0"/>
    <s v="Female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  <d v="2019-02-02T00:00:00"/>
    <x v="2"/>
    <x v="8"/>
  </r>
  <r>
    <s v="261-12-8671"/>
    <x v="2"/>
    <x v="2"/>
    <x v="1"/>
    <s v="Female"/>
    <x v="5"/>
    <n v="60.96"/>
    <n v="2"/>
    <n v="6.0960000000000001"/>
    <n v="128.01599999999999"/>
    <s v="1/25/2019"/>
    <d v="1899-12-30T19:39:00"/>
    <s v="Credit card"/>
    <n v="121.92"/>
    <n v="4.7619047620000003"/>
    <n v="6.0960000000000001"/>
    <n v="4.9000000000000004"/>
    <d v="2019-01-25T00:00:00"/>
    <x v="0"/>
    <x v="8"/>
  </r>
  <r>
    <s v="730-70-9830"/>
    <x v="1"/>
    <x v="1"/>
    <x v="1"/>
    <s v="Female"/>
    <x v="2"/>
    <n v="70.11"/>
    <n v="6"/>
    <n v="21.033000000000001"/>
    <n v="441.69299999999998"/>
    <s v="3/14/2019"/>
    <d v="1899-12-30T17:54:00"/>
    <s v="Ewallet"/>
    <n v="420.66"/>
    <n v="4.7619047620000003"/>
    <n v="21.033000000000001"/>
    <n v="5.2"/>
    <d v="2019-03-14T00:00:00"/>
    <x v="1"/>
    <x v="6"/>
  </r>
  <r>
    <s v="382-25-8917"/>
    <x v="1"/>
    <x v="1"/>
    <x v="1"/>
    <s v="Male"/>
    <x v="5"/>
    <n v="42.08"/>
    <n v="6"/>
    <n v="12.624000000000001"/>
    <n v="265.10399999999998"/>
    <s v="1/29/2019"/>
    <d v="1899-12-30T12:25:00"/>
    <s v="Cash"/>
    <n v="252.48"/>
    <n v="4.7619047620000003"/>
    <n v="12.624000000000001"/>
    <n v="8.9"/>
    <d v="2019-01-29T00:00:00"/>
    <x v="0"/>
    <x v="10"/>
  </r>
  <r>
    <s v="422-29-8786"/>
    <x v="0"/>
    <x v="0"/>
    <x v="1"/>
    <s v="Female"/>
    <x v="2"/>
    <n v="67.09"/>
    <n v="5"/>
    <n v="16.772500000000001"/>
    <n v="352.22250000000003"/>
    <d v="2019-03-01T00:00:00"/>
    <d v="1899-12-30T16:47:00"/>
    <s v="Credit card"/>
    <n v="335.45"/>
    <n v="4.7619047620000003"/>
    <n v="16.772500000000001"/>
    <n v="9.1"/>
    <d v="2019-01-03T00:00:00"/>
    <x v="0"/>
    <x v="7"/>
  </r>
  <r>
    <s v="667-23-5919"/>
    <x v="0"/>
    <x v="0"/>
    <x v="0"/>
    <s v="Female"/>
    <x v="5"/>
    <n v="96.7"/>
    <n v="5"/>
    <n v="24.175000000000001"/>
    <n v="507.67500000000001"/>
    <s v="1/14/2019"/>
    <d v="1899-12-30T12:52:00"/>
    <s v="Ewallet"/>
    <n v="483.5"/>
    <n v="4.7619047620000003"/>
    <n v="24.175000000000001"/>
    <n v="7"/>
    <d v="2019-01-14T00:00:00"/>
    <x v="0"/>
    <x v="10"/>
  </r>
  <r>
    <s v="843-01-4703"/>
    <x v="2"/>
    <x v="2"/>
    <x v="0"/>
    <s v="Female"/>
    <x v="2"/>
    <n v="35.380000000000003"/>
    <n v="9"/>
    <n v="15.920999999999999"/>
    <n v="334.34100000000001"/>
    <d v="2019-05-01T00:00:00"/>
    <d v="1899-12-30T19:50:00"/>
    <s v="Credit card"/>
    <n v="318.42"/>
    <n v="4.7619047620000003"/>
    <n v="15.920999999999999"/>
    <n v="9.6"/>
    <d v="2019-01-05T00:00:00"/>
    <x v="0"/>
    <x v="8"/>
  </r>
  <r>
    <s v="743-88-1662"/>
    <x v="1"/>
    <x v="1"/>
    <x v="1"/>
    <s v="Male"/>
    <x v="3"/>
    <n v="95.49"/>
    <n v="7"/>
    <n v="33.421500000000002"/>
    <n v="701.85149999999999"/>
    <s v="2/22/2019"/>
    <d v="1899-12-30T18:17:00"/>
    <s v="Ewallet"/>
    <n v="668.43"/>
    <n v="4.7619047620000003"/>
    <n v="33.421500000000002"/>
    <n v="8.6999999999999993"/>
    <d v="2019-02-22T00:00:00"/>
    <x v="2"/>
    <x v="3"/>
  </r>
  <r>
    <s v="595-86-2894"/>
    <x v="1"/>
    <x v="1"/>
    <x v="0"/>
    <s v="Male"/>
    <x v="5"/>
    <n v="96.98"/>
    <n v="4"/>
    <n v="19.396000000000001"/>
    <n v="407.31599999999997"/>
    <d v="2019-06-02T00:00:00"/>
    <d v="1899-12-30T17:20:00"/>
    <s v="Ewallet"/>
    <n v="387.92"/>
    <n v="4.7619047620000003"/>
    <n v="19.396000000000001"/>
    <n v="9.4"/>
    <d v="2019-02-06T00:00:00"/>
    <x v="2"/>
    <x v="6"/>
  </r>
  <r>
    <s v="182-69-8360"/>
    <x v="2"/>
    <x v="2"/>
    <x v="1"/>
    <s v="Female"/>
    <x v="1"/>
    <n v="23.65"/>
    <n v="4"/>
    <n v="4.7300000000000004"/>
    <n v="99.33"/>
    <s v="1/30/2019"/>
    <d v="1899-12-30T13:32:00"/>
    <s v="Credit card"/>
    <n v="94.6"/>
    <n v="4.7619047620000003"/>
    <n v="4.7300000000000004"/>
    <n v="4"/>
    <d v="2019-01-30T00:00:00"/>
    <x v="0"/>
    <x v="0"/>
  </r>
  <r>
    <s v="289-15-7034"/>
    <x v="0"/>
    <x v="0"/>
    <x v="0"/>
    <s v="Male"/>
    <x v="3"/>
    <n v="82.33"/>
    <n v="4"/>
    <n v="16.466000000000001"/>
    <n v="345.786"/>
    <d v="2019-11-01T00:00:00"/>
    <d v="1899-12-30T10:37:00"/>
    <s v="Credit card"/>
    <n v="329.32"/>
    <n v="4.7619047620000003"/>
    <n v="16.466000000000001"/>
    <n v="7.5"/>
    <d v="2019-01-11T00:00:00"/>
    <x v="0"/>
    <x v="1"/>
  </r>
  <r>
    <s v="462-78-5240"/>
    <x v="1"/>
    <x v="1"/>
    <x v="1"/>
    <s v="Female"/>
    <x v="1"/>
    <n v="26.61"/>
    <n v="2"/>
    <n v="2.661"/>
    <n v="55.881"/>
    <s v="3/19/2019"/>
    <d v="1899-12-30T14:35:00"/>
    <s v="Cash"/>
    <n v="53.22"/>
    <n v="4.7619047620000003"/>
    <n v="2.661"/>
    <n v="4.2"/>
    <d v="2019-03-19T00:00:00"/>
    <x v="1"/>
    <x v="4"/>
  </r>
  <r>
    <s v="868-52-7573"/>
    <x v="2"/>
    <x v="2"/>
    <x v="1"/>
    <s v="Female"/>
    <x v="4"/>
    <n v="99.69"/>
    <n v="5"/>
    <n v="24.922499999999999"/>
    <n v="523.37249999999995"/>
    <s v="1/14/2019"/>
    <d v="1899-12-30T12:09:00"/>
    <s v="Cash"/>
    <n v="498.45"/>
    <n v="4.7619047620000003"/>
    <n v="24.922499999999999"/>
    <n v="9.9"/>
    <d v="2019-01-14T00:00:00"/>
    <x v="0"/>
    <x v="10"/>
  </r>
  <r>
    <s v="153-58-4872"/>
    <x v="1"/>
    <x v="1"/>
    <x v="0"/>
    <s v="Female"/>
    <x v="4"/>
    <n v="74.89"/>
    <n v="4"/>
    <n v="14.978"/>
    <n v="314.53800000000001"/>
    <d v="2019-01-03T00:00:00"/>
    <d v="1899-12-30T15:32:00"/>
    <s v="Ewallet"/>
    <n v="299.56"/>
    <n v="4.7619047620000003"/>
    <n v="14.978"/>
    <n v="4.2"/>
    <d v="2019-03-01T00:00:00"/>
    <x v="1"/>
    <x v="9"/>
  </r>
  <r>
    <s v="662-72-2873"/>
    <x v="0"/>
    <x v="0"/>
    <x v="1"/>
    <s v="Female"/>
    <x v="4"/>
    <n v="40.94"/>
    <n v="5"/>
    <n v="10.234999999999999"/>
    <n v="214.935"/>
    <d v="2019-06-01T00:00:00"/>
    <d v="1899-12-30T13:58:00"/>
    <s v="Ewallet"/>
    <n v="204.7"/>
    <n v="4.7619047620000003"/>
    <n v="10.234999999999999"/>
    <n v="9.9"/>
    <d v="2019-01-06T00:00:00"/>
    <x v="0"/>
    <x v="0"/>
  </r>
  <r>
    <s v="525-88-7307"/>
    <x v="2"/>
    <x v="2"/>
    <x v="0"/>
    <s v="Male"/>
    <x v="3"/>
    <n v="75.819999999999993"/>
    <n v="1"/>
    <n v="3.7909999999999999"/>
    <n v="79.611000000000004"/>
    <s v="1/31/2019"/>
    <d v="1899-12-30T13:19:00"/>
    <s v="Cash"/>
    <n v="75.819999999999993"/>
    <n v="4.7619047620000003"/>
    <n v="3.7909999999999999"/>
    <n v="5.8"/>
    <d v="2019-01-31T00:00:00"/>
    <x v="0"/>
    <x v="0"/>
  </r>
  <r>
    <s v="689-16-9784"/>
    <x v="1"/>
    <x v="1"/>
    <x v="1"/>
    <s v="Male"/>
    <x v="4"/>
    <n v="46.77"/>
    <n v="6"/>
    <n v="14.031000000000001"/>
    <n v="294.65100000000001"/>
    <d v="2019-11-03T00:00:00"/>
    <d v="1899-12-30T13:37:00"/>
    <s v="Cash"/>
    <n v="280.62"/>
    <n v="4.7619047620000003"/>
    <n v="14.031000000000001"/>
    <n v="6"/>
    <d v="2019-03-11T00:00:00"/>
    <x v="1"/>
    <x v="0"/>
  </r>
  <r>
    <s v="725-56-0833"/>
    <x v="0"/>
    <x v="0"/>
    <x v="1"/>
    <s v="Female"/>
    <x v="0"/>
    <n v="32.32"/>
    <n v="10"/>
    <n v="16.16"/>
    <n v="339.36"/>
    <s v="2/20/2019"/>
    <d v="1899-12-30T16:49:00"/>
    <s v="Credit card"/>
    <n v="323.2"/>
    <n v="4.7619047620000003"/>
    <n v="16.16"/>
    <n v="10"/>
    <d v="2019-02-20T00:00:00"/>
    <x v="2"/>
    <x v="7"/>
  </r>
  <r>
    <s v="394-41-0748"/>
    <x v="1"/>
    <x v="1"/>
    <x v="0"/>
    <s v="Female"/>
    <x v="5"/>
    <n v="54.07"/>
    <n v="9"/>
    <n v="24.331499999999998"/>
    <n v="510.9615"/>
    <s v="1/27/2019"/>
    <d v="1899-12-30T14:55:00"/>
    <s v="Ewallet"/>
    <n v="486.63"/>
    <n v="4.7619047620000003"/>
    <n v="24.331499999999998"/>
    <n v="9.5"/>
    <d v="2019-01-27T00:00:00"/>
    <x v="0"/>
    <x v="4"/>
  </r>
  <r>
    <s v="596-42-3999"/>
    <x v="2"/>
    <x v="2"/>
    <x v="1"/>
    <s v="Male"/>
    <x v="4"/>
    <n v="18.22"/>
    <n v="7"/>
    <n v="6.3769999999999998"/>
    <n v="133.917"/>
    <d v="2019-10-03T00:00:00"/>
    <d v="1899-12-30T14:04:00"/>
    <s v="Credit card"/>
    <n v="127.54"/>
    <n v="4.7619047620000003"/>
    <n v="6.3769999999999998"/>
    <n v="6.6"/>
    <d v="2019-03-10T00:00:00"/>
    <x v="1"/>
    <x v="4"/>
  </r>
  <r>
    <s v="541-89-9860"/>
    <x v="1"/>
    <x v="1"/>
    <x v="0"/>
    <s v="Female"/>
    <x v="5"/>
    <n v="80.48"/>
    <n v="3"/>
    <n v="12.071999999999999"/>
    <n v="253.512"/>
    <s v="2/15/2019"/>
    <d v="1899-12-30T12:31:00"/>
    <s v="Cash"/>
    <n v="241.44"/>
    <n v="4.7619047620000003"/>
    <n v="12.071999999999999"/>
    <n v="8.1"/>
    <d v="2019-02-15T00:00:00"/>
    <x v="2"/>
    <x v="10"/>
  </r>
  <r>
    <s v="173-82-9529"/>
    <x v="2"/>
    <x v="2"/>
    <x v="1"/>
    <s v="Female"/>
    <x v="5"/>
    <n v="37.950000000000003"/>
    <n v="10"/>
    <n v="18.975000000000001"/>
    <n v="398.47500000000002"/>
    <s v="1/26/2019"/>
    <d v="1899-12-30T14:51:00"/>
    <s v="Cash"/>
    <n v="379.5"/>
    <n v="4.7619047620000003"/>
    <n v="18.975000000000001"/>
    <n v="9.6999999999999993"/>
    <d v="2019-01-26T00:00:00"/>
    <x v="0"/>
    <x v="4"/>
  </r>
  <r>
    <s v="563-36-9814"/>
    <x v="0"/>
    <x v="0"/>
    <x v="0"/>
    <s v="Male"/>
    <x v="1"/>
    <n v="76.819999999999993"/>
    <n v="1"/>
    <n v="3.8410000000000002"/>
    <n v="80.661000000000001"/>
    <s v="2/13/2019"/>
    <d v="1899-12-30T18:27:00"/>
    <s v="Ewallet"/>
    <n v="76.819999999999993"/>
    <n v="4.7619047620000003"/>
    <n v="3.8410000000000002"/>
    <n v="7.2"/>
    <d v="2019-02-13T00:00:00"/>
    <x v="2"/>
    <x v="3"/>
  </r>
  <r>
    <s v="308-47-4913"/>
    <x v="0"/>
    <x v="0"/>
    <x v="0"/>
    <s v="Female"/>
    <x v="3"/>
    <n v="52.26"/>
    <n v="10"/>
    <n v="26.13"/>
    <n v="548.73"/>
    <d v="2019-09-03T00:00:00"/>
    <d v="1899-12-30T12:45:00"/>
    <s v="Credit card"/>
    <n v="522.6"/>
    <n v="4.7619047620000003"/>
    <n v="26.13"/>
    <n v="6.2"/>
    <d v="2019-03-09T00:00:00"/>
    <x v="1"/>
    <x v="10"/>
  </r>
  <r>
    <s v="885-17-6250"/>
    <x v="0"/>
    <x v="0"/>
    <x v="1"/>
    <s v="Female"/>
    <x v="0"/>
    <n v="79.739999999999995"/>
    <n v="1"/>
    <n v="3.9870000000000001"/>
    <n v="83.727000000000004"/>
    <d v="2019-06-03T00:00:00"/>
    <d v="1899-12-30T10:36:00"/>
    <s v="Ewallet"/>
    <n v="79.739999999999995"/>
    <n v="4.7619047620000003"/>
    <n v="3.9870000000000001"/>
    <n v="7.3"/>
    <d v="2019-03-06T00:00:00"/>
    <x v="1"/>
    <x v="1"/>
  </r>
  <r>
    <s v="726-27-2396"/>
    <x v="0"/>
    <x v="0"/>
    <x v="1"/>
    <s v="Female"/>
    <x v="0"/>
    <n v="77.5"/>
    <n v="5"/>
    <n v="19.375"/>
    <n v="406.875"/>
    <s v="1/24/2019"/>
    <d v="1899-12-30T20:36:00"/>
    <s v="Ewallet"/>
    <n v="387.5"/>
    <n v="4.7619047620000003"/>
    <n v="19.375"/>
    <n v="4.3"/>
    <d v="2019-01-24T00:00:00"/>
    <x v="0"/>
    <x v="2"/>
  </r>
  <r>
    <s v="316-01-3952"/>
    <x v="0"/>
    <x v="0"/>
    <x v="1"/>
    <s v="Female"/>
    <x v="4"/>
    <n v="54.27"/>
    <n v="5"/>
    <n v="13.567500000000001"/>
    <n v="284.91750000000002"/>
    <s v="3/13/2019"/>
    <d v="1899-12-30T14:16:00"/>
    <s v="Ewallet"/>
    <n v="271.35000000000002"/>
    <n v="4.7619047620000003"/>
    <n v="13.567500000000001"/>
    <n v="4.5999999999999996"/>
    <d v="2019-03-13T00:00:00"/>
    <x v="1"/>
    <x v="4"/>
  </r>
  <r>
    <s v="760-54-1821"/>
    <x v="2"/>
    <x v="2"/>
    <x v="1"/>
    <s v="Male"/>
    <x v="2"/>
    <n v="13.59"/>
    <n v="9"/>
    <n v="6.1154999999999999"/>
    <n v="128.4255"/>
    <s v="3/15/2019"/>
    <d v="1899-12-30T10:26:00"/>
    <s v="Cash"/>
    <n v="122.31"/>
    <n v="4.7619047620000003"/>
    <n v="6.1154999999999999"/>
    <n v="5.8"/>
    <d v="2019-03-15T00:00:00"/>
    <x v="1"/>
    <x v="1"/>
  </r>
  <r>
    <s v="793-10-3222"/>
    <x v="2"/>
    <x v="2"/>
    <x v="0"/>
    <s v="Female"/>
    <x v="0"/>
    <n v="41.06"/>
    <n v="6"/>
    <n v="12.318"/>
    <n v="258.678"/>
    <d v="2019-05-03T00:00:00"/>
    <d v="1899-12-30T13:30:00"/>
    <s v="Credit card"/>
    <n v="246.36"/>
    <n v="4.7619047620000003"/>
    <n v="12.318"/>
    <n v="8.3000000000000007"/>
    <d v="2019-03-05T00:00:00"/>
    <x v="1"/>
    <x v="0"/>
  </r>
  <r>
    <s v="346-12-3257"/>
    <x v="2"/>
    <x v="2"/>
    <x v="0"/>
    <s v="Male"/>
    <x v="1"/>
    <n v="19.239999999999998"/>
    <n v="9"/>
    <n v="8.6579999999999995"/>
    <n v="181.81800000000001"/>
    <d v="2019-04-03T00:00:00"/>
    <d v="1899-12-30T16:28:00"/>
    <s v="Cash"/>
    <n v="173.16"/>
    <n v="4.7619047620000003"/>
    <n v="8.6579999999999995"/>
    <n v="8"/>
    <d v="2019-03-04T00:00:00"/>
    <x v="1"/>
    <x v="7"/>
  </r>
  <r>
    <s v="110-05-6330"/>
    <x v="1"/>
    <x v="1"/>
    <x v="1"/>
    <s v="Female"/>
    <x v="4"/>
    <n v="39.43"/>
    <n v="6"/>
    <n v="11.829000000000001"/>
    <n v="248.40899999999999"/>
    <s v="3/25/2019"/>
    <d v="1899-12-30T20:18:00"/>
    <s v="Credit card"/>
    <n v="236.58"/>
    <n v="4.7619047620000003"/>
    <n v="11.829000000000001"/>
    <n v="9.4"/>
    <d v="2019-03-25T00:00:00"/>
    <x v="1"/>
    <x v="2"/>
  </r>
  <r>
    <s v="651-61-0874"/>
    <x v="1"/>
    <x v="1"/>
    <x v="1"/>
    <s v="Male"/>
    <x v="2"/>
    <n v="46.22"/>
    <n v="4"/>
    <n v="9.2439999999999998"/>
    <n v="194.124"/>
    <d v="2019-12-03T00:00:00"/>
    <d v="1899-12-30T20:04:00"/>
    <s v="Credit card"/>
    <n v="184.88"/>
    <n v="4.7619047620000003"/>
    <n v="9.2439999999999998"/>
    <n v="6.2"/>
    <d v="2019-03-12T00:00:00"/>
    <x v="1"/>
    <x v="2"/>
  </r>
  <r>
    <s v="236-86-3015"/>
    <x v="1"/>
    <x v="1"/>
    <x v="0"/>
    <s v="Male"/>
    <x v="2"/>
    <n v="13.98"/>
    <n v="1"/>
    <n v="0.69899999999999995"/>
    <n v="14.679"/>
    <d v="2019-04-02T00:00:00"/>
    <d v="1899-12-30T13:38:00"/>
    <s v="Ewallet"/>
    <n v="13.98"/>
    <n v="4.7619047620000003"/>
    <n v="0.69899999999999995"/>
    <n v="9.8000000000000007"/>
    <d v="2019-02-04T00:00:00"/>
    <x v="2"/>
    <x v="0"/>
  </r>
  <r>
    <s v="831-64-0259"/>
    <x v="2"/>
    <x v="2"/>
    <x v="1"/>
    <s v="Female"/>
    <x v="5"/>
    <n v="39.75"/>
    <n v="5"/>
    <n v="9.9375"/>
    <n v="208.6875"/>
    <s v="2/22/2019"/>
    <d v="1899-12-30T10:43:00"/>
    <s v="Ewallet"/>
    <n v="198.75"/>
    <n v="4.7619047620000003"/>
    <n v="9.9375"/>
    <n v="9.6"/>
    <d v="2019-02-22T00:00:00"/>
    <x v="2"/>
    <x v="1"/>
  </r>
  <r>
    <s v="587-03-7455"/>
    <x v="1"/>
    <x v="1"/>
    <x v="0"/>
    <s v="Female"/>
    <x v="5"/>
    <n v="97.79"/>
    <n v="7"/>
    <n v="34.226500000000001"/>
    <n v="718.75649999999996"/>
    <s v="2/16/2019"/>
    <d v="1899-12-30T17:30:00"/>
    <s v="Ewallet"/>
    <n v="684.53"/>
    <n v="4.7619047620000003"/>
    <n v="34.226500000000001"/>
    <n v="4.9000000000000004"/>
    <d v="2019-02-16T00:00:00"/>
    <x v="2"/>
    <x v="6"/>
  </r>
  <r>
    <s v="882-40-4577"/>
    <x v="0"/>
    <x v="0"/>
    <x v="0"/>
    <s v="Male"/>
    <x v="3"/>
    <n v="67.260000000000005"/>
    <n v="4"/>
    <n v="13.452"/>
    <n v="282.49200000000002"/>
    <s v="1/19/2019"/>
    <d v="1899-12-30T15:28:00"/>
    <s v="Credit card"/>
    <n v="269.04000000000002"/>
    <n v="4.7619047620000003"/>
    <n v="13.452"/>
    <n v="8"/>
    <d v="2019-01-19T00:00:00"/>
    <x v="0"/>
    <x v="9"/>
  </r>
  <r>
    <s v="732-67-5346"/>
    <x v="0"/>
    <x v="0"/>
    <x v="1"/>
    <s v="Male"/>
    <x v="4"/>
    <n v="13.79"/>
    <n v="5"/>
    <n v="3.4474999999999998"/>
    <n v="72.397499999999994"/>
    <d v="2019-11-01T00:00:00"/>
    <d v="1899-12-30T19:07:00"/>
    <s v="Credit card"/>
    <n v="68.95"/>
    <n v="4.7619047620000003"/>
    <n v="3.4474999999999998"/>
    <n v="7.8"/>
    <d v="2019-01-11T00:00:00"/>
    <x v="0"/>
    <x v="8"/>
  </r>
  <r>
    <s v="725-32-9708"/>
    <x v="2"/>
    <x v="2"/>
    <x v="0"/>
    <s v="Female"/>
    <x v="5"/>
    <n v="68.709999999999994"/>
    <n v="4"/>
    <n v="13.742000000000001"/>
    <n v="288.58199999999999"/>
    <d v="2019-04-01T00:00:00"/>
    <d v="1899-12-30T19:01:00"/>
    <s v="Cash"/>
    <n v="274.83999999999997"/>
    <n v="4.7619047620000003"/>
    <n v="13.742000000000001"/>
    <n v="4.0999999999999996"/>
    <d v="2019-01-04T00:00:00"/>
    <x v="0"/>
    <x v="8"/>
  </r>
  <r>
    <s v="256-08-8343"/>
    <x v="0"/>
    <x v="0"/>
    <x v="1"/>
    <s v="Female"/>
    <x v="2"/>
    <n v="56.53"/>
    <n v="4"/>
    <n v="11.305999999999999"/>
    <n v="237.42599999999999"/>
    <d v="2019-04-03T00:00:00"/>
    <d v="1899-12-30T19:48:00"/>
    <s v="Ewallet"/>
    <n v="226.12"/>
    <n v="4.7619047620000003"/>
    <n v="11.305999999999999"/>
    <n v="5.5"/>
    <d v="2019-03-04T00:00:00"/>
    <x v="1"/>
    <x v="8"/>
  </r>
  <r>
    <s v="372-26-1506"/>
    <x v="1"/>
    <x v="1"/>
    <x v="1"/>
    <s v="Female"/>
    <x v="5"/>
    <n v="23.82"/>
    <n v="5"/>
    <n v="5.9550000000000001"/>
    <n v="125.05500000000001"/>
    <s v="1/28/2019"/>
    <d v="1899-12-30T19:24:00"/>
    <s v="Ewallet"/>
    <n v="119.1"/>
    <n v="4.7619047620000003"/>
    <n v="5.9550000000000001"/>
    <n v="5.4"/>
    <d v="2019-01-28T00:00:00"/>
    <x v="0"/>
    <x v="8"/>
  </r>
  <r>
    <s v="244-08-0162"/>
    <x v="2"/>
    <x v="2"/>
    <x v="1"/>
    <s v="Female"/>
    <x v="0"/>
    <n v="34.21"/>
    <n v="10"/>
    <n v="17.105"/>
    <n v="359.20499999999998"/>
    <d v="2019-02-01T00:00:00"/>
    <d v="1899-12-30T13:00:00"/>
    <s v="Cash"/>
    <n v="342.1"/>
    <n v="4.7619047620000003"/>
    <n v="17.105"/>
    <n v="5.0999999999999996"/>
    <d v="2019-01-02T00:00:00"/>
    <x v="0"/>
    <x v="0"/>
  </r>
  <r>
    <s v="569-71-4390"/>
    <x v="2"/>
    <x v="2"/>
    <x v="1"/>
    <s v="Male"/>
    <x v="3"/>
    <n v="21.87"/>
    <n v="2"/>
    <n v="2.1869999999999998"/>
    <n v="45.927"/>
    <s v="1/25/2019"/>
    <d v="1899-12-30T14:29:00"/>
    <s v="Ewallet"/>
    <n v="43.74"/>
    <n v="4.7619047620000003"/>
    <n v="2.1869999999999998"/>
    <n v="6.9"/>
    <d v="2019-01-25T00:00:00"/>
    <x v="0"/>
    <x v="4"/>
  </r>
  <r>
    <s v="132-23-6451"/>
    <x v="0"/>
    <x v="0"/>
    <x v="0"/>
    <s v="Male"/>
    <x v="0"/>
    <n v="20.97"/>
    <n v="5"/>
    <n v="5.2424999999999997"/>
    <n v="110.0925"/>
    <d v="2019-04-01T00:00:00"/>
    <d v="1899-12-30T13:21:00"/>
    <s v="Cash"/>
    <n v="104.85"/>
    <n v="4.7619047620000003"/>
    <n v="5.2424999999999997"/>
    <n v="7.8"/>
    <d v="2019-01-04T00:00:00"/>
    <x v="0"/>
    <x v="0"/>
  </r>
  <r>
    <s v="696-90-2548"/>
    <x v="0"/>
    <x v="0"/>
    <x v="1"/>
    <s v="Male"/>
    <x v="3"/>
    <n v="25.84"/>
    <n v="3"/>
    <n v="3.8759999999999999"/>
    <n v="81.396000000000001"/>
    <d v="2019-10-03T00:00:00"/>
    <d v="1899-12-30T18:55:00"/>
    <s v="Ewallet"/>
    <n v="77.52"/>
    <n v="4.7619047620000003"/>
    <n v="3.8759999999999999"/>
    <n v="6.6"/>
    <d v="2019-03-10T00:00:00"/>
    <x v="1"/>
    <x v="3"/>
  </r>
  <r>
    <s v="472-15-9636"/>
    <x v="0"/>
    <x v="0"/>
    <x v="1"/>
    <s v="Male"/>
    <x v="2"/>
    <n v="50.93"/>
    <n v="8"/>
    <n v="20.372"/>
    <n v="427.81200000000001"/>
    <s v="3/22/2019"/>
    <d v="1899-12-30T19:36:00"/>
    <s v="Ewallet"/>
    <n v="407.44"/>
    <n v="4.7619047620000003"/>
    <n v="20.372"/>
    <n v="9.1999999999999993"/>
    <d v="2019-03-22T00:00:00"/>
    <x v="1"/>
    <x v="8"/>
  </r>
  <r>
    <s v="268-03-6164"/>
    <x v="2"/>
    <x v="2"/>
    <x v="1"/>
    <s v="Male"/>
    <x v="0"/>
    <n v="96.11"/>
    <n v="1"/>
    <n v="4.8055000000000003"/>
    <n v="100.91549999999999"/>
    <s v="1/25/2019"/>
    <d v="1899-12-30T16:28:00"/>
    <s v="Ewallet"/>
    <n v="96.11"/>
    <n v="4.7619047620000003"/>
    <n v="4.8055000000000003"/>
    <n v="7.8"/>
    <d v="2019-01-25T00:00:00"/>
    <x v="0"/>
    <x v="7"/>
  </r>
  <r>
    <s v="750-57-9686"/>
    <x v="1"/>
    <x v="1"/>
    <x v="1"/>
    <s v="Female"/>
    <x v="2"/>
    <n v="45.38"/>
    <n v="4"/>
    <n v="9.0760000000000005"/>
    <n v="190.596"/>
    <d v="2019-08-01T00:00:00"/>
    <d v="1899-12-30T13:48:00"/>
    <s v="Credit card"/>
    <n v="181.52"/>
    <n v="4.7619047620000003"/>
    <n v="9.0760000000000005"/>
    <n v="8.6999999999999993"/>
    <d v="2019-01-08T00:00:00"/>
    <x v="0"/>
    <x v="0"/>
  </r>
  <r>
    <s v="186-09-3669"/>
    <x v="1"/>
    <x v="1"/>
    <x v="0"/>
    <s v="Female"/>
    <x v="0"/>
    <n v="81.510000000000005"/>
    <n v="1"/>
    <n v="4.0754999999999999"/>
    <n v="85.585499999999996"/>
    <s v="1/22/2019"/>
    <d v="1899-12-30T10:57:00"/>
    <s v="Ewallet"/>
    <n v="81.510000000000005"/>
    <n v="4.7619047620000003"/>
    <n v="4.0754999999999999"/>
    <n v="9.1999999999999993"/>
    <d v="2019-01-22T00:00:00"/>
    <x v="0"/>
    <x v="1"/>
  </r>
  <r>
    <s v="848-07-1692"/>
    <x v="2"/>
    <x v="2"/>
    <x v="1"/>
    <s v="Female"/>
    <x v="0"/>
    <n v="57.22"/>
    <n v="2"/>
    <n v="5.7220000000000004"/>
    <n v="120.16200000000001"/>
    <d v="2019-12-01T00:00:00"/>
    <d v="1899-12-30T17:13:00"/>
    <s v="Ewallet"/>
    <n v="114.44"/>
    <n v="4.7619047620000003"/>
    <n v="5.7220000000000004"/>
    <n v="8.3000000000000007"/>
    <d v="2019-01-12T00:00:00"/>
    <x v="0"/>
    <x v="6"/>
  </r>
  <r>
    <s v="745-71-3520"/>
    <x v="0"/>
    <x v="0"/>
    <x v="0"/>
    <s v="Female"/>
    <x v="1"/>
    <n v="25.22"/>
    <n v="7"/>
    <n v="8.827"/>
    <n v="185.36699999999999"/>
    <d v="2019-04-02T00:00:00"/>
    <d v="1899-12-30T10:23:00"/>
    <s v="Cash"/>
    <n v="176.54"/>
    <n v="4.7619047620000003"/>
    <n v="8.827"/>
    <n v="8.1999999999999993"/>
    <d v="2019-02-04T00:00:00"/>
    <x v="2"/>
    <x v="1"/>
  </r>
  <r>
    <s v="266-76-6436"/>
    <x v="1"/>
    <x v="1"/>
    <x v="0"/>
    <s v="Female"/>
    <x v="4"/>
    <n v="38.6"/>
    <n v="3"/>
    <n v="5.79"/>
    <n v="121.59"/>
    <s v="3/28/2019"/>
    <d v="1899-12-30T13:57:00"/>
    <s v="Ewallet"/>
    <n v="115.8"/>
    <n v="4.7619047620000003"/>
    <n v="5.79"/>
    <n v="7.5"/>
    <d v="2019-03-28T00:00:00"/>
    <x v="1"/>
    <x v="0"/>
  </r>
  <r>
    <s v="740-22-2500"/>
    <x v="1"/>
    <x v="1"/>
    <x v="1"/>
    <s v="Female"/>
    <x v="1"/>
    <n v="84.05"/>
    <n v="3"/>
    <n v="12.6075"/>
    <n v="264.75749999999999"/>
    <s v="1/23/2019"/>
    <d v="1899-12-30T13:29:00"/>
    <s v="Cash"/>
    <n v="252.15"/>
    <n v="4.7619047620000003"/>
    <n v="12.6075"/>
    <n v="9.8000000000000007"/>
    <d v="2019-01-23T00:00:00"/>
    <x v="0"/>
    <x v="0"/>
  </r>
  <r>
    <s v="271-88-8734"/>
    <x v="1"/>
    <x v="1"/>
    <x v="0"/>
    <s v="Female"/>
    <x v="5"/>
    <n v="97.21"/>
    <n v="10"/>
    <n v="48.604999999999997"/>
    <n v="1020.705"/>
    <d v="2019-08-02T00:00:00"/>
    <d v="1899-12-30T13:00:00"/>
    <s v="Credit card"/>
    <n v="972.1"/>
    <n v="4.7619047620000003"/>
    <n v="48.604999999999997"/>
    <n v="8.6999999999999993"/>
    <d v="2019-02-08T00:00:00"/>
    <x v="2"/>
    <x v="0"/>
  </r>
  <r>
    <s v="301-81-8610"/>
    <x v="2"/>
    <x v="2"/>
    <x v="0"/>
    <s v="Male"/>
    <x v="5"/>
    <n v="25.42"/>
    <n v="8"/>
    <n v="10.167999999999999"/>
    <n v="213.52799999999999"/>
    <s v="3/19/2019"/>
    <d v="1899-12-30T19:42:00"/>
    <s v="Credit card"/>
    <n v="203.36"/>
    <n v="4.7619047620000003"/>
    <n v="10.167999999999999"/>
    <n v="6.7"/>
    <d v="2019-03-19T00:00:00"/>
    <x v="1"/>
    <x v="8"/>
  </r>
  <r>
    <s v="489-64-4354"/>
    <x v="1"/>
    <x v="1"/>
    <x v="1"/>
    <s v="Male"/>
    <x v="5"/>
    <n v="16.28"/>
    <n v="1"/>
    <n v="0.81399999999999995"/>
    <n v="17.094000000000001"/>
    <d v="2019-09-03T00:00:00"/>
    <d v="1899-12-30T15:36:00"/>
    <s v="Cash"/>
    <n v="16.28"/>
    <n v="4.7619047620000003"/>
    <n v="0.81399999999999995"/>
    <n v="5"/>
    <d v="2019-03-09T00:00:00"/>
    <x v="1"/>
    <x v="9"/>
  </r>
  <r>
    <s v="198-84-7132"/>
    <x v="2"/>
    <x v="2"/>
    <x v="0"/>
    <s v="Male"/>
    <x v="5"/>
    <n v="40.61"/>
    <n v="9"/>
    <n v="18.2745"/>
    <n v="383.7645"/>
    <d v="2019-02-01T00:00:00"/>
    <d v="1899-12-30T13:40:00"/>
    <s v="Cash"/>
    <n v="365.49"/>
    <n v="4.7619047620000003"/>
    <n v="18.2745"/>
    <n v="7"/>
    <d v="2019-01-02T00:00:00"/>
    <x v="0"/>
    <x v="0"/>
  </r>
  <r>
    <s v="269-10-8440"/>
    <x v="0"/>
    <x v="0"/>
    <x v="0"/>
    <s v="Male"/>
    <x v="0"/>
    <n v="53.17"/>
    <n v="7"/>
    <n v="18.609500000000001"/>
    <n v="390.79950000000002"/>
    <s v="1/21/2019"/>
    <d v="1899-12-30T18:01:00"/>
    <s v="Cash"/>
    <n v="372.19"/>
    <n v="4.7619047620000003"/>
    <n v="18.609500000000001"/>
    <n v="8.9"/>
    <d v="2019-01-21T00:00:00"/>
    <x v="0"/>
    <x v="3"/>
  </r>
  <r>
    <s v="650-98-6268"/>
    <x v="2"/>
    <x v="2"/>
    <x v="0"/>
    <s v="Female"/>
    <x v="4"/>
    <n v="20.87"/>
    <n v="3"/>
    <n v="3.1305000000000001"/>
    <n v="65.740499999999997"/>
    <s v="3/20/2019"/>
    <d v="1899-12-30T13:53:00"/>
    <s v="Credit card"/>
    <n v="62.61"/>
    <n v="4.7619047620000003"/>
    <n v="3.1305000000000001"/>
    <n v="8"/>
    <d v="2019-03-20T00:00:00"/>
    <x v="1"/>
    <x v="0"/>
  </r>
  <r>
    <s v="741-73-3559"/>
    <x v="2"/>
    <x v="2"/>
    <x v="1"/>
    <s v="Male"/>
    <x v="3"/>
    <n v="67.27"/>
    <n v="5"/>
    <n v="16.817499999999999"/>
    <n v="353.16750000000002"/>
    <s v="2/27/2019"/>
    <d v="1899-12-30T17:27:00"/>
    <s v="Cash"/>
    <n v="336.35"/>
    <n v="4.7619047620000003"/>
    <n v="16.817499999999999"/>
    <n v="6.9"/>
    <d v="2019-02-27T00:00:00"/>
    <x v="2"/>
    <x v="6"/>
  </r>
  <r>
    <s v="325-77-6186"/>
    <x v="0"/>
    <x v="0"/>
    <x v="0"/>
    <s v="Female"/>
    <x v="2"/>
    <n v="90.65"/>
    <n v="10"/>
    <n v="45.325000000000003"/>
    <n v="951.82500000000005"/>
    <d v="2019-08-03T00:00:00"/>
    <d v="1899-12-30T10:53:00"/>
    <s v="Ewallet"/>
    <n v="906.5"/>
    <n v="4.7619047620000003"/>
    <n v="45.325000000000003"/>
    <n v="7.3"/>
    <d v="2019-03-08T00:00:00"/>
    <x v="1"/>
    <x v="1"/>
  </r>
  <r>
    <s v="286-75-7818"/>
    <x v="2"/>
    <x v="2"/>
    <x v="1"/>
    <s v="Male"/>
    <x v="5"/>
    <n v="69.08"/>
    <n v="2"/>
    <n v="6.9080000000000004"/>
    <n v="145.06800000000001"/>
    <s v="1/31/2019"/>
    <d v="1899-12-30T19:48:00"/>
    <s v="Credit card"/>
    <n v="138.16"/>
    <n v="4.7619047620000003"/>
    <n v="6.9080000000000004"/>
    <n v="6.9"/>
    <d v="2019-01-31T00:00:00"/>
    <x v="0"/>
    <x v="8"/>
  </r>
  <r>
    <s v="574-57-9721"/>
    <x v="1"/>
    <x v="1"/>
    <x v="1"/>
    <s v="Male"/>
    <x v="4"/>
    <n v="43.27"/>
    <n v="2"/>
    <n v="4.327"/>
    <n v="90.867000000000004"/>
    <d v="2019-08-03T00:00:00"/>
    <d v="1899-12-30T16:53:00"/>
    <s v="Ewallet"/>
    <n v="86.54"/>
    <n v="4.7619047620000003"/>
    <n v="4.327"/>
    <n v="5.7"/>
    <d v="2019-03-08T00:00:00"/>
    <x v="1"/>
    <x v="7"/>
  </r>
  <r>
    <s v="459-50-7686"/>
    <x v="0"/>
    <x v="0"/>
    <x v="1"/>
    <s v="Female"/>
    <x v="1"/>
    <n v="23.46"/>
    <n v="6"/>
    <n v="7.0380000000000003"/>
    <n v="147.798"/>
    <s v="1/13/2019"/>
    <d v="1899-12-30T19:14:00"/>
    <s v="Ewallet"/>
    <n v="140.76"/>
    <n v="4.7619047620000003"/>
    <n v="7.0380000000000003"/>
    <n v="6.4"/>
    <d v="2019-01-13T00:00:00"/>
    <x v="0"/>
    <x v="8"/>
  </r>
  <r>
    <s v="616-87-0016"/>
    <x v="2"/>
    <x v="2"/>
    <x v="1"/>
    <s v="Male"/>
    <x v="5"/>
    <n v="95.54"/>
    <n v="7"/>
    <n v="33.439"/>
    <n v="702.21900000000005"/>
    <d v="2019-09-03T00:00:00"/>
    <d v="1899-12-30T14:36:00"/>
    <s v="Credit card"/>
    <n v="668.78"/>
    <n v="4.7619047620000003"/>
    <n v="33.439"/>
    <n v="9.6"/>
    <d v="2019-03-09T00:00:00"/>
    <x v="1"/>
    <x v="4"/>
  </r>
  <r>
    <s v="837-55-7229"/>
    <x v="2"/>
    <x v="2"/>
    <x v="1"/>
    <s v="Female"/>
    <x v="5"/>
    <n v="47.44"/>
    <n v="1"/>
    <n v="2.3719999999999999"/>
    <n v="49.811999999999998"/>
    <s v="2/22/2019"/>
    <d v="1899-12-30T18:19:00"/>
    <s v="Credit card"/>
    <n v="47.44"/>
    <n v="4.7619047620000003"/>
    <n v="2.3719999999999999"/>
    <n v="6.8"/>
    <d v="2019-02-22T00:00:00"/>
    <x v="2"/>
    <x v="3"/>
  </r>
  <r>
    <s v="751-69-0068"/>
    <x v="1"/>
    <x v="1"/>
    <x v="1"/>
    <s v="Male"/>
    <x v="3"/>
    <n v="99.24"/>
    <n v="9"/>
    <n v="44.658000000000001"/>
    <n v="937.81799999999998"/>
    <s v="3/19/2019"/>
    <d v="1899-12-30T19:09:00"/>
    <s v="Ewallet"/>
    <n v="893.16"/>
    <n v="4.7619047620000003"/>
    <n v="44.658000000000001"/>
    <n v="9"/>
    <d v="2019-03-19T00:00:00"/>
    <x v="1"/>
    <x v="8"/>
  </r>
  <r>
    <s v="257-73-1380"/>
    <x v="1"/>
    <x v="1"/>
    <x v="0"/>
    <s v="Male"/>
    <x v="3"/>
    <n v="82.93"/>
    <n v="4"/>
    <n v="16.585999999999999"/>
    <n v="348.30599999999998"/>
    <s v="1/20/2019"/>
    <d v="1899-12-30T16:51:00"/>
    <s v="Ewallet"/>
    <n v="331.72"/>
    <n v="4.7619047620000003"/>
    <n v="16.585999999999999"/>
    <n v="9.6"/>
    <d v="2019-01-20T00:00:00"/>
    <x v="0"/>
    <x v="7"/>
  </r>
  <r>
    <s v="345-08-4992"/>
    <x v="0"/>
    <x v="0"/>
    <x v="1"/>
    <s v="Male"/>
    <x v="2"/>
    <n v="33.99"/>
    <n v="6"/>
    <n v="10.196999999999999"/>
    <n v="214.137"/>
    <d v="2019-08-03T00:00:00"/>
    <d v="1899-12-30T15:37:00"/>
    <s v="Credit card"/>
    <n v="203.94"/>
    <n v="4.7619047620000003"/>
    <n v="10.196999999999999"/>
    <n v="7.7"/>
    <d v="2019-03-08T00:00:00"/>
    <x v="1"/>
    <x v="9"/>
  </r>
  <r>
    <s v="549-96-4200"/>
    <x v="1"/>
    <x v="1"/>
    <x v="0"/>
    <s v="Male"/>
    <x v="4"/>
    <n v="17.04"/>
    <n v="4"/>
    <n v="3.4079999999999999"/>
    <n v="71.567999999999998"/>
    <d v="2019-08-03T00:00:00"/>
    <d v="1899-12-30T20:15:00"/>
    <s v="Ewallet"/>
    <n v="68.16"/>
    <n v="4.7619047620000003"/>
    <n v="3.4079999999999999"/>
    <n v="7"/>
    <d v="2019-03-08T00:00:00"/>
    <x v="1"/>
    <x v="2"/>
  </r>
  <r>
    <s v="810-60-6344"/>
    <x v="1"/>
    <x v="1"/>
    <x v="1"/>
    <s v="Female"/>
    <x v="1"/>
    <n v="40.86"/>
    <n v="8"/>
    <n v="16.344000000000001"/>
    <n v="343.22399999999999"/>
    <d v="2019-07-02T00:00:00"/>
    <d v="1899-12-30T14:38:00"/>
    <s v="Credit card"/>
    <n v="326.88"/>
    <n v="4.7619047620000003"/>
    <n v="16.344000000000001"/>
    <n v="6.5"/>
    <d v="2019-02-07T00:00:00"/>
    <x v="2"/>
    <x v="4"/>
  </r>
  <r>
    <s v="450-28-2866"/>
    <x v="1"/>
    <x v="1"/>
    <x v="0"/>
    <s v="Male"/>
    <x v="4"/>
    <n v="17.440000000000001"/>
    <n v="5"/>
    <n v="4.3600000000000003"/>
    <n v="91.56"/>
    <s v="1/15/2019"/>
    <d v="1899-12-30T19:25:00"/>
    <s v="Cash"/>
    <n v="87.2"/>
    <n v="4.7619047620000003"/>
    <n v="4.3600000000000003"/>
    <n v="8.1"/>
    <d v="2019-01-15T00:00:00"/>
    <x v="0"/>
    <x v="8"/>
  </r>
  <r>
    <s v="394-30-3170"/>
    <x v="2"/>
    <x v="2"/>
    <x v="0"/>
    <s v="Female"/>
    <x v="3"/>
    <n v="88.43"/>
    <n v="8"/>
    <n v="35.372"/>
    <n v="742.81200000000001"/>
    <s v="3/22/2019"/>
    <d v="1899-12-30T19:35:00"/>
    <s v="Credit card"/>
    <n v="707.44"/>
    <n v="4.7619047620000003"/>
    <n v="35.372"/>
    <n v="4.3"/>
    <d v="2019-03-22T00:00:00"/>
    <x v="1"/>
    <x v="8"/>
  </r>
  <r>
    <s v="138-17-5109"/>
    <x v="0"/>
    <x v="0"/>
    <x v="0"/>
    <s v="Female"/>
    <x v="2"/>
    <n v="89.21"/>
    <n v="9"/>
    <n v="40.144500000000001"/>
    <n v="843.03449999999998"/>
    <s v="1/15/2019"/>
    <d v="1899-12-30T15:42:00"/>
    <s v="Credit card"/>
    <n v="802.89"/>
    <n v="4.7619047620000003"/>
    <n v="40.144500000000001"/>
    <n v="6.5"/>
    <d v="2019-01-15T00:00:00"/>
    <x v="0"/>
    <x v="9"/>
  </r>
  <r>
    <s v="192-98-7397"/>
    <x v="1"/>
    <x v="1"/>
    <x v="1"/>
    <s v="Male"/>
    <x v="5"/>
    <n v="12.78"/>
    <n v="1"/>
    <n v="0.63900000000000001"/>
    <n v="13.419"/>
    <d v="2019-08-01T00:00:00"/>
    <d v="1899-12-30T14:11:00"/>
    <s v="Ewallet"/>
    <n v="12.78"/>
    <n v="4.7619047620000003"/>
    <n v="0.63900000000000001"/>
    <n v="9.5"/>
    <d v="2019-01-08T00:00:00"/>
    <x v="0"/>
    <x v="4"/>
  </r>
  <r>
    <s v="301-11-9629"/>
    <x v="0"/>
    <x v="0"/>
    <x v="1"/>
    <s v="Female"/>
    <x v="3"/>
    <n v="19.100000000000001"/>
    <n v="7"/>
    <n v="6.6849999999999996"/>
    <n v="140.38499999999999"/>
    <s v="1/15/2019"/>
    <d v="1899-12-30T10:43:00"/>
    <s v="Cash"/>
    <n v="133.69999999999999"/>
    <n v="4.7619047620000003"/>
    <n v="6.6849999999999996"/>
    <n v="9.6999999999999993"/>
    <d v="2019-01-15T00:00:00"/>
    <x v="0"/>
    <x v="1"/>
  </r>
  <r>
    <s v="390-80-5128"/>
    <x v="2"/>
    <x v="2"/>
    <x v="0"/>
    <s v="Female"/>
    <x v="0"/>
    <n v="19.149999999999999"/>
    <n v="1"/>
    <n v="0.95750000000000002"/>
    <n v="20.107500000000002"/>
    <s v="1/28/2019"/>
    <d v="1899-12-30T17:58:00"/>
    <s v="Credit card"/>
    <n v="19.149999999999999"/>
    <n v="4.7619047620000003"/>
    <n v="0.95750000000000002"/>
    <n v="9.5"/>
    <d v="2019-01-28T00:00:00"/>
    <x v="0"/>
    <x v="6"/>
  </r>
  <r>
    <s v="235-46-8343"/>
    <x v="1"/>
    <x v="1"/>
    <x v="0"/>
    <s v="Male"/>
    <x v="4"/>
    <n v="27.66"/>
    <n v="10"/>
    <n v="13.83"/>
    <n v="290.43"/>
    <s v="2/14/2019"/>
    <d v="1899-12-30T11:26:00"/>
    <s v="Credit card"/>
    <n v="276.60000000000002"/>
    <n v="4.7619047620000003"/>
    <n v="13.83"/>
    <n v="8.9"/>
    <d v="2019-02-14T00:00:00"/>
    <x v="2"/>
    <x v="5"/>
  </r>
  <r>
    <s v="453-12-7053"/>
    <x v="1"/>
    <x v="1"/>
    <x v="1"/>
    <s v="Male"/>
    <x v="5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n v="6.5"/>
    <d v="2019-03-10T00:00:00"/>
    <x v="1"/>
    <x v="6"/>
  </r>
  <r>
    <s v="296-11-7041"/>
    <x v="2"/>
    <x v="2"/>
    <x v="0"/>
    <s v="Female"/>
    <x v="0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n v="5.3"/>
    <d v="2019-01-12T00:00:00"/>
    <x v="0"/>
    <x v="2"/>
  </r>
  <r>
    <s v="449-27-2918"/>
    <x v="2"/>
    <x v="2"/>
    <x v="0"/>
    <s v="Female"/>
    <x v="3"/>
    <n v="39.119999999999997"/>
    <n v="1"/>
    <n v="1.956"/>
    <n v="41.076000000000001"/>
    <s v="3/26/2019"/>
    <d v="1899-12-30T11:02:00"/>
    <s v="Credit card"/>
    <n v="39.119999999999997"/>
    <n v="4.7619047620000003"/>
    <n v="1.956"/>
    <n v="9.6"/>
    <d v="2019-03-26T00:00:00"/>
    <x v="1"/>
    <x v="5"/>
  </r>
  <r>
    <s v="891-01-7034"/>
    <x v="2"/>
    <x v="2"/>
    <x v="1"/>
    <s v="Female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  <d v="2019-01-01T00:00:00"/>
    <x v="0"/>
    <x v="8"/>
  </r>
  <r>
    <s v="744-09-5786"/>
    <x v="2"/>
    <x v="2"/>
    <x v="1"/>
    <s v="Male"/>
    <x v="1"/>
    <n v="22.01"/>
    <n v="6"/>
    <n v="6.6029999999999998"/>
    <n v="138.66300000000001"/>
    <d v="2019-02-01T00:00:00"/>
    <d v="1899-12-30T18:50:00"/>
    <s v="Cash"/>
    <n v="132.06"/>
    <n v="4.7619047620000003"/>
    <n v="6.6029999999999998"/>
    <n v="7.6"/>
    <d v="2019-01-02T00:00:00"/>
    <x v="0"/>
    <x v="3"/>
  </r>
  <r>
    <s v="727-17-0390"/>
    <x v="0"/>
    <x v="0"/>
    <x v="1"/>
    <s v="Female"/>
    <x v="4"/>
    <n v="63.61"/>
    <n v="5"/>
    <n v="15.9025"/>
    <n v="333.95249999999999"/>
    <s v="3/16/2019"/>
    <d v="1899-12-30T12:43:00"/>
    <s v="Ewallet"/>
    <n v="318.05"/>
    <n v="4.7619047620000003"/>
    <n v="15.9025"/>
    <n v="4.8"/>
    <d v="2019-03-16T00:00:00"/>
    <x v="1"/>
    <x v="10"/>
  </r>
  <r>
    <s v="568-88-3448"/>
    <x v="0"/>
    <x v="0"/>
    <x v="1"/>
    <s v="Male"/>
    <x v="0"/>
    <n v="25"/>
    <n v="1"/>
    <n v="1.25"/>
    <n v="26.25"/>
    <d v="2019-03-03T00:00:00"/>
    <d v="1899-12-30T15:09:00"/>
    <s v="Ewallet"/>
    <n v="25"/>
    <n v="4.7619047620000003"/>
    <n v="1.25"/>
    <n v="5.5"/>
    <d v="2019-03-03T00:00:00"/>
    <x v="1"/>
    <x v="9"/>
  </r>
  <r>
    <s v="187-83-5490"/>
    <x v="0"/>
    <x v="0"/>
    <x v="0"/>
    <s v="Male"/>
    <x v="1"/>
    <n v="20.77"/>
    <n v="4"/>
    <n v="4.1539999999999999"/>
    <n v="87.233999999999995"/>
    <s v="1/31/2019"/>
    <d v="1899-12-30T13:47:00"/>
    <s v="Cash"/>
    <n v="83.08"/>
    <n v="4.7619047620000003"/>
    <n v="4.1539999999999999"/>
    <n v="4.7"/>
    <d v="2019-01-31T00:00:00"/>
    <x v="0"/>
    <x v="0"/>
  </r>
  <r>
    <s v="767-54-1907"/>
    <x v="2"/>
    <x v="2"/>
    <x v="0"/>
    <s v="Female"/>
    <x v="5"/>
    <n v="29.56"/>
    <n v="5"/>
    <n v="7.39"/>
    <n v="155.19"/>
    <s v="2/13/2019"/>
    <d v="1899-12-30T16:59:00"/>
    <s v="Cash"/>
    <n v="147.80000000000001"/>
    <n v="4.7619047620000003"/>
    <n v="7.39"/>
    <n v="6.9"/>
    <d v="2019-02-13T00:00:00"/>
    <x v="2"/>
    <x v="7"/>
  </r>
  <r>
    <s v="710-46-4433"/>
    <x v="2"/>
    <x v="2"/>
    <x v="0"/>
    <s v="Female"/>
    <x v="4"/>
    <n v="77.400000000000006"/>
    <n v="9"/>
    <n v="34.83"/>
    <n v="731.43"/>
    <s v="2/15/2019"/>
    <d v="1899-12-30T14:15:00"/>
    <s v="Credit card"/>
    <n v="696.6"/>
    <n v="4.7619047620000003"/>
    <n v="34.83"/>
    <n v="4.5"/>
    <d v="2019-02-15T00:00:00"/>
    <x v="2"/>
    <x v="4"/>
  </r>
  <r>
    <s v="533-33-5337"/>
    <x v="2"/>
    <x v="2"/>
    <x v="1"/>
    <s v="Male"/>
    <x v="1"/>
    <n v="79.39"/>
    <n v="10"/>
    <n v="39.695"/>
    <n v="833.59500000000003"/>
    <d v="2019-07-02T00:00:00"/>
    <d v="1899-12-30T20:24:00"/>
    <s v="Cash"/>
    <n v="793.9"/>
    <n v="4.7619047620000003"/>
    <n v="39.695"/>
    <n v="6.2"/>
    <d v="2019-02-07T00:00:00"/>
    <x v="2"/>
    <x v="2"/>
  </r>
  <r>
    <s v="325-90-8763"/>
    <x v="1"/>
    <x v="1"/>
    <x v="0"/>
    <s v="Female"/>
    <x v="1"/>
    <n v="46.57"/>
    <n v="10"/>
    <n v="23.285"/>
    <n v="488.98500000000001"/>
    <s v="1/27/2019"/>
    <d v="1899-12-30T13:58:00"/>
    <s v="Cash"/>
    <n v="465.7"/>
    <n v="4.7619047620000003"/>
    <n v="23.285"/>
    <n v="7.6"/>
    <d v="2019-01-27T00:00:00"/>
    <x v="0"/>
    <x v="0"/>
  </r>
  <r>
    <s v="729-46-7422"/>
    <x v="1"/>
    <x v="1"/>
    <x v="1"/>
    <s v="Male"/>
    <x v="4"/>
    <n v="35.89"/>
    <n v="1"/>
    <n v="1.7945"/>
    <n v="37.6845"/>
    <s v="2/23/2019"/>
    <d v="1899-12-30T16:52:00"/>
    <s v="Credit card"/>
    <n v="35.89"/>
    <n v="4.7619047620000003"/>
    <n v="1.7945"/>
    <n v="7.9"/>
    <d v="2019-02-23T00:00:00"/>
    <x v="2"/>
    <x v="7"/>
  </r>
  <r>
    <s v="639-76-1242"/>
    <x v="1"/>
    <x v="1"/>
    <x v="1"/>
    <s v="Male"/>
    <x v="4"/>
    <n v="40.520000000000003"/>
    <n v="5"/>
    <n v="10.130000000000001"/>
    <n v="212.73"/>
    <d v="2019-03-02T00:00:00"/>
    <d v="1899-12-30T15:19:00"/>
    <s v="Cash"/>
    <n v="202.6"/>
    <n v="4.7619047620000003"/>
    <n v="10.130000000000001"/>
    <n v="4.5"/>
    <d v="2019-02-03T00:00:00"/>
    <x v="2"/>
    <x v="9"/>
  </r>
  <r>
    <s v="234-03-4040"/>
    <x v="2"/>
    <x v="2"/>
    <x v="0"/>
    <s v="Female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d v="2019-03-03T00:00:00"/>
    <x v="1"/>
    <x v="10"/>
  </r>
  <r>
    <s v="326-71-2155"/>
    <x v="1"/>
    <x v="1"/>
    <x v="1"/>
    <s v="Female"/>
    <x v="3"/>
    <n v="73.95"/>
    <n v="4"/>
    <n v="14.79"/>
    <n v="310.58999999999997"/>
    <d v="2019-03-02T00:00:00"/>
    <d v="1899-12-30T10:02:00"/>
    <s v="Cash"/>
    <n v="295.8"/>
    <n v="4.7619047620000003"/>
    <n v="14.79"/>
    <n v="6.1"/>
    <d v="2019-02-03T00:00:00"/>
    <x v="2"/>
    <x v="1"/>
  </r>
  <r>
    <s v="320-32-8842"/>
    <x v="1"/>
    <x v="1"/>
    <x v="0"/>
    <s v="Female"/>
    <x v="4"/>
    <n v="22.62"/>
    <n v="1"/>
    <n v="1.131"/>
    <n v="23.751000000000001"/>
    <s v="3/17/2019"/>
    <d v="1899-12-30T18:58:00"/>
    <s v="Cash"/>
    <n v="22.62"/>
    <n v="4.7619047620000003"/>
    <n v="1.131"/>
    <n v="6.4"/>
    <d v="2019-03-17T00:00:00"/>
    <x v="1"/>
    <x v="3"/>
  </r>
  <r>
    <s v="470-32-9057"/>
    <x v="0"/>
    <x v="0"/>
    <x v="0"/>
    <s v="Male"/>
    <x v="4"/>
    <n v="51.34"/>
    <n v="5"/>
    <n v="12.835000000000001"/>
    <n v="269.53500000000003"/>
    <s v="3/28/2019"/>
    <d v="1899-12-30T15:31:00"/>
    <s v="Credit card"/>
    <n v="256.7"/>
    <n v="4.7619047620000003"/>
    <n v="12.835000000000001"/>
    <n v="9.1"/>
    <d v="2019-03-28T00:00:00"/>
    <x v="1"/>
    <x v="9"/>
  </r>
  <r>
    <s v="878-30-2331"/>
    <x v="1"/>
    <x v="1"/>
    <x v="0"/>
    <s v="Female"/>
    <x v="3"/>
    <n v="54.55"/>
    <n v="10"/>
    <n v="27.274999999999999"/>
    <n v="572.77499999999998"/>
    <d v="2019-02-03T00:00:00"/>
    <d v="1899-12-30T11:22:00"/>
    <s v="Credit card"/>
    <n v="545.5"/>
    <n v="4.7619047620000003"/>
    <n v="27.274999999999999"/>
    <n v="7.1"/>
    <d v="2019-03-02T00:00:00"/>
    <x v="1"/>
    <x v="5"/>
  </r>
  <r>
    <s v="440-59-5691"/>
    <x v="1"/>
    <x v="1"/>
    <x v="0"/>
    <s v="Female"/>
    <x v="0"/>
    <n v="37.15"/>
    <n v="7"/>
    <n v="13.0025"/>
    <n v="273.05250000000001"/>
    <d v="2019-08-02T00:00:00"/>
    <d v="1899-12-30T13:12:00"/>
    <s v="Credit card"/>
    <n v="260.05"/>
    <n v="4.7619047620000003"/>
    <n v="13.0025"/>
    <n v="7.7"/>
    <d v="2019-02-08T00:00:00"/>
    <x v="2"/>
    <x v="0"/>
  </r>
  <r>
    <s v="554-53-3790"/>
    <x v="2"/>
    <x v="2"/>
    <x v="1"/>
    <s v="Male"/>
    <x v="3"/>
    <n v="37.020000000000003"/>
    <n v="6"/>
    <n v="11.106"/>
    <n v="233.226"/>
    <s v="3/22/2019"/>
    <d v="1899-12-30T18:33:00"/>
    <s v="Cash"/>
    <n v="222.12"/>
    <n v="4.7619047620000003"/>
    <n v="11.106"/>
    <n v="4.5"/>
    <d v="2019-03-22T00:00:00"/>
    <x v="1"/>
    <x v="3"/>
  </r>
  <r>
    <s v="746-19-0921"/>
    <x v="1"/>
    <x v="1"/>
    <x v="1"/>
    <s v="Male"/>
    <x v="4"/>
    <n v="21.58"/>
    <n v="1"/>
    <n v="1.079"/>
    <n v="22.658999999999999"/>
    <d v="2019-09-02T00:00:00"/>
    <d v="1899-12-30T10:02:00"/>
    <s v="Ewallet"/>
    <n v="21.58"/>
    <n v="4.7619047620000003"/>
    <n v="1.079"/>
    <n v="7.2"/>
    <d v="2019-02-09T00:00:00"/>
    <x v="2"/>
    <x v="1"/>
  </r>
  <r>
    <s v="233-34-0817"/>
    <x v="1"/>
    <x v="1"/>
    <x v="0"/>
    <s v="Female"/>
    <x v="1"/>
    <n v="98.84"/>
    <n v="1"/>
    <n v="4.9420000000000002"/>
    <n v="103.782"/>
    <s v="2/15/2019"/>
    <d v="1899-12-30T11:21:00"/>
    <s v="Cash"/>
    <n v="98.84"/>
    <n v="4.7619047620000003"/>
    <n v="4.9420000000000002"/>
    <n v="8.4"/>
    <d v="2019-02-15T00:00:00"/>
    <x v="2"/>
    <x v="5"/>
  </r>
  <r>
    <s v="767-05-1286"/>
    <x v="1"/>
    <x v="1"/>
    <x v="0"/>
    <s v="Female"/>
    <x v="2"/>
    <n v="83.77"/>
    <n v="6"/>
    <n v="25.131"/>
    <n v="527.75099999999998"/>
    <s v="1/23/2019"/>
    <d v="1899-12-30T12:10:00"/>
    <s v="Ewallet"/>
    <n v="502.62"/>
    <n v="4.7619047620000003"/>
    <n v="25.131"/>
    <n v="5.4"/>
    <d v="2019-01-23T00:00:00"/>
    <x v="0"/>
    <x v="10"/>
  </r>
  <r>
    <s v="340-21-9136"/>
    <x v="0"/>
    <x v="0"/>
    <x v="0"/>
    <s v="Female"/>
    <x v="3"/>
    <n v="40.049999999999997"/>
    <n v="4"/>
    <n v="8.01"/>
    <n v="168.21"/>
    <s v="1/25/2019"/>
    <d v="1899-12-30T11:40:00"/>
    <s v="Cash"/>
    <n v="160.19999999999999"/>
    <n v="4.7619047620000003"/>
    <n v="8.01"/>
    <n v="9.6999999999999993"/>
    <d v="2019-01-25T00:00:00"/>
    <x v="0"/>
    <x v="5"/>
  </r>
  <r>
    <s v="405-31-3305"/>
    <x v="0"/>
    <x v="0"/>
    <x v="0"/>
    <s v="Male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  <d v="2019-02-02T00:00:00"/>
    <x v="2"/>
    <x v="3"/>
  </r>
  <r>
    <s v="731-59-7531"/>
    <x v="2"/>
    <x v="2"/>
    <x v="0"/>
    <s v="Male"/>
    <x v="0"/>
    <n v="72.569999999999993"/>
    <n v="8"/>
    <n v="29.027999999999999"/>
    <n v="609.58799999999997"/>
    <s v="3/30/2019"/>
    <d v="1899-12-30T17:58:00"/>
    <s v="Cash"/>
    <n v="580.55999999999995"/>
    <n v="4.7619047620000003"/>
    <n v="29.027999999999999"/>
    <n v="4.5999999999999996"/>
    <d v="2019-03-30T00:00:00"/>
    <x v="1"/>
    <x v="6"/>
  </r>
  <r>
    <s v="676-39-6028"/>
    <x v="0"/>
    <x v="0"/>
    <x v="0"/>
    <s v="Female"/>
    <x v="1"/>
    <n v="64.44"/>
    <n v="5"/>
    <n v="16.11"/>
    <n v="338.31"/>
    <s v="3/30/2019"/>
    <d v="1899-12-30T17:04:00"/>
    <s v="Cash"/>
    <n v="322.2"/>
    <n v="4.7619047620000003"/>
    <n v="16.11"/>
    <n v="6.6"/>
    <d v="2019-03-30T00:00:00"/>
    <x v="1"/>
    <x v="6"/>
  </r>
  <r>
    <s v="502-05-1910"/>
    <x v="0"/>
    <x v="0"/>
    <x v="1"/>
    <s v="Male"/>
    <x v="0"/>
    <n v="65.180000000000007"/>
    <n v="3"/>
    <n v="9.7769999999999992"/>
    <n v="205.31700000000001"/>
    <s v="2/25/2019"/>
    <d v="1899-12-30T20:35:00"/>
    <s v="Credit card"/>
    <n v="195.54"/>
    <n v="4.7619047620000003"/>
    <n v="9.7769999999999992"/>
    <n v="6.3"/>
    <d v="2019-02-25T00:00:00"/>
    <x v="2"/>
    <x v="2"/>
  </r>
  <r>
    <s v="485-30-8700"/>
    <x v="0"/>
    <x v="0"/>
    <x v="1"/>
    <s v="Female"/>
    <x v="3"/>
    <n v="33.26"/>
    <n v="5"/>
    <n v="8.3149999999999995"/>
    <n v="174.61500000000001"/>
    <s v="3/18/2019"/>
    <d v="1899-12-30T16:10:00"/>
    <s v="Credit card"/>
    <n v="166.3"/>
    <n v="4.7619047620000003"/>
    <n v="8.3149999999999995"/>
    <n v="4.2"/>
    <d v="2019-03-18T00:00:00"/>
    <x v="1"/>
    <x v="7"/>
  </r>
  <r>
    <s v="598-47-9715"/>
    <x v="1"/>
    <x v="1"/>
    <x v="1"/>
    <s v="Male"/>
    <x v="1"/>
    <n v="84.07"/>
    <n v="4"/>
    <n v="16.814"/>
    <n v="353.09399999999999"/>
    <d v="2019-07-03T00:00:00"/>
    <d v="1899-12-30T16:54:00"/>
    <s v="Ewallet"/>
    <n v="336.28"/>
    <n v="4.7619047620000003"/>
    <n v="16.814"/>
    <n v="4.4000000000000004"/>
    <d v="2019-03-07T00:00:00"/>
    <x v="1"/>
    <x v="7"/>
  </r>
  <r>
    <s v="701-69-8742"/>
    <x v="2"/>
    <x v="2"/>
    <x v="1"/>
    <s v="Male"/>
    <x v="3"/>
    <n v="34.369999999999997"/>
    <n v="10"/>
    <n v="17.184999999999999"/>
    <n v="360.88499999999999"/>
    <s v="3/16/2019"/>
    <d v="1899-12-30T10:11:00"/>
    <s v="Ewallet"/>
    <n v="343.7"/>
    <n v="4.7619047620000003"/>
    <n v="17.184999999999999"/>
    <n v="6.7"/>
    <d v="2019-03-16T00:00:00"/>
    <x v="1"/>
    <x v="1"/>
  </r>
  <r>
    <s v="575-67-1508"/>
    <x v="0"/>
    <x v="0"/>
    <x v="1"/>
    <s v="Male"/>
    <x v="1"/>
    <n v="38.6"/>
    <n v="1"/>
    <n v="1.93"/>
    <n v="40.53"/>
    <s v="1/29/2019"/>
    <d v="1899-12-30T11:26:00"/>
    <s v="Ewallet"/>
    <n v="38.6"/>
    <n v="4.7619047620000003"/>
    <n v="1.93"/>
    <n v="6.7"/>
    <d v="2019-01-29T00:00:00"/>
    <x v="0"/>
    <x v="5"/>
  </r>
  <r>
    <s v="541-08-3113"/>
    <x v="1"/>
    <x v="1"/>
    <x v="1"/>
    <s v="Male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  <d v="2019-02-02T00:00:00"/>
    <x v="2"/>
    <x v="2"/>
  </r>
  <r>
    <s v="246-11-3901"/>
    <x v="1"/>
    <x v="1"/>
    <x v="1"/>
    <s v="Female"/>
    <x v="1"/>
    <n v="32.799999999999997"/>
    <n v="10"/>
    <n v="16.399999999999999"/>
    <n v="344.4"/>
    <s v="2/15/2019"/>
    <d v="1899-12-30T12:12:00"/>
    <s v="Cash"/>
    <n v="328"/>
    <n v="4.7619047620000003"/>
    <n v="16.399999999999999"/>
    <n v="6.2"/>
    <d v="2019-02-15T00:00:00"/>
    <x v="2"/>
    <x v="10"/>
  </r>
  <r>
    <s v="674-15-9296"/>
    <x v="0"/>
    <x v="0"/>
    <x v="1"/>
    <s v="Male"/>
    <x v="3"/>
    <n v="37.14"/>
    <n v="5"/>
    <n v="9.2850000000000001"/>
    <n v="194.98500000000001"/>
    <d v="2019-08-01T00:00:00"/>
    <d v="1899-12-30T13:05:00"/>
    <s v="Ewallet"/>
    <n v="185.7"/>
    <n v="4.7619047620000003"/>
    <n v="9.2850000000000001"/>
    <n v="5"/>
    <d v="2019-01-08T00:00:00"/>
    <x v="0"/>
    <x v="0"/>
  </r>
  <r>
    <s v="305-18-3552"/>
    <x v="2"/>
    <x v="2"/>
    <x v="0"/>
    <s v="Male"/>
    <x v="2"/>
    <n v="60.38"/>
    <n v="10"/>
    <n v="30.19"/>
    <n v="633.99"/>
    <d v="2019-12-02T00:00:00"/>
    <d v="1899-12-30T16:19:00"/>
    <s v="Cash"/>
    <n v="603.79999999999995"/>
    <n v="4.7619047620000003"/>
    <n v="30.19"/>
    <n v="6"/>
    <d v="2019-02-12T00:00:00"/>
    <x v="2"/>
    <x v="7"/>
  </r>
  <r>
    <s v="493-65-6248"/>
    <x v="1"/>
    <x v="1"/>
    <x v="0"/>
    <s v="Female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  <d v="2019-01-01T00:00:00"/>
    <x v="0"/>
    <x v="8"/>
  </r>
  <r>
    <s v="438-01-4015"/>
    <x v="2"/>
    <x v="2"/>
    <x v="0"/>
    <s v="Female"/>
    <x v="3"/>
    <n v="49.49"/>
    <n v="4"/>
    <n v="9.8979999999999997"/>
    <n v="207.858"/>
    <s v="3/21/2019"/>
    <d v="1899-12-30T15:25:00"/>
    <s v="Ewallet"/>
    <n v="197.96"/>
    <n v="4.7619047620000003"/>
    <n v="9.8979999999999997"/>
    <n v="6.6"/>
    <d v="2019-03-21T00:00:00"/>
    <x v="1"/>
    <x v="9"/>
  </r>
  <r>
    <s v="709-58-4068"/>
    <x v="2"/>
    <x v="2"/>
    <x v="1"/>
    <s v="Female"/>
    <x v="5"/>
    <n v="41.09"/>
    <n v="10"/>
    <n v="20.545000000000002"/>
    <n v="431.44499999999999"/>
    <s v="2/28/2019"/>
    <d v="1899-12-30T14:42:00"/>
    <s v="Cash"/>
    <n v="410.9"/>
    <n v="4.7619047620000003"/>
    <n v="20.545000000000002"/>
    <n v="7.3"/>
    <d v="2019-02-28T00:00:00"/>
    <x v="2"/>
    <x v="4"/>
  </r>
  <r>
    <s v="795-49-7276"/>
    <x v="0"/>
    <x v="0"/>
    <x v="1"/>
    <s v="Male"/>
    <x v="5"/>
    <n v="37.15"/>
    <n v="4"/>
    <n v="7.43"/>
    <n v="156.03"/>
    <s v="3/23/2019"/>
    <d v="1899-12-30T18:59:00"/>
    <s v="Ewallet"/>
    <n v="148.6"/>
    <n v="4.7619047620000003"/>
    <n v="7.43"/>
    <n v="8.3000000000000007"/>
    <d v="2019-03-23T00:00:00"/>
    <x v="1"/>
    <x v="3"/>
  </r>
  <r>
    <s v="556-72-8512"/>
    <x v="1"/>
    <x v="1"/>
    <x v="1"/>
    <s v="Male"/>
    <x v="2"/>
    <n v="22.96"/>
    <n v="1"/>
    <n v="1.1479999999999999"/>
    <n v="24.108000000000001"/>
    <s v="1/30/2019"/>
    <d v="1899-12-30T20:47:00"/>
    <s v="Cash"/>
    <n v="22.96"/>
    <n v="4.7619047620000003"/>
    <n v="1.1479999999999999"/>
    <n v="4.3"/>
    <d v="2019-01-30T00:00:00"/>
    <x v="0"/>
    <x v="2"/>
  </r>
  <r>
    <s v="627-95-3243"/>
    <x v="2"/>
    <x v="2"/>
    <x v="0"/>
    <s v="Female"/>
    <x v="2"/>
    <n v="77.680000000000007"/>
    <n v="9"/>
    <n v="34.956000000000003"/>
    <n v="734.07600000000002"/>
    <d v="2019-04-02T00:00:00"/>
    <d v="1899-12-30T13:21:00"/>
    <s v="Ewallet"/>
    <n v="699.12"/>
    <n v="4.7619047620000003"/>
    <n v="34.956000000000003"/>
    <n v="9.8000000000000007"/>
    <d v="2019-02-04T00:00:00"/>
    <x v="2"/>
    <x v="0"/>
  </r>
  <r>
    <s v="686-41-0932"/>
    <x v="2"/>
    <x v="2"/>
    <x v="1"/>
    <s v="Female"/>
    <x v="5"/>
    <n v="34.700000000000003"/>
    <n v="2"/>
    <n v="3.47"/>
    <n v="72.87"/>
    <s v="3/13/2019"/>
    <d v="1899-12-30T19:48:00"/>
    <s v="Ewallet"/>
    <n v="69.400000000000006"/>
    <n v="4.7619047620000003"/>
    <n v="3.47"/>
    <n v="8.1999999999999993"/>
    <d v="2019-03-13T00:00:00"/>
    <x v="1"/>
    <x v="8"/>
  </r>
  <r>
    <s v="510-09-5628"/>
    <x v="0"/>
    <x v="0"/>
    <x v="0"/>
    <s v="Female"/>
    <x v="5"/>
    <n v="19.66"/>
    <n v="10"/>
    <n v="9.83"/>
    <n v="206.43"/>
    <s v="3/15/2019"/>
    <d v="1899-12-30T18:20:00"/>
    <s v="Credit card"/>
    <n v="196.6"/>
    <n v="4.7619047620000003"/>
    <n v="9.83"/>
    <n v="7.2"/>
    <d v="2019-03-15T00:00:00"/>
    <x v="1"/>
    <x v="3"/>
  </r>
  <r>
    <s v="608-04-3797"/>
    <x v="2"/>
    <x v="2"/>
    <x v="0"/>
    <s v="Female"/>
    <x v="0"/>
    <n v="25.32"/>
    <n v="8"/>
    <n v="10.128"/>
    <n v="212.68799999999999"/>
    <d v="2019-05-03T00:00:00"/>
    <d v="1899-12-30T20:24:00"/>
    <s v="Ewallet"/>
    <n v="202.56"/>
    <n v="4.7619047620000003"/>
    <n v="10.128"/>
    <n v="8.6999999999999993"/>
    <d v="2019-03-05T00:00:00"/>
    <x v="1"/>
    <x v="2"/>
  </r>
  <r>
    <s v="148-82-2527"/>
    <x v="1"/>
    <x v="1"/>
    <x v="0"/>
    <s v="Female"/>
    <x v="2"/>
    <n v="12.12"/>
    <n v="10"/>
    <n v="6.06"/>
    <n v="127.26"/>
    <d v="2019-05-03T00:00:00"/>
    <d v="1899-12-30T13:44:00"/>
    <s v="Credit card"/>
    <n v="121.2"/>
    <n v="4.7619047620000003"/>
    <n v="6.06"/>
    <n v="8.4"/>
    <d v="2019-03-05T00:00:00"/>
    <x v="1"/>
    <x v="0"/>
  </r>
  <r>
    <s v="437-53-3084"/>
    <x v="2"/>
    <x v="2"/>
    <x v="1"/>
    <s v="Male"/>
    <x v="5"/>
    <n v="99.89"/>
    <n v="2"/>
    <n v="9.9890000000000008"/>
    <n v="209.76900000000001"/>
    <s v="2/26/2019"/>
    <d v="1899-12-30T11:48:00"/>
    <s v="Ewallet"/>
    <n v="199.78"/>
    <n v="4.7619047620000003"/>
    <n v="9.9890000000000008"/>
    <n v="7.1"/>
    <d v="2019-02-26T00:00:00"/>
    <x v="2"/>
    <x v="5"/>
  </r>
  <r>
    <s v="632-32-4574"/>
    <x v="2"/>
    <x v="2"/>
    <x v="1"/>
    <s v="Male"/>
    <x v="3"/>
    <n v="75.92"/>
    <n v="8"/>
    <n v="30.367999999999999"/>
    <n v="637.72799999999995"/>
    <s v="3/20/2019"/>
    <d v="1899-12-30T14:14:00"/>
    <s v="Cash"/>
    <n v="607.36"/>
    <n v="4.7619047620000003"/>
    <n v="30.367999999999999"/>
    <n v="5.5"/>
    <d v="2019-03-20T00:00:00"/>
    <x v="1"/>
    <x v="4"/>
  </r>
  <r>
    <s v="556-97-7101"/>
    <x v="1"/>
    <x v="1"/>
    <x v="1"/>
    <s v="Female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  <d v="2019-01-01T00:00:00"/>
    <x v="0"/>
    <x v="9"/>
  </r>
  <r>
    <s v="862-59-8517"/>
    <x v="1"/>
    <x v="1"/>
    <x v="1"/>
    <s v="Female"/>
    <x v="4"/>
    <n v="90.24"/>
    <n v="6"/>
    <n v="27.071999999999999"/>
    <n v="568.51199999999994"/>
    <s v="1/27/2019"/>
    <d v="1899-12-30T11:17:00"/>
    <s v="Cash"/>
    <n v="541.44000000000005"/>
    <n v="4.7619047620000003"/>
    <n v="27.071999999999999"/>
    <n v="6.2"/>
    <d v="2019-01-27T00:00:00"/>
    <x v="0"/>
    <x v="5"/>
  </r>
  <r>
    <s v="401-18-8016"/>
    <x v="2"/>
    <x v="2"/>
    <x v="0"/>
    <s v="Female"/>
    <x v="3"/>
    <n v="98.13"/>
    <n v="1"/>
    <n v="4.9065000000000003"/>
    <n v="103.0365"/>
    <s v="1/21/2019"/>
    <d v="1899-12-30T17:36:00"/>
    <s v="Cash"/>
    <n v="98.13"/>
    <n v="4.7619047620000003"/>
    <n v="4.9065000000000003"/>
    <n v="8.9"/>
    <d v="2019-01-21T00:00:00"/>
    <x v="0"/>
    <x v="6"/>
  </r>
  <r>
    <s v="420-18-8989"/>
    <x v="0"/>
    <x v="0"/>
    <x v="0"/>
    <s v="Female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d v="2019-02-02T00:00:00"/>
    <x v="2"/>
    <x v="9"/>
  </r>
  <r>
    <s v="277-63-2961"/>
    <x v="2"/>
    <x v="2"/>
    <x v="0"/>
    <s v="Male"/>
    <x v="3"/>
    <n v="73.97"/>
    <n v="1"/>
    <n v="3.6985000000000001"/>
    <n v="77.668499999999995"/>
    <d v="2019-03-02T00:00:00"/>
    <d v="1899-12-30T15:53:00"/>
    <s v="Credit card"/>
    <n v="73.97"/>
    <n v="4.7619047620000003"/>
    <n v="3.6985000000000001"/>
    <n v="5.4"/>
    <d v="2019-02-03T00:00:00"/>
    <x v="2"/>
    <x v="9"/>
  </r>
  <r>
    <s v="573-98-8548"/>
    <x v="1"/>
    <x v="1"/>
    <x v="0"/>
    <s v="Female"/>
    <x v="5"/>
    <n v="31.9"/>
    <n v="1"/>
    <n v="1.595"/>
    <n v="33.494999999999997"/>
    <d v="2019-05-01T00:00:00"/>
    <d v="1899-12-30T12:40:00"/>
    <s v="Ewallet"/>
    <n v="31.9"/>
    <n v="4.7619047620000003"/>
    <n v="1.595"/>
    <n v="9.1"/>
    <d v="2019-01-05T00:00:00"/>
    <x v="0"/>
    <x v="10"/>
  </r>
  <r>
    <s v="620-02-2046"/>
    <x v="1"/>
    <x v="1"/>
    <x v="1"/>
    <s v="Male"/>
    <x v="2"/>
    <n v="69.400000000000006"/>
    <n v="2"/>
    <n v="6.94"/>
    <n v="145.74"/>
    <s v="1/27/2019"/>
    <d v="1899-12-30T19:48:00"/>
    <s v="Ewallet"/>
    <n v="138.80000000000001"/>
    <n v="4.7619047620000003"/>
    <n v="6.94"/>
    <n v="9"/>
    <d v="2019-01-27T00:00:00"/>
    <x v="0"/>
    <x v="8"/>
  </r>
  <r>
    <s v="282-35-2475"/>
    <x v="2"/>
    <x v="2"/>
    <x v="1"/>
    <s v="Female"/>
    <x v="3"/>
    <n v="93.31"/>
    <n v="2"/>
    <n v="9.3309999999999995"/>
    <n v="195.95099999999999"/>
    <s v="3/25/2019"/>
    <d v="1899-12-30T17:53:00"/>
    <s v="Cash"/>
    <n v="186.62"/>
    <n v="4.7619047620000003"/>
    <n v="9.3309999999999995"/>
    <n v="6.3"/>
    <d v="2019-03-25T00:00:00"/>
    <x v="1"/>
    <x v="6"/>
  </r>
  <r>
    <s v="511-54-3087"/>
    <x v="2"/>
    <x v="2"/>
    <x v="1"/>
    <s v="Male"/>
    <x v="3"/>
    <n v="88.45"/>
    <n v="1"/>
    <n v="4.4225000000000003"/>
    <n v="92.872500000000002"/>
    <s v="2/25/2019"/>
    <d v="1899-12-30T16:36:00"/>
    <s v="Credit card"/>
    <n v="88.45"/>
    <n v="4.7619047620000003"/>
    <n v="4.4225000000000003"/>
    <n v="9.5"/>
    <d v="2019-02-25T00:00:00"/>
    <x v="2"/>
    <x v="7"/>
  </r>
  <r>
    <s v="726-29-6793"/>
    <x v="0"/>
    <x v="0"/>
    <x v="0"/>
    <s v="Male"/>
    <x v="1"/>
    <n v="24.18"/>
    <n v="8"/>
    <n v="9.6720000000000006"/>
    <n v="203.11199999999999"/>
    <s v="1/28/2019"/>
    <d v="1899-12-30T20:54:00"/>
    <s v="Ewallet"/>
    <n v="193.44"/>
    <n v="4.7619047620000003"/>
    <n v="9.6720000000000006"/>
    <n v="9.8000000000000007"/>
    <d v="2019-01-28T00:00:00"/>
    <x v="0"/>
    <x v="2"/>
  </r>
  <r>
    <s v="387-49-4215"/>
    <x v="2"/>
    <x v="2"/>
    <x v="0"/>
    <s v="Female"/>
    <x v="3"/>
    <n v="48.5"/>
    <n v="3"/>
    <n v="7.2750000000000004"/>
    <n v="152.77500000000001"/>
    <d v="2019-08-01T00:00:00"/>
    <d v="1899-12-30T12:50:00"/>
    <s v="Cash"/>
    <n v="145.5"/>
    <n v="4.7619047620000003"/>
    <n v="7.2750000000000004"/>
    <n v="6.7"/>
    <d v="2019-01-08T00:00:00"/>
    <x v="0"/>
    <x v="10"/>
  </r>
  <r>
    <s v="862-17-9201"/>
    <x v="2"/>
    <x v="2"/>
    <x v="1"/>
    <s v="Female"/>
    <x v="4"/>
    <n v="84.05"/>
    <n v="6"/>
    <n v="25.215"/>
    <n v="529.51499999999999"/>
    <s v="1/29/2019"/>
    <d v="1899-12-30T10:48:00"/>
    <s v="Credit card"/>
    <n v="504.3"/>
    <n v="4.7619047620000003"/>
    <n v="25.215"/>
    <n v="7.7"/>
    <d v="2019-01-29T00:00:00"/>
    <x v="0"/>
    <x v="1"/>
  </r>
  <r>
    <s v="291-21-5991"/>
    <x v="2"/>
    <x v="2"/>
    <x v="0"/>
    <s v="Male"/>
    <x v="0"/>
    <n v="61.29"/>
    <n v="5"/>
    <n v="15.3225"/>
    <n v="321.77249999999998"/>
    <s v="3/29/2019"/>
    <d v="1899-12-30T14:28:00"/>
    <s v="Cash"/>
    <n v="306.45"/>
    <n v="4.7619047620000003"/>
    <n v="15.3225"/>
    <n v="7"/>
    <d v="2019-03-29T00:00:00"/>
    <x v="1"/>
    <x v="4"/>
  </r>
  <r>
    <s v="602-80-9671"/>
    <x v="1"/>
    <x v="1"/>
    <x v="0"/>
    <s v="Female"/>
    <x v="2"/>
    <n v="15.95"/>
    <n v="6"/>
    <n v="4.7850000000000001"/>
    <n v="100.485"/>
    <d v="2019-09-02T00:00:00"/>
    <d v="1899-12-30T17:15:00"/>
    <s v="Credit card"/>
    <n v="95.7"/>
    <n v="4.7619047620000003"/>
    <n v="4.7850000000000001"/>
    <n v="5.0999999999999996"/>
    <d v="2019-02-09T00:00:00"/>
    <x v="2"/>
    <x v="6"/>
  </r>
  <r>
    <s v="347-72-6115"/>
    <x v="2"/>
    <x v="2"/>
    <x v="0"/>
    <s v="Female"/>
    <x v="3"/>
    <n v="90.74"/>
    <n v="7"/>
    <n v="31.759"/>
    <n v="666.93899999999996"/>
    <s v="1/16/2019"/>
    <d v="1899-12-30T18:03:00"/>
    <s v="Credit card"/>
    <n v="635.17999999999995"/>
    <n v="4.7619047620000003"/>
    <n v="31.759"/>
    <n v="6.2"/>
    <d v="2019-01-16T00:00:00"/>
    <x v="0"/>
    <x v="3"/>
  </r>
  <r>
    <s v="209-61-0206"/>
    <x v="0"/>
    <x v="0"/>
    <x v="1"/>
    <s v="Female"/>
    <x v="2"/>
    <n v="42.91"/>
    <n v="5"/>
    <n v="10.727499999999999"/>
    <n v="225.2775"/>
    <d v="2019-05-01T00:00:00"/>
    <d v="1899-12-30T17:29:00"/>
    <s v="Ewallet"/>
    <n v="214.55"/>
    <n v="4.7619047620000003"/>
    <n v="10.727499999999999"/>
    <n v="6.1"/>
    <d v="2019-01-05T00:00:00"/>
    <x v="0"/>
    <x v="6"/>
  </r>
  <r>
    <s v="595-27-4851"/>
    <x v="0"/>
    <x v="0"/>
    <x v="1"/>
    <s v="Female"/>
    <x v="5"/>
    <n v="54.28"/>
    <n v="7"/>
    <n v="18.998000000000001"/>
    <n v="398.95800000000003"/>
    <s v="1/27/2019"/>
    <d v="1899-12-30T18:05:00"/>
    <s v="Ewallet"/>
    <n v="379.96"/>
    <n v="4.7619047620000003"/>
    <n v="18.998000000000001"/>
    <n v="9.3000000000000007"/>
    <d v="2019-01-27T00:00:00"/>
    <x v="0"/>
    <x v="3"/>
  </r>
  <r>
    <s v="189-52-0236"/>
    <x v="0"/>
    <x v="0"/>
    <x v="1"/>
    <s v="Male"/>
    <x v="1"/>
    <n v="99.55"/>
    <n v="7"/>
    <n v="34.842500000000001"/>
    <n v="731.6925"/>
    <s v="3/14/2019"/>
    <d v="1899-12-30T12:07:00"/>
    <s v="Cash"/>
    <n v="696.85"/>
    <n v="4.7619047620000003"/>
    <n v="34.842500000000001"/>
    <n v="7.6"/>
    <d v="2019-03-14T00:00:00"/>
    <x v="1"/>
    <x v="10"/>
  </r>
  <r>
    <s v="503-07-0930"/>
    <x v="1"/>
    <x v="1"/>
    <x v="0"/>
    <s v="Male"/>
    <x v="3"/>
    <n v="58.39"/>
    <n v="7"/>
    <n v="20.436499999999999"/>
    <n v="429.16649999999998"/>
    <s v="2/23/2019"/>
    <d v="1899-12-30T19:49:00"/>
    <s v="Credit card"/>
    <n v="408.73"/>
    <n v="4.7619047620000003"/>
    <n v="20.436499999999999"/>
    <n v="8.1999999999999993"/>
    <d v="2019-02-23T00:00:00"/>
    <x v="2"/>
    <x v="8"/>
  </r>
  <r>
    <s v="413-20-6708"/>
    <x v="1"/>
    <x v="1"/>
    <x v="0"/>
    <s v="Female"/>
    <x v="5"/>
    <n v="51.47"/>
    <n v="1"/>
    <n v="2.5735000000000001"/>
    <n v="54.043500000000002"/>
    <s v="3/18/2019"/>
    <d v="1899-12-30T15:52:00"/>
    <s v="Ewallet"/>
    <n v="51.47"/>
    <n v="4.7619047620000003"/>
    <n v="2.5735000000000001"/>
    <n v="8.5"/>
    <d v="2019-03-18T00:00:00"/>
    <x v="1"/>
    <x v="9"/>
  </r>
  <r>
    <s v="425-85-2085"/>
    <x v="2"/>
    <x v="2"/>
    <x v="0"/>
    <s v="Male"/>
    <x v="0"/>
    <n v="54.86"/>
    <n v="5"/>
    <n v="13.715"/>
    <n v="288.01499999999999"/>
    <s v="3/29/2019"/>
    <d v="1899-12-30T16:48:00"/>
    <s v="Ewallet"/>
    <n v="274.3"/>
    <n v="4.7619047620000003"/>
    <n v="13.715"/>
    <n v="9.8000000000000007"/>
    <d v="2019-03-29T00:00:00"/>
    <x v="1"/>
    <x v="7"/>
  </r>
  <r>
    <s v="521-18-7827"/>
    <x v="1"/>
    <x v="1"/>
    <x v="0"/>
    <s v="Male"/>
    <x v="2"/>
    <n v="39.39"/>
    <n v="5"/>
    <n v="9.8475000000000001"/>
    <n v="206.79750000000001"/>
    <s v="1/22/2019"/>
    <d v="1899-12-30T20:46:00"/>
    <s v="Credit card"/>
    <n v="196.95"/>
    <n v="4.7619047620000003"/>
    <n v="9.8475000000000001"/>
    <n v="8.6999999999999993"/>
    <d v="2019-01-22T00:00:00"/>
    <x v="0"/>
    <x v="2"/>
  </r>
  <r>
    <s v="220-28-1851"/>
    <x v="0"/>
    <x v="0"/>
    <x v="1"/>
    <s v="Male"/>
    <x v="2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n v="9.6999999999999993"/>
    <d v="2019-03-01T00:00:00"/>
    <x v="1"/>
    <x v="3"/>
  </r>
  <r>
    <s v="600-38-9738"/>
    <x v="1"/>
    <x v="1"/>
    <x v="0"/>
    <s v="Male"/>
    <x v="3"/>
    <n v="71.92"/>
    <n v="5"/>
    <n v="17.98"/>
    <n v="377.58"/>
    <s v="1/17/2019"/>
    <d v="1899-12-30T15:05:00"/>
    <s v="Credit card"/>
    <n v="359.6"/>
    <n v="4.7619047620000003"/>
    <n v="17.98"/>
    <n v="4.3"/>
    <d v="2019-01-17T00:00:00"/>
    <x v="0"/>
    <x v="9"/>
  </r>
  <r>
    <s v="734-91-1155"/>
    <x v="2"/>
    <x v="2"/>
    <x v="1"/>
    <s v="Female"/>
    <x v="1"/>
    <n v="45.71"/>
    <n v="3"/>
    <n v="6.8564999999999996"/>
    <n v="143.98650000000001"/>
    <s v="3/26/2019"/>
    <d v="1899-12-30T10:34:00"/>
    <s v="Credit card"/>
    <n v="137.13"/>
    <n v="4.7619047620000003"/>
    <n v="6.8564999999999996"/>
    <n v="7.7"/>
    <d v="2019-03-26T00:00:00"/>
    <x v="1"/>
    <x v="1"/>
  </r>
  <r>
    <s v="451-28-5717"/>
    <x v="1"/>
    <x v="1"/>
    <x v="0"/>
    <s v="Female"/>
    <x v="2"/>
    <n v="83.17"/>
    <n v="6"/>
    <n v="24.951000000000001"/>
    <n v="523.971"/>
    <s v="3/20/2019"/>
    <d v="1899-12-30T11:23:00"/>
    <s v="Cash"/>
    <n v="499.02"/>
    <n v="4.7619047620000003"/>
    <n v="24.951000000000001"/>
    <n v="7.3"/>
    <d v="2019-03-20T00:00:00"/>
    <x v="1"/>
    <x v="5"/>
  </r>
  <r>
    <s v="609-81-8548"/>
    <x v="0"/>
    <x v="0"/>
    <x v="0"/>
    <s v="Female"/>
    <x v="2"/>
    <n v="37.44"/>
    <n v="6"/>
    <n v="11.231999999999999"/>
    <n v="235.87200000000001"/>
    <d v="2019-06-02T00:00:00"/>
    <d v="1899-12-30T13:55:00"/>
    <s v="Credit card"/>
    <n v="224.64"/>
    <n v="4.7619047620000003"/>
    <n v="11.231999999999999"/>
    <n v="5.9"/>
    <d v="2019-02-06T00:00:00"/>
    <x v="2"/>
    <x v="0"/>
  </r>
  <r>
    <s v="133-14-7229"/>
    <x v="1"/>
    <x v="1"/>
    <x v="1"/>
    <s v="Male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  <d v="2019-01-01T00:00:00"/>
    <x v="0"/>
    <x v="5"/>
  </r>
  <r>
    <s v="534-01-4457"/>
    <x v="0"/>
    <x v="0"/>
    <x v="1"/>
    <s v="Male"/>
    <x v="4"/>
    <n v="81.709999999999994"/>
    <n v="6"/>
    <n v="24.513000000000002"/>
    <n v="514.77300000000002"/>
    <s v="1/27/2019"/>
    <d v="1899-12-30T14:36:00"/>
    <s v="Credit card"/>
    <n v="490.26"/>
    <n v="4.7619047620000003"/>
    <n v="24.513000000000002"/>
    <n v="8"/>
    <d v="2019-01-27T00:00:00"/>
    <x v="0"/>
    <x v="4"/>
  </r>
  <r>
    <s v="719-89-8991"/>
    <x v="0"/>
    <x v="0"/>
    <x v="0"/>
    <s v="Female"/>
    <x v="3"/>
    <n v="91.41"/>
    <n v="5"/>
    <n v="22.852499999999999"/>
    <n v="479.90249999999997"/>
    <s v="2/25/2019"/>
    <d v="1899-12-30T16:03:00"/>
    <s v="Ewallet"/>
    <n v="457.05"/>
    <n v="4.7619047620000003"/>
    <n v="22.852499999999999"/>
    <n v="7.1"/>
    <d v="2019-02-25T00:00:00"/>
    <x v="2"/>
    <x v="7"/>
  </r>
  <r>
    <s v="286-62-6248"/>
    <x v="2"/>
    <x v="2"/>
    <x v="1"/>
    <s v="Male"/>
    <x v="5"/>
    <n v="39.21"/>
    <n v="4"/>
    <n v="7.8419999999999996"/>
    <n v="164.68199999999999"/>
    <s v="1/16/2019"/>
    <d v="1899-12-30T20:03:00"/>
    <s v="Credit card"/>
    <n v="156.84"/>
    <n v="4.7619047620000003"/>
    <n v="7.8419999999999996"/>
    <n v="9"/>
    <d v="2019-01-16T00:00:00"/>
    <x v="0"/>
    <x v="2"/>
  </r>
  <r>
    <s v="339-38-9982"/>
    <x v="2"/>
    <x v="2"/>
    <x v="0"/>
    <s v="Male"/>
    <x v="5"/>
    <n v="59.86"/>
    <n v="2"/>
    <n v="5.9859999999999998"/>
    <n v="125.706"/>
    <s v="1/13/2019"/>
    <d v="1899-12-30T14:55:00"/>
    <s v="Ewallet"/>
    <n v="119.72"/>
    <n v="4.7619047620000003"/>
    <n v="5.9859999999999998"/>
    <n v="6.7"/>
    <d v="2019-01-13T00:00:00"/>
    <x v="0"/>
    <x v="4"/>
  </r>
  <r>
    <s v="827-44-5872"/>
    <x v="2"/>
    <x v="2"/>
    <x v="0"/>
    <s v="Female"/>
    <x v="4"/>
    <n v="54.36"/>
    <n v="10"/>
    <n v="27.18"/>
    <n v="570.78"/>
    <d v="2019-07-02T00:00:00"/>
    <d v="1899-12-30T11:28:00"/>
    <s v="Credit card"/>
    <n v="543.6"/>
    <n v="4.7619047620000003"/>
    <n v="27.18"/>
    <n v="6.1"/>
    <d v="2019-02-07T00:00:00"/>
    <x v="2"/>
    <x v="5"/>
  </r>
  <r>
    <s v="827-77-7633"/>
    <x v="0"/>
    <x v="0"/>
    <x v="1"/>
    <s v="Male"/>
    <x v="3"/>
    <n v="98.09"/>
    <n v="9"/>
    <n v="44.140500000000003"/>
    <n v="926.95050000000003"/>
    <s v="2/17/2019"/>
    <d v="1899-12-30T19:41:00"/>
    <s v="Cash"/>
    <n v="882.81"/>
    <n v="4.7619047620000003"/>
    <n v="44.140500000000003"/>
    <n v="9.3000000000000007"/>
    <d v="2019-02-17T00:00:00"/>
    <x v="2"/>
    <x v="8"/>
  </r>
  <r>
    <s v="287-83-1405"/>
    <x v="0"/>
    <x v="0"/>
    <x v="1"/>
    <s v="Male"/>
    <x v="0"/>
    <n v="25.43"/>
    <n v="6"/>
    <n v="7.6289999999999996"/>
    <n v="160.209"/>
    <d v="2019-12-02T00:00:00"/>
    <d v="1899-12-30T19:01:00"/>
    <s v="Ewallet"/>
    <n v="152.58000000000001"/>
    <n v="4.7619047620000003"/>
    <n v="7.6289999999999996"/>
    <n v="7"/>
    <d v="2019-02-12T00:00:00"/>
    <x v="2"/>
    <x v="8"/>
  </r>
  <r>
    <s v="435-13-4908"/>
    <x v="0"/>
    <x v="0"/>
    <x v="0"/>
    <s v="Male"/>
    <x v="5"/>
    <n v="86.68"/>
    <n v="8"/>
    <n v="34.671999999999997"/>
    <n v="728.11199999999997"/>
    <s v="1/24/2019"/>
    <d v="1899-12-30T18:04:00"/>
    <s v="Credit card"/>
    <n v="693.44"/>
    <n v="4.7619047620000003"/>
    <n v="34.671999999999997"/>
    <n v="7.2"/>
    <d v="2019-01-24T00:00:00"/>
    <x v="0"/>
    <x v="3"/>
  </r>
  <r>
    <s v="857-67-9057"/>
    <x v="2"/>
    <x v="2"/>
    <x v="1"/>
    <s v="Male"/>
    <x v="1"/>
    <n v="22.95"/>
    <n v="10"/>
    <n v="11.475"/>
    <n v="240.97499999999999"/>
    <d v="2019-06-02T00:00:00"/>
    <d v="1899-12-30T19:20:00"/>
    <s v="Ewallet"/>
    <n v="229.5"/>
    <n v="4.7619047620000003"/>
    <n v="11.475"/>
    <n v="8.1999999999999993"/>
    <d v="2019-02-06T00:00:00"/>
    <x v="2"/>
    <x v="8"/>
  </r>
  <r>
    <s v="236-27-1144"/>
    <x v="1"/>
    <x v="1"/>
    <x v="1"/>
    <s v="Female"/>
    <x v="4"/>
    <n v="16.309999999999999"/>
    <n v="9"/>
    <n v="7.3395000000000001"/>
    <n v="154.12950000000001"/>
    <s v="3/26/2019"/>
    <d v="1899-12-30T10:31:00"/>
    <s v="Ewallet"/>
    <n v="146.79"/>
    <n v="4.7619047620000003"/>
    <n v="7.3395000000000001"/>
    <n v="8.4"/>
    <d v="2019-03-26T00:00:00"/>
    <x v="1"/>
    <x v="1"/>
  </r>
  <r>
    <s v="892-05-6689"/>
    <x v="0"/>
    <x v="0"/>
    <x v="1"/>
    <s v="Female"/>
    <x v="2"/>
    <n v="28.32"/>
    <n v="5"/>
    <n v="7.08"/>
    <n v="148.68"/>
    <d v="2019-11-03T00:00:00"/>
    <d v="1899-12-30T13:28:00"/>
    <s v="Ewallet"/>
    <n v="141.6"/>
    <n v="4.7619047620000003"/>
    <n v="7.08"/>
    <n v="6.2"/>
    <d v="2019-03-11T00:00:00"/>
    <x v="1"/>
    <x v="0"/>
  </r>
  <r>
    <s v="583-41-4548"/>
    <x v="1"/>
    <x v="1"/>
    <x v="1"/>
    <s v="Male"/>
    <x v="2"/>
    <n v="16.670000000000002"/>
    <n v="7"/>
    <n v="5.8345000000000002"/>
    <n v="122.5245"/>
    <d v="2019-07-02T00:00:00"/>
    <d v="1899-12-30T11:36:00"/>
    <s v="Ewallet"/>
    <n v="116.69"/>
    <n v="4.7619047620000003"/>
    <n v="5.8345000000000002"/>
    <n v="7.4"/>
    <d v="2019-02-07T00:00:00"/>
    <x v="2"/>
    <x v="5"/>
  </r>
  <r>
    <s v="339-12-4827"/>
    <x v="2"/>
    <x v="2"/>
    <x v="0"/>
    <s v="Female"/>
    <x v="5"/>
    <n v="73.959999999999994"/>
    <n v="1"/>
    <n v="3.698"/>
    <n v="77.658000000000001"/>
    <d v="2019-05-01T00:00:00"/>
    <d v="1899-12-30T11:32:00"/>
    <s v="Credit card"/>
    <n v="73.959999999999994"/>
    <n v="4.7619047620000003"/>
    <n v="3.698"/>
    <n v="5"/>
    <d v="2019-01-05T00:00:00"/>
    <x v="0"/>
    <x v="5"/>
  </r>
  <r>
    <s v="643-38-7867"/>
    <x v="0"/>
    <x v="0"/>
    <x v="1"/>
    <s v="Male"/>
    <x v="2"/>
    <n v="97.94"/>
    <n v="1"/>
    <n v="4.8970000000000002"/>
    <n v="102.837"/>
    <d v="2019-07-03T00:00:00"/>
    <d v="1899-12-30T11:44:00"/>
    <s v="Ewallet"/>
    <n v="97.94"/>
    <n v="4.7619047620000003"/>
    <n v="4.8970000000000002"/>
    <n v="6.9"/>
    <d v="2019-03-07T00:00:00"/>
    <x v="1"/>
    <x v="5"/>
  </r>
  <r>
    <s v="308-81-0538"/>
    <x v="0"/>
    <x v="0"/>
    <x v="1"/>
    <s v="Female"/>
    <x v="5"/>
    <n v="73.05"/>
    <n v="4"/>
    <n v="14.61"/>
    <n v="306.81"/>
    <s v="2/25/2019"/>
    <d v="1899-12-30T17:16:00"/>
    <s v="Credit card"/>
    <n v="292.2"/>
    <n v="4.7619047620000003"/>
    <n v="14.61"/>
    <n v="4.9000000000000004"/>
    <d v="2019-02-25T00:00:00"/>
    <x v="2"/>
    <x v="6"/>
  </r>
  <r>
    <s v="358-88-9262"/>
    <x v="1"/>
    <x v="1"/>
    <x v="0"/>
    <s v="Female"/>
    <x v="4"/>
    <n v="87.48"/>
    <n v="6"/>
    <n v="26.244"/>
    <n v="551.12400000000002"/>
    <d v="2019-01-02T00:00:00"/>
    <d v="1899-12-30T18:43:00"/>
    <s v="Ewallet"/>
    <n v="524.88"/>
    <n v="4.7619047620000003"/>
    <n v="26.244"/>
    <n v="5.0999999999999996"/>
    <d v="2019-02-01T00:00:00"/>
    <x v="2"/>
    <x v="3"/>
  </r>
  <r>
    <s v="460-35-4390"/>
    <x v="0"/>
    <x v="0"/>
    <x v="1"/>
    <s v="Male"/>
    <x v="2"/>
    <n v="30.68"/>
    <n v="3"/>
    <n v="4.6020000000000003"/>
    <n v="96.641999999999996"/>
    <s v="1/22/2019"/>
    <d v="1899-12-30T11:00:00"/>
    <s v="Ewallet"/>
    <n v="92.04"/>
    <n v="4.7619047620000003"/>
    <n v="4.6020000000000003"/>
    <n v="9.1"/>
    <d v="2019-01-22T00:00:00"/>
    <x v="0"/>
    <x v="5"/>
  </r>
  <r>
    <s v="343-87-0864"/>
    <x v="1"/>
    <x v="1"/>
    <x v="0"/>
    <s v="Male"/>
    <x v="0"/>
    <n v="75.88"/>
    <n v="1"/>
    <n v="3.794"/>
    <n v="79.674000000000007"/>
    <d v="2019-03-01T00:00:00"/>
    <d v="1899-12-30T10:30:00"/>
    <s v="Credit card"/>
    <n v="75.88"/>
    <n v="4.7619047620000003"/>
    <n v="3.794"/>
    <n v="7.1"/>
    <d v="2019-01-03T00:00:00"/>
    <x v="0"/>
    <x v="1"/>
  </r>
  <r>
    <s v="173-50-1108"/>
    <x v="2"/>
    <x v="2"/>
    <x v="0"/>
    <s v="Female"/>
    <x v="3"/>
    <n v="20.18"/>
    <n v="4"/>
    <n v="4.0359999999999996"/>
    <n v="84.756"/>
    <s v="2/13/2019"/>
    <d v="1899-12-30T12:14:00"/>
    <s v="Credit card"/>
    <n v="80.72"/>
    <n v="4.7619047620000003"/>
    <n v="4.0359999999999996"/>
    <n v="5"/>
    <d v="2019-02-13T00:00:00"/>
    <x v="2"/>
    <x v="10"/>
  </r>
  <r>
    <s v="243-47-2663"/>
    <x v="1"/>
    <x v="1"/>
    <x v="0"/>
    <s v="Male"/>
    <x v="1"/>
    <n v="18.77"/>
    <n v="6"/>
    <n v="5.6310000000000002"/>
    <n v="118.251"/>
    <s v="1/28/2019"/>
    <d v="1899-12-30T16:43:00"/>
    <s v="Credit card"/>
    <n v="112.62"/>
    <n v="4.7619047620000003"/>
    <n v="5.6310000000000002"/>
    <n v="5.5"/>
    <d v="2019-01-28T00:00:00"/>
    <x v="0"/>
    <x v="7"/>
  </r>
  <r>
    <s v="841-18-8232"/>
    <x v="2"/>
    <x v="2"/>
    <x v="1"/>
    <s v="Female"/>
    <x v="4"/>
    <n v="71.2"/>
    <n v="1"/>
    <n v="3.56"/>
    <n v="74.760000000000005"/>
    <d v="2019-05-01T00:00:00"/>
    <d v="1899-12-30T20:40:00"/>
    <s v="Credit card"/>
    <n v="71.2"/>
    <n v="4.7619047620000003"/>
    <n v="3.56"/>
    <n v="9.1999999999999993"/>
    <d v="2019-01-05T00:00:00"/>
    <x v="0"/>
    <x v="2"/>
  </r>
  <r>
    <s v="701-23-5550"/>
    <x v="2"/>
    <x v="2"/>
    <x v="0"/>
    <s v="Male"/>
    <x v="2"/>
    <n v="38.81"/>
    <n v="4"/>
    <n v="7.7619999999999996"/>
    <n v="163.00200000000001"/>
    <s v="3/19/2019"/>
    <d v="1899-12-30T13:40:00"/>
    <s v="Ewallet"/>
    <n v="155.24"/>
    <n v="4.7619047620000003"/>
    <n v="7.7619999999999996"/>
    <n v="4.9000000000000004"/>
    <d v="2019-03-19T00:00:00"/>
    <x v="1"/>
    <x v="0"/>
  </r>
  <r>
    <s v="647-50-1224"/>
    <x v="0"/>
    <x v="0"/>
    <x v="1"/>
    <s v="Female"/>
    <x v="5"/>
    <n v="29.42"/>
    <n v="10"/>
    <n v="14.71"/>
    <n v="308.91000000000003"/>
    <d v="2019-12-01T00:00:00"/>
    <d v="1899-12-30T16:23:00"/>
    <s v="Ewallet"/>
    <n v="294.2"/>
    <n v="4.7619047620000003"/>
    <n v="14.71"/>
    <n v="8.9"/>
    <d v="2019-01-12T00:00:00"/>
    <x v="0"/>
    <x v="7"/>
  </r>
  <r>
    <s v="541-48-8554"/>
    <x v="0"/>
    <x v="0"/>
    <x v="1"/>
    <s v="Male"/>
    <x v="3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n v="6"/>
    <d v="2019-01-07T00:00:00"/>
    <x v="0"/>
    <x v="10"/>
  </r>
  <r>
    <s v="539-21-7227"/>
    <x v="2"/>
    <x v="2"/>
    <x v="1"/>
    <s v="Female"/>
    <x v="3"/>
    <n v="51.54"/>
    <n v="5"/>
    <n v="12.885"/>
    <n v="270.58499999999998"/>
    <s v="1/26/2019"/>
    <d v="1899-12-30T17:45:00"/>
    <s v="Cash"/>
    <n v="257.7"/>
    <n v="4.7619047620000003"/>
    <n v="12.885"/>
    <n v="4.2"/>
    <d v="2019-01-26T00:00:00"/>
    <x v="0"/>
    <x v="6"/>
  </r>
  <r>
    <s v="213-32-1216"/>
    <x v="0"/>
    <x v="0"/>
    <x v="1"/>
    <s v="Female"/>
    <x v="1"/>
    <n v="66.06"/>
    <n v="6"/>
    <n v="19.818000000000001"/>
    <n v="416.178"/>
    <s v="1/23/2019"/>
    <d v="1899-12-30T10:28:00"/>
    <s v="Cash"/>
    <n v="396.36"/>
    <n v="4.7619047620000003"/>
    <n v="19.818000000000001"/>
    <n v="7.3"/>
    <d v="2019-01-23T00:00:00"/>
    <x v="0"/>
    <x v="1"/>
  </r>
  <r>
    <s v="747-58-7183"/>
    <x v="2"/>
    <x v="2"/>
    <x v="1"/>
    <s v="Male"/>
    <x v="5"/>
    <n v="57.27"/>
    <n v="3"/>
    <n v="8.5905000000000005"/>
    <n v="180.40049999999999"/>
    <d v="2019-09-02T00:00:00"/>
    <d v="1899-12-30T20:31:00"/>
    <s v="Ewallet"/>
    <n v="171.81"/>
    <n v="4.7619047620000003"/>
    <n v="8.5905000000000005"/>
    <n v="6.5"/>
    <d v="2019-02-09T00:00:00"/>
    <x v="2"/>
    <x v="2"/>
  </r>
  <r>
    <s v="582-52-8065"/>
    <x v="2"/>
    <x v="2"/>
    <x v="1"/>
    <s v="Female"/>
    <x v="5"/>
    <n v="54.31"/>
    <n v="9"/>
    <n v="24.439499999999999"/>
    <n v="513.22950000000003"/>
    <s v="2/22/2019"/>
    <d v="1899-12-30T10:49:00"/>
    <s v="Cash"/>
    <n v="488.79"/>
    <n v="4.7619047620000003"/>
    <n v="24.439499999999999"/>
    <n v="8.9"/>
    <d v="2019-02-22T00:00:00"/>
    <x v="2"/>
    <x v="1"/>
  </r>
  <r>
    <s v="210-57-1719"/>
    <x v="2"/>
    <x v="2"/>
    <x v="1"/>
    <s v="Female"/>
    <x v="0"/>
    <n v="58.24"/>
    <n v="9"/>
    <n v="26.207999999999998"/>
    <n v="550.36800000000005"/>
    <d v="2019-05-02T00:00:00"/>
    <d v="1899-12-30T12:34:00"/>
    <s v="Cash"/>
    <n v="524.16"/>
    <n v="4.7619047620000003"/>
    <n v="26.207999999999998"/>
    <n v="9.6999999999999993"/>
    <d v="2019-02-05T00:00:00"/>
    <x v="2"/>
    <x v="10"/>
  </r>
  <r>
    <s v="399-69-4630"/>
    <x v="1"/>
    <x v="1"/>
    <x v="1"/>
    <s v="Male"/>
    <x v="1"/>
    <n v="22.21"/>
    <n v="6"/>
    <n v="6.6630000000000003"/>
    <n v="139.923"/>
    <d v="2019-07-03T00:00:00"/>
    <d v="1899-12-30T10:23:00"/>
    <s v="Credit card"/>
    <n v="133.26"/>
    <n v="4.7619047620000003"/>
    <n v="6.6630000000000003"/>
    <n v="8.6"/>
    <d v="2019-03-07T00:00:00"/>
    <x v="1"/>
    <x v="1"/>
  </r>
  <r>
    <s v="134-75-2619"/>
    <x v="0"/>
    <x v="0"/>
    <x v="0"/>
    <s v="Male"/>
    <x v="1"/>
    <n v="19.32"/>
    <n v="7"/>
    <n v="6.7619999999999996"/>
    <n v="142.00200000000001"/>
    <s v="3/25/2019"/>
    <d v="1899-12-30T18:51:00"/>
    <s v="Cash"/>
    <n v="135.24"/>
    <n v="4.7619047620000003"/>
    <n v="6.7619999999999996"/>
    <n v="6.9"/>
    <d v="2019-03-25T00:00:00"/>
    <x v="1"/>
    <x v="3"/>
  </r>
  <r>
    <s v="356-44-8813"/>
    <x v="2"/>
    <x v="2"/>
    <x v="1"/>
    <s v="Male"/>
    <x v="2"/>
    <n v="37.479999999999997"/>
    <n v="3"/>
    <n v="5.6219999999999999"/>
    <n v="118.062"/>
    <s v="1/20/2019"/>
    <d v="1899-12-30T13:45:00"/>
    <s v="Credit card"/>
    <n v="112.44"/>
    <n v="4.7619047620000003"/>
    <n v="5.6219999999999999"/>
    <n v="7.7"/>
    <d v="2019-01-20T00:00:00"/>
    <x v="0"/>
    <x v="0"/>
  </r>
  <r>
    <s v="198-66-9832"/>
    <x v="2"/>
    <x v="2"/>
    <x v="0"/>
    <s v="Female"/>
    <x v="5"/>
    <n v="72.040000000000006"/>
    <n v="2"/>
    <n v="7.2039999999999997"/>
    <n v="151.28399999999999"/>
    <d v="2019-04-02T00:00:00"/>
    <d v="1899-12-30T19:38:00"/>
    <s v="Cash"/>
    <n v="144.08000000000001"/>
    <n v="4.7619047620000003"/>
    <n v="7.2039999999999997"/>
    <n v="9.5"/>
    <d v="2019-02-04T00:00:00"/>
    <x v="2"/>
    <x v="8"/>
  </r>
  <r>
    <s v="283-26-5248"/>
    <x v="1"/>
    <x v="1"/>
    <x v="0"/>
    <s v="Female"/>
    <x v="4"/>
    <n v="98.52"/>
    <n v="10"/>
    <n v="49.26"/>
    <n v="1034.46"/>
    <s v="1/30/2019"/>
    <d v="1899-12-30T20:23:00"/>
    <s v="Ewallet"/>
    <n v="985.2"/>
    <n v="4.7619047620000003"/>
    <n v="49.26"/>
    <n v="4.5"/>
    <d v="2019-01-30T00:00:00"/>
    <x v="0"/>
    <x v="2"/>
  </r>
  <r>
    <s v="712-39-0363"/>
    <x v="0"/>
    <x v="0"/>
    <x v="0"/>
    <s v="Male"/>
    <x v="4"/>
    <n v="41.66"/>
    <n v="6"/>
    <n v="12.497999999999999"/>
    <n v="262.45800000000003"/>
    <d v="2019-02-01T00:00:00"/>
    <d v="1899-12-30T15:24:00"/>
    <s v="Ewallet"/>
    <n v="249.96"/>
    <n v="4.7619047620000003"/>
    <n v="12.497999999999999"/>
    <n v="5.6"/>
    <d v="2019-01-02T00:00:00"/>
    <x v="0"/>
    <x v="9"/>
  </r>
  <r>
    <s v="218-59-9410"/>
    <x v="0"/>
    <x v="0"/>
    <x v="0"/>
    <s v="Female"/>
    <x v="2"/>
    <n v="72.42"/>
    <n v="3"/>
    <n v="10.863"/>
    <n v="228.12299999999999"/>
    <s v="3/29/2019"/>
    <d v="1899-12-30T16:54:00"/>
    <s v="Ewallet"/>
    <n v="217.26"/>
    <n v="4.7619047620000003"/>
    <n v="10.863"/>
    <n v="8.1999999999999993"/>
    <d v="2019-03-29T00:00:00"/>
    <x v="1"/>
    <x v="7"/>
  </r>
  <r>
    <s v="174-75-0888"/>
    <x v="2"/>
    <x v="2"/>
    <x v="1"/>
    <s v="Male"/>
    <x v="1"/>
    <n v="21.58"/>
    <n v="9"/>
    <n v="9.7110000000000003"/>
    <n v="203.93100000000001"/>
    <s v="3/14/2019"/>
    <d v="1899-12-30T12:32:00"/>
    <s v="Cash"/>
    <n v="194.22"/>
    <n v="4.7619047620000003"/>
    <n v="9.7110000000000003"/>
    <n v="7.3"/>
    <d v="2019-03-14T00:00:00"/>
    <x v="1"/>
    <x v="10"/>
  </r>
  <r>
    <s v="866-99-7614"/>
    <x v="1"/>
    <x v="1"/>
    <x v="1"/>
    <s v="Male"/>
    <x v="4"/>
    <n v="89.2"/>
    <n v="10"/>
    <n v="44.6"/>
    <n v="936.6"/>
    <d v="2019-11-02T00:00:00"/>
    <d v="1899-12-30T15:42:00"/>
    <s v="Credit card"/>
    <n v="892"/>
    <n v="4.7619047620000003"/>
    <n v="44.6"/>
    <n v="4.4000000000000004"/>
    <d v="2019-02-11T00:00:00"/>
    <x v="2"/>
    <x v="9"/>
  </r>
  <r>
    <s v="134-54-4720"/>
    <x v="2"/>
    <x v="2"/>
    <x v="1"/>
    <s v="Female"/>
    <x v="1"/>
    <n v="42.42"/>
    <n v="8"/>
    <n v="16.968"/>
    <n v="356.32799999999997"/>
    <s v="1/30/2019"/>
    <d v="1899-12-30T13:58:00"/>
    <s v="Ewallet"/>
    <n v="339.36"/>
    <n v="4.7619047620000003"/>
    <n v="16.968"/>
    <n v="5.7"/>
    <d v="2019-01-30T00:00:00"/>
    <x v="0"/>
    <x v="0"/>
  </r>
  <r>
    <s v="760-90-2357"/>
    <x v="0"/>
    <x v="0"/>
    <x v="0"/>
    <s v="Male"/>
    <x v="1"/>
    <n v="74.510000000000005"/>
    <n v="6"/>
    <n v="22.353000000000002"/>
    <n v="469.41300000000001"/>
    <s v="3/20/2019"/>
    <d v="1899-12-30T15:08:00"/>
    <s v="Ewallet"/>
    <n v="447.06"/>
    <n v="4.7619047620000003"/>
    <n v="22.353000000000002"/>
    <n v="5"/>
    <d v="2019-03-20T00:00:00"/>
    <x v="1"/>
    <x v="9"/>
  </r>
  <r>
    <s v="514-37-2845"/>
    <x v="2"/>
    <x v="2"/>
    <x v="1"/>
    <s v="Male"/>
    <x v="5"/>
    <n v="99.25"/>
    <n v="2"/>
    <n v="9.9250000000000007"/>
    <n v="208.42500000000001"/>
    <s v="3/20/2019"/>
    <d v="1899-12-30T13:02:00"/>
    <s v="Cash"/>
    <n v="198.5"/>
    <n v="4.7619047620000003"/>
    <n v="9.9250000000000007"/>
    <n v="9"/>
    <d v="2019-03-20T00:00:00"/>
    <x v="1"/>
    <x v="0"/>
  </r>
  <r>
    <s v="698-98-5964"/>
    <x v="0"/>
    <x v="0"/>
    <x v="1"/>
    <s v="Female"/>
    <x v="4"/>
    <n v="81.209999999999994"/>
    <n v="10"/>
    <n v="40.604999999999997"/>
    <n v="852.70500000000004"/>
    <s v="1/17/2019"/>
    <d v="1899-12-30T13:01:00"/>
    <s v="Credit card"/>
    <n v="812.1"/>
    <n v="4.7619047620000003"/>
    <n v="40.604999999999997"/>
    <n v="6.3"/>
    <d v="2019-01-17T00:00:00"/>
    <x v="0"/>
    <x v="0"/>
  </r>
  <r>
    <s v="718-57-9773"/>
    <x v="1"/>
    <x v="1"/>
    <x v="1"/>
    <s v="Female"/>
    <x v="3"/>
    <n v="49.33"/>
    <n v="10"/>
    <n v="24.664999999999999"/>
    <n v="517.96500000000003"/>
    <d v="2019-03-02T00:00:00"/>
    <d v="1899-12-30T16:40:00"/>
    <s v="Credit card"/>
    <n v="493.3"/>
    <n v="4.7619047620000003"/>
    <n v="24.664999999999999"/>
    <n v="9.4"/>
    <d v="2019-02-03T00:00:00"/>
    <x v="2"/>
    <x v="7"/>
  </r>
  <r>
    <s v="651-88-7328"/>
    <x v="0"/>
    <x v="0"/>
    <x v="1"/>
    <s v="Female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d v="2019-01-01T00:00:00"/>
    <x v="0"/>
    <x v="0"/>
  </r>
  <r>
    <s v="241-11-2261"/>
    <x v="2"/>
    <x v="2"/>
    <x v="1"/>
    <s v="Female"/>
    <x v="5"/>
    <n v="79.86"/>
    <n v="7"/>
    <n v="27.951000000000001"/>
    <n v="586.971"/>
    <d v="2019-10-01T00:00:00"/>
    <d v="1899-12-30T10:33:00"/>
    <s v="Credit card"/>
    <n v="559.02"/>
    <n v="4.7619047620000003"/>
    <n v="27.951000000000001"/>
    <n v="5.5"/>
    <d v="2019-01-10T00:00:00"/>
    <x v="0"/>
    <x v="1"/>
  </r>
  <r>
    <s v="408-26-9866"/>
    <x v="1"/>
    <x v="1"/>
    <x v="1"/>
    <s v="Female"/>
    <x v="3"/>
    <n v="73.98"/>
    <n v="7"/>
    <n v="25.893000000000001"/>
    <n v="543.75300000000004"/>
    <d v="2019-02-03T00:00:00"/>
    <d v="1899-12-30T16:42:00"/>
    <s v="Ewallet"/>
    <n v="517.86"/>
    <n v="4.7619047620000003"/>
    <n v="25.893000000000001"/>
    <n v="4.0999999999999996"/>
    <d v="2019-03-02T00:00:00"/>
    <x v="1"/>
    <x v="7"/>
  </r>
  <r>
    <s v="834-83-1826"/>
    <x v="2"/>
    <x v="2"/>
    <x v="0"/>
    <s v="Female"/>
    <x v="2"/>
    <n v="82.04"/>
    <n v="5"/>
    <n v="20.51"/>
    <n v="430.71"/>
    <s v="2/25/2019"/>
    <d v="1899-12-30T17:16:00"/>
    <s v="Credit card"/>
    <n v="410.2"/>
    <n v="4.7619047620000003"/>
    <n v="20.51"/>
    <n v="7.6"/>
    <d v="2019-02-25T00:00:00"/>
    <x v="2"/>
    <x v="6"/>
  </r>
  <r>
    <s v="343-61-3544"/>
    <x v="2"/>
    <x v="2"/>
    <x v="0"/>
    <s v="Male"/>
    <x v="3"/>
    <n v="26.67"/>
    <n v="10"/>
    <n v="13.335000000000001"/>
    <n v="280.03500000000003"/>
    <s v="1/29/2019"/>
    <d v="1899-12-30T11:48:00"/>
    <s v="Cash"/>
    <n v="266.7"/>
    <n v="4.7619047620000003"/>
    <n v="13.335000000000001"/>
    <n v="8.6"/>
    <d v="2019-01-29T00:00:00"/>
    <x v="0"/>
    <x v="5"/>
  </r>
  <r>
    <s v="239-48-4278"/>
    <x v="0"/>
    <x v="0"/>
    <x v="0"/>
    <s v="Male"/>
    <x v="4"/>
    <n v="10.130000000000001"/>
    <n v="7"/>
    <n v="3.5455000000000001"/>
    <n v="74.455500000000001"/>
    <d v="2019-10-03T00:00:00"/>
    <d v="1899-12-30T19:35:00"/>
    <s v="Ewallet"/>
    <n v="70.91"/>
    <n v="4.7619047620000003"/>
    <n v="3.5455000000000001"/>
    <n v="8.3000000000000007"/>
    <d v="2019-03-10T00:00:00"/>
    <x v="1"/>
    <x v="8"/>
  </r>
  <r>
    <s v="355-34-6244"/>
    <x v="2"/>
    <x v="2"/>
    <x v="1"/>
    <s v="Male"/>
    <x v="4"/>
    <n v="72.39"/>
    <n v="2"/>
    <n v="7.2389999999999999"/>
    <n v="152.01900000000001"/>
    <s v="1/13/2019"/>
    <d v="1899-12-30T19:55:00"/>
    <s v="Credit card"/>
    <n v="144.78"/>
    <n v="4.7619047620000003"/>
    <n v="7.2389999999999999"/>
    <n v="8.1"/>
    <d v="2019-01-13T00:00:00"/>
    <x v="0"/>
    <x v="8"/>
  </r>
  <r>
    <s v="550-84-8664"/>
    <x v="0"/>
    <x v="0"/>
    <x v="1"/>
    <s v="Male"/>
    <x v="3"/>
    <n v="85.91"/>
    <n v="5"/>
    <n v="21.477499999999999"/>
    <n v="451.02749999999997"/>
    <s v="3/22/2019"/>
    <d v="1899-12-30T14:33:00"/>
    <s v="Credit card"/>
    <n v="429.55"/>
    <n v="4.7619047620000003"/>
    <n v="21.477499999999999"/>
    <n v="8.6"/>
    <d v="2019-03-22T00:00:00"/>
    <x v="1"/>
    <x v="4"/>
  </r>
  <r>
    <s v="339-96-8318"/>
    <x v="2"/>
    <x v="2"/>
    <x v="0"/>
    <s v="Male"/>
    <x v="5"/>
    <n v="81.31"/>
    <n v="7"/>
    <n v="28.458500000000001"/>
    <n v="597.62850000000003"/>
    <d v="2019-01-03T00:00:00"/>
    <d v="1899-12-30T19:49:00"/>
    <s v="Ewallet"/>
    <n v="569.16999999999996"/>
    <n v="4.7619047620000003"/>
    <n v="28.458500000000001"/>
    <n v="6.3"/>
    <d v="2019-03-01T00:00:00"/>
    <x v="1"/>
    <x v="8"/>
  </r>
  <r>
    <s v="458-61-0011"/>
    <x v="2"/>
    <x v="2"/>
    <x v="1"/>
    <s v="Male"/>
    <x v="4"/>
    <n v="60.3"/>
    <n v="4"/>
    <n v="12.06"/>
    <n v="253.26"/>
    <s v="2/20/2019"/>
    <d v="1899-12-30T18:43:00"/>
    <s v="Cash"/>
    <n v="241.2"/>
    <n v="4.7619047620000003"/>
    <n v="12.06"/>
    <n v="5.8"/>
    <d v="2019-02-20T00:00:00"/>
    <x v="2"/>
    <x v="3"/>
  </r>
  <r>
    <s v="592-34-6155"/>
    <x v="1"/>
    <x v="1"/>
    <x v="1"/>
    <s v="Male"/>
    <x v="4"/>
    <n v="31.77"/>
    <n v="4"/>
    <n v="6.3540000000000001"/>
    <n v="133.434"/>
    <s v="1/14/2019"/>
    <d v="1899-12-30T14:43:00"/>
    <s v="Ewallet"/>
    <n v="127.08"/>
    <n v="4.7619047620000003"/>
    <n v="6.3540000000000001"/>
    <n v="6.2"/>
    <d v="2019-01-14T00:00:00"/>
    <x v="0"/>
    <x v="4"/>
  </r>
  <r>
    <s v="797-88-0493"/>
    <x v="0"/>
    <x v="0"/>
    <x v="1"/>
    <s v="Female"/>
    <x v="0"/>
    <n v="64.27"/>
    <n v="4"/>
    <n v="12.853999999999999"/>
    <n v="269.93400000000003"/>
    <s v="3/26/2019"/>
    <d v="1899-12-30T13:54:00"/>
    <s v="Cash"/>
    <n v="257.08"/>
    <n v="4.7619047620000003"/>
    <n v="12.853999999999999"/>
    <n v="7.7"/>
    <d v="2019-03-26T00:00:00"/>
    <x v="1"/>
    <x v="0"/>
  </r>
  <r>
    <s v="207-73-1363"/>
    <x v="2"/>
    <x v="2"/>
    <x v="1"/>
    <s v="Male"/>
    <x v="0"/>
    <n v="69.510000000000005"/>
    <n v="2"/>
    <n v="6.9509999999999996"/>
    <n v="145.971"/>
    <d v="2019-01-03T00:00:00"/>
    <d v="1899-12-30T12:15:00"/>
    <s v="Ewallet"/>
    <n v="139.02000000000001"/>
    <n v="4.7619047620000003"/>
    <n v="6.9509999999999996"/>
    <n v="8.1"/>
    <d v="2019-03-01T00:00:00"/>
    <x v="1"/>
    <x v="10"/>
  </r>
  <r>
    <s v="390-31-6381"/>
    <x v="1"/>
    <x v="1"/>
    <x v="1"/>
    <s v="Male"/>
    <x v="4"/>
    <n v="27.22"/>
    <n v="3"/>
    <n v="4.0830000000000002"/>
    <n v="85.742999999999995"/>
    <d v="2019-07-01T00:00:00"/>
    <d v="1899-12-30T12:37:00"/>
    <s v="Cash"/>
    <n v="81.66"/>
    <n v="4.7619047620000003"/>
    <n v="4.0830000000000002"/>
    <n v="7.3"/>
    <d v="2019-01-07T00:00:00"/>
    <x v="0"/>
    <x v="10"/>
  </r>
  <r>
    <s v="443-82-0585"/>
    <x v="0"/>
    <x v="0"/>
    <x v="0"/>
    <s v="Female"/>
    <x v="0"/>
    <n v="77.680000000000007"/>
    <n v="4"/>
    <n v="15.536"/>
    <n v="326.25599999999997"/>
    <d v="2019-01-02T00:00:00"/>
    <d v="1899-12-30T19:54:00"/>
    <s v="Cash"/>
    <n v="310.72000000000003"/>
    <n v="4.7619047620000003"/>
    <n v="15.536"/>
    <n v="8.4"/>
    <d v="2019-02-01T00:00:00"/>
    <x v="2"/>
    <x v="8"/>
  </r>
  <r>
    <s v="339-18-7061"/>
    <x v="1"/>
    <x v="1"/>
    <x v="0"/>
    <s v="Female"/>
    <x v="5"/>
    <n v="92.98"/>
    <n v="2"/>
    <n v="9.298"/>
    <n v="195.25800000000001"/>
    <s v="2/13/2019"/>
    <d v="1899-12-30T15:06:00"/>
    <s v="Credit card"/>
    <n v="185.96"/>
    <n v="4.7619047620000003"/>
    <n v="9.298"/>
    <n v="8"/>
    <d v="2019-02-13T00:00:00"/>
    <x v="2"/>
    <x v="9"/>
  </r>
  <r>
    <s v="359-90-3665"/>
    <x v="2"/>
    <x v="2"/>
    <x v="0"/>
    <s v="Female"/>
    <x v="5"/>
    <n v="18.079999999999998"/>
    <n v="4"/>
    <n v="3.6160000000000001"/>
    <n v="75.936000000000007"/>
    <s v="1/14/2019"/>
    <d v="1899-12-30T18:03:00"/>
    <s v="Credit card"/>
    <n v="72.319999999999993"/>
    <n v="4.7619047620000003"/>
    <n v="3.6160000000000001"/>
    <n v="9.5"/>
    <d v="2019-01-14T00:00:00"/>
    <x v="0"/>
    <x v="3"/>
  </r>
  <r>
    <s v="375-72-3056"/>
    <x v="2"/>
    <x v="2"/>
    <x v="1"/>
    <s v="Male"/>
    <x v="3"/>
    <n v="63.06"/>
    <n v="3"/>
    <n v="9.4589999999999996"/>
    <n v="198.63900000000001"/>
    <s v="1/19/2019"/>
    <d v="1899-12-30T15:58:00"/>
    <s v="Ewallet"/>
    <n v="189.18"/>
    <n v="4.7619047620000003"/>
    <n v="9.4589999999999996"/>
    <n v="7"/>
    <d v="2019-01-19T00:00:00"/>
    <x v="0"/>
    <x v="9"/>
  </r>
  <r>
    <s v="127-47-6963"/>
    <x v="0"/>
    <x v="0"/>
    <x v="1"/>
    <s v="Male"/>
    <x v="0"/>
    <n v="51.71"/>
    <n v="4"/>
    <n v="10.342000000000001"/>
    <n v="217.18199999999999"/>
    <d v="2019-09-03T00:00:00"/>
    <d v="1899-12-30T13:53:00"/>
    <s v="Credit card"/>
    <n v="206.84"/>
    <n v="4.7619047620000003"/>
    <n v="10.342000000000001"/>
    <n v="9.8000000000000007"/>
    <d v="2019-03-09T00:00:00"/>
    <x v="1"/>
    <x v="0"/>
  </r>
  <r>
    <s v="278-86-2735"/>
    <x v="0"/>
    <x v="0"/>
    <x v="1"/>
    <s v="Female"/>
    <x v="4"/>
    <n v="52.34"/>
    <n v="3"/>
    <n v="7.851"/>
    <n v="164.87100000000001"/>
    <s v="3/27/2019"/>
    <d v="1899-12-30T14:03:00"/>
    <s v="Cash"/>
    <n v="157.02000000000001"/>
    <n v="4.7619047620000003"/>
    <n v="7.851"/>
    <n v="9.1999999999999993"/>
    <d v="2019-03-27T00:00:00"/>
    <x v="1"/>
    <x v="4"/>
  </r>
  <r>
    <s v="695-28-6250"/>
    <x v="0"/>
    <x v="0"/>
    <x v="1"/>
    <s v="Female"/>
    <x v="3"/>
    <n v="43.06"/>
    <n v="5"/>
    <n v="10.765000000000001"/>
    <n v="226.065"/>
    <d v="2019-04-02T00:00:00"/>
    <d v="1899-12-30T16:38:00"/>
    <s v="Ewallet"/>
    <n v="215.3"/>
    <n v="4.7619047620000003"/>
    <n v="10.765000000000001"/>
    <n v="7.7"/>
    <d v="2019-02-04T00:00:00"/>
    <x v="2"/>
    <x v="7"/>
  </r>
  <r>
    <s v="379-17-6588"/>
    <x v="1"/>
    <x v="1"/>
    <x v="1"/>
    <s v="Male"/>
    <x v="5"/>
    <n v="59.61"/>
    <n v="10"/>
    <n v="29.805"/>
    <n v="625.90499999999997"/>
    <s v="3/14/2019"/>
    <d v="1899-12-30T11:07:00"/>
    <s v="Cash"/>
    <n v="596.1"/>
    <n v="4.7619047620000003"/>
    <n v="29.805"/>
    <n v="5.3"/>
    <d v="2019-03-14T00:00:00"/>
    <x v="1"/>
    <x v="5"/>
  </r>
  <r>
    <s v="227-50-3718"/>
    <x v="0"/>
    <x v="0"/>
    <x v="1"/>
    <s v="Male"/>
    <x v="0"/>
    <n v="14.62"/>
    <n v="5"/>
    <n v="3.6549999999999998"/>
    <n v="76.754999999999995"/>
    <d v="2019-04-03T00:00:00"/>
    <d v="1899-12-30T12:23:00"/>
    <s v="Cash"/>
    <n v="73.099999999999994"/>
    <n v="4.7619047620000003"/>
    <n v="3.6549999999999998"/>
    <n v="4.4000000000000004"/>
    <d v="2019-03-04T00:00:00"/>
    <x v="1"/>
    <x v="10"/>
  </r>
  <r>
    <s v="302-15-2162"/>
    <x v="1"/>
    <x v="1"/>
    <x v="0"/>
    <s v="Male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  <d v="2019-03-03T00:00:00"/>
    <x v="1"/>
    <x v="1"/>
  </r>
  <r>
    <s v="788-07-8452"/>
    <x v="1"/>
    <x v="1"/>
    <x v="0"/>
    <s v="Female"/>
    <x v="2"/>
    <n v="24.24"/>
    <n v="7"/>
    <n v="8.484"/>
    <n v="178.16399999999999"/>
    <s v="1/27/2019"/>
    <d v="1899-12-30T17:38:00"/>
    <s v="Ewallet"/>
    <n v="169.68"/>
    <n v="4.7619047620000003"/>
    <n v="8.484"/>
    <n v="9.4"/>
    <d v="2019-01-27T00:00:00"/>
    <x v="0"/>
    <x v="6"/>
  </r>
  <r>
    <s v="560-49-6611"/>
    <x v="0"/>
    <x v="0"/>
    <x v="0"/>
    <s v="Female"/>
    <x v="3"/>
    <n v="45.58"/>
    <n v="1"/>
    <n v="2.2789999999999999"/>
    <n v="47.859000000000002"/>
    <d v="2019-07-02T00:00:00"/>
    <d v="1899-12-30T14:13:00"/>
    <s v="Cash"/>
    <n v="45.58"/>
    <n v="4.7619047620000003"/>
    <n v="2.2789999999999999"/>
    <n v="9.8000000000000007"/>
    <d v="2019-02-07T00:00:00"/>
    <x v="2"/>
    <x v="4"/>
  </r>
  <r>
    <s v="880-35-0356"/>
    <x v="0"/>
    <x v="0"/>
    <x v="0"/>
    <s v="Female"/>
    <x v="3"/>
    <n v="75.2"/>
    <n v="3"/>
    <n v="11.28"/>
    <n v="236.88"/>
    <d v="2019-05-02T00:00:00"/>
    <d v="1899-12-30T11:51:00"/>
    <s v="Ewallet"/>
    <n v="225.6"/>
    <n v="4.7619047620000003"/>
    <n v="11.28"/>
    <n v="4.8"/>
    <d v="2019-02-05T00:00:00"/>
    <x v="2"/>
    <x v="5"/>
  </r>
  <r>
    <s v="585-11-6748"/>
    <x v="2"/>
    <x v="2"/>
    <x v="0"/>
    <s v="Male"/>
    <x v="3"/>
    <n v="96.8"/>
    <n v="3"/>
    <n v="14.52"/>
    <n v="304.92"/>
    <s v="3/15/2019"/>
    <d v="1899-12-30T13:05:00"/>
    <s v="Cash"/>
    <n v="290.39999999999998"/>
    <n v="4.7619047620000003"/>
    <n v="14.52"/>
    <n v="5.3"/>
    <d v="2019-03-15T00:00:00"/>
    <x v="1"/>
    <x v="0"/>
  </r>
  <r>
    <s v="470-31-3286"/>
    <x v="2"/>
    <x v="2"/>
    <x v="1"/>
    <s v="Male"/>
    <x v="0"/>
    <n v="14.82"/>
    <n v="3"/>
    <n v="2.2229999999999999"/>
    <n v="46.683"/>
    <d v="2019-01-03T00:00:00"/>
    <d v="1899-12-30T11:30:00"/>
    <s v="Credit card"/>
    <n v="44.46"/>
    <n v="4.7619047620000003"/>
    <n v="2.2229999999999999"/>
    <n v="8.6999999999999993"/>
    <d v="2019-03-01T00:00:00"/>
    <x v="1"/>
    <x v="5"/>
  </r>
  <r>
    <s v="152-68-2907"/>
    <x v="0"/>
    <x v="0"/>
    <x v="1"/>
    <s v="Male"/>
    <x v="4"/>
    <n v="52.2"/>
    <n v="3"/>
    <n v="7.83"/>
    <n v="164.43"/>
    <s v="2/15/2019"/>
    <d v="1899-12-30T13:30:00"/>
    <s v="Credit card"/>
    <n v="156.6"/>
    <n v="4.7619047620000003"/>
    <n v="7.83"/>
    <n v="9.5"/>
    <d v="2019-02-15T00:00:00"/>
    <x v="2"/>
    <x v="0"/>
  </r>
  <r>
    <s v="123-35-4896"/>
    <x v="1"/>
    <x v="1"/>
    <x v="1"/>
    <s v="Female"/>
    <x v="3"/>
    <n v="46.66"/>
    <n v="9"/>
    <n v="20.997"/>
    <n v="440.93700000000001"/>
    <s v="2/17/2019"/>
    <d v="1899-12-30T19:11:00"/>
    <s v="Ewallet"/>
    <n v="419.94"/>
    <n v="4.7619047620000003"/>
    <n v="20.997"/>
    <n v="5.3"/>
    <d v="2019-02-17T00:00:00"/>
    <x v="2"/>
    <x v="8"/>
  </r>
  <r>
    <s v="258-69-7810"/>
    <x v="1"/>
    <x v="1"/>
    <x v="1"/>
    <s v="Female"/>
    <x v="5"/>
    <n v="36.85"/>
    <n v="5"/>
    <n v="9.2125000000000004"/>
    <n v="193.46250000000001"/>
    <s v="1/26/2019"/>
    <d v="1899-12-30T18:53:00"/>
    <s v="Cash"/>
    <n v="184.25"/>
    <n v="4.7619047620000003"/>
    <n v="9.2125000000000004"/>
    <n v="9.1999999999999993"/>
    <d v="2019-01-26T00:00:00"/>
    <x v="0"/>
    <x v="3"/>
  </r>
  <r>
    <s v="334-64-2006"/>
    <x v="0"/>
    <x v="0"/>
    <x v="0"/>
    <s v="Female"/>
    <x v="2"/>
    <n v="70.319999999999993"/>
    <n v="2"/>
    <n v="7.032"/>
    <n v="147.672"/>
    <s v="3/24/2019"/>
    <d v="1899-12-30T14:22:00"/>
    <s v="Ewallet"/>
    <n v="140.63999999999999"/>
    <n v="4.7619047620000003"/>
    <n v="7.032"/>
    <n v="9.6"/>
    <d v="2019-03-24T00:00:00"/>
    <x v="1"/>
    <x v="4"/>
  </r>
  <r>
    <s v="219-61-4139"/>
    <x v="1"/>
    <x v="1"/>
    <x v="1"/>
    <s v="Male"/>
    <x v="1"/>
    <n v="83.08"/>
    <n v="1"/>
    <n v="4.1539999999999999"/>
    <n v="87.233999999999995"/>
    <s v="1/23/2019"/>
    <d v="1899-12-30T17:16:00"/>
    <s v="Ewallet"/>
    <n v="83.08"/>
    <n v="4.7619047620000003"/>
    <n v="4.1539999999999999"/>
    <n v="6.4"/>
    <d v="2019-01-23T00:00:00"/>
    <x v="0"/>
    <x v="6"/>
  </r>
  <r>
    <s v="881-41-7302"/>
    <x v="1"/>
    <x v="1"/>
    <x v="1"/>
    <s v="Female"/>
    <x v="5"/>
    <n v="64.989999999999995"/>
    <n v="1"/>
    <n v="3.2494999999999998"/>
    <n v="68.239500000000007"/>
    <s v="1/26/2019"/>
    <d v="1899-12-30T10:06:00"/>
    <s v="Credit card"/>
    <n v="64.989999999999995"/>
    <n v="4.7619047620000003"/>
    <n v="3.2494999999999998"/>
    <n v="4.5"/>
    <d v="2019-01-26T00:00:00"/>
    <x v="0"/>
    <x v="1"/>
  </r>
  <r>
    <s v="373-09-4567"/>
    <x v="1"/>
    <x v="1"/>
    <x v="1"/>
    <s v="Male"/>
    <x v="4"/>
    <n v="77.56"/>
    <n v="10"/>
    <n v="38.78"/>
    <n v="814.38"/>
    <s v="3/14/2019"/>
    <d v="1899-12-30T20:35:00"/>
    <s v="Ewallet"/>
    <n v="775.6"/>
    <n v="4.7619047620000003"/>
    <n v="38.78"/>
    <n v="6.9"/>
    <d v="2019-03-14T00:00:00"/>
    <x v="1"/>
    <x v="2"/>
  </r>
  <r>
    <s v="642-30-6693"/>
    <x v="2"/>
    <x v="2"/>
    <x v="1"/>
    <s v="Female"/>
    <x v="3"/>
    <n v="54.51"/>
    <n v="6"/>
    <n v="16.353000000000002"/>
    <n v="343.41300000000001"/>
    <s v="3/17/2019"/>
    <d v="1899-12-30T13:54:00"/>
    <s v="Ewallet"/>
    <n v="327.06"/>
    <n v="4.7619047620000003"/>
    <n v="16.353000000000002"/>
    <n v="7.8"/>
    <d v="2019-03-17T00:00:00"/>
    <x v="1"/>
    <x v="0"/>
  </r>
  <r>
    <s v="484-22-8230"/>
    <x v="1"/>
    <x v="1"/>
    <x v="0"/>
    <s v="Female"/>
    <x v="5"/>
    <n v="51.89"/>
    <n v="7"/>
    <n v="18.1615"/>
    <n v="381.39150000000001"/>
    <d v="2019-08-01T00:00:00"/>
    <d v="1899-12-30T20:08:00"/>
    <s v="Cash"/>
    <n v="363.23"/>
    <n v="4.7619047620000003"/>
    <n v="18.1615"/>
    <n v="4.5"/>
    <d v="2019-01-08T00:00:00"/>
    <x v="0"/>
    <x v="2"/>
  </r>
  <r>
    <s v="830-58-2383"/>
    <x v="2"/>
    <x v="2"/>
    <x v="1"/>
    <s v="Male"/>
    <x v="2"/>
    <n v="31.75"/>
    <n v="4"/>
    <n v="6.35"/>
    <n v="133.35"/>
    <d v="2019-08-02T00:00:00"/>
    <d v="1899-12-30T15:26:00"/>
    <s v="Cash"/>
    <n v="127"/>
    <n v="4.7619047620000003"/>
    <n v="6.35"/>
    <n v="8.6"/>
    <d v="2019-02-08T00:00:00"/>
    <x v="2"/>
    <x v="9"/>
  </r>
  <r>
    <s v="559-98-9873"/>
    <x v="0"/>
    <x v="0"/>
    <x v="0"/>
    <s v="Female"/>
    <x v="5"/>
    <n v="53.65"/>
    <n v="7"/>
    <n v="18.7775"/>
    <n v="394.32749999999999"/>
    <d v="2019-10-02T00:00:00"/>
    <d v="1899-12-30T12:56:00"/>
    <s v="Ewallet"/>
    <n v="375.55"/>
    <n v="4.7619047620000003"/>
    <n v="18.7775"/>
    <n v="5.2"/>
    <d v="2019-02-10T00:00:00"/>
    <x v="2"/>
    <x v="10"/>
  </r>
  <r>
    <s v="544-32-5024"/>
    <x v="1"/>
    <x v="1"/>
    <x v="0"/>
    <s v="Female"/>
    <x v="4"/>
    <n v="49.79"/>
    <n v="4"/>
    <n v="9.9580000000000002"/>
    <n v="209.11799999999999"/>
    <s v="3/28/2019"/>
    <d v="1899-12-30T19:16:00"/>
    <s v="Credit card"/>
    <n v="199.16"/>
    <n v="4.7619047620000003"/>
    <n v="9.9580000000000002"/>
    <n v="6.4"/>
    <d v="2019-03-28T00:00:00"/>
    <x v="1"/>
    <x v="8"/>
  </r>
  <r>
    <s v="318-12-0304"/>
    <x v="0"/>
    <x v="0"/>
    <x v="1"/>
    <s v="Male"/>
    <x v="5"/>
    <n v="30.61"/>
    <n v="1"/>
    <n v="1.5305"/>
    <n v="32.140500000000003"/>
    <s v="1/23/2019"/>
    <d v="1899-12-30T12:20:00"/>
    <s v="Ewallet"/>
    <n v="30.61"/>
    <n v="4.7619047620000003"/>
    <n v="1.5305"/>
    <n v="5.2"/>
    <d v="2019-01-23T00:00:00"/>
    <x v="0"/>
    <x v="10"/>
  </r>
  <r>
    <s v="349-97-8902"/>
    <x v="2"/>
    <x v="2"/>
    <x v="0"/>
    <s v="Male"/>
    <x v="4"/>
    <n v="57.89"/>
    <n v="2"/>
    <n v="5.7889999999999997"/>
    <n v="121.569"/>
    <s v="1/17/2019"/>
    <d v="1899-12-30T10:37:00"/>
    <s v="Ewallet"/>
    <n v="115.78"/>
    <n v="4.7619047620000003"/>
    <n v="5.7889999999999997"/>
    <n v="8.9"/>
    <d v="2019-01-17T00:00:00"/>
    <x v="0"/>
    <x v="1"/>
  </r>
  <r>
    <s v="421-95-9805"/>
    <x v="0"/>
    <x v="0"/>
    <x v="1"/>
    <s v="Female"/>
    <x v="1"/>
    <n v="28.96"/>
    <n v="1"/>
    <n v="1.448"/>
    <n v="30.408000000000001"/>
    <d v="2019-07-02T00:00:00"/>
    <d v="1899-12-30T10:18:00"/>
    <s v="Credit card"/>
    <n v="28.96"/>
    <n v="4.7619047620000003"/>
    <n v="1.448"/>
    <n v="6.2"/>
    <d v="2019-02-07T00:00:00"/>
    <x v="2"/>
    <x v="1"/>
  </r>
  <r>
    <s v="277-35-5865"/>
    <x v="1"/>
    <x v="1"/>
    <x v="0"/>
    <s v="Female"/>
    <x v="4"/>
    <n v="98.97"/>
    <n v="9"/>
    <n v="44.536499999999997"/>
    <n v="935.26649999999995"/>
    <d v="2019-09-03T00:00:00"/>
    <d v="1899-12-30T11:23:00"/>
    <s v="Cash"/>
    <n v="890.73"/>
    <n v="4.7619047620000003"/>
    <n v="44.536499999999997"/>
    <n v="6.7"/>
    <d v="2019-03-09T00:00:00"/>
    <x v="1"/>
    <x v="5"/>
  </r>
  <r>
    <s v="789-23-8625"/>
    <x v="2"/>
    <x v="2"/>
    <x v="0"/>
    <s v="Male"/>
    <x v="5"/>
    <n v="93.22"/>
    <n v="3"/>
    <n v="13.983000000000001"/>
    <n v="293.64299999999997"/>
    <s v="1/24/2019"/>
    <d v="1899-12-30T11:45:00"/>
    <s v="Cash"/>
    <n v="279.66000000000003"/>
    <n v="4.7619047620000003"/>
    <n v="13.983000000000001"/>
    <n v="7.2"/>
    <d v="2019-01-24T00:00:00"/>
    <x v="0"/>
    <x v="5"/>
  </r>
  <r>
    <s v="284-54-4231"/>
    <x v="1"/>
    <x v="1"/>
    <x v="0"/>
    <s v="Male"/>
    <x v="3"/>
    <n v="80.930000000000007"/>
    <n v="1"/>
    <n v="4.0465"/>
    <n v="84.976500000000001"/>
    <s v="1/19/2019"/>
    <d v="1899-12-30T16:08:00"/>
    <s v="Credit card"/>
    <n v="80.930000000000007"/>
    <n v="4.7619047620000003"/>
    <n v="4.0465"/>
    <n v="9"/>
    <d v="2019-01-19T00:00:00"/>
    <x v="0"/>
    <x v="7"/>
  </r>
  <r>
    <s v="443-59-0061"/>
    <x v="0"/>
    <x v="0"/>
    <x v="0"/>
    <s v="Male"/>
    <x v="4"/>
    <n v="67.45"/>
    <n v="10"/>
    <n v="33.725000000000001"/>
    <n v="708.22500000000002"/>
    <d v="2019-03-02T00:00:00"/>
    <d v="1899-12-30T11:25:00"/>
    <s v="Ewallet"/>
    <n v="674.5"/>
    <n v="4.7619047620000003"/>
    <n v="33.725000000000001"/>
    <n v="4.2"/>
    <d v="2019-02-03T00:00:00"/>
    <x v="2"/>
    <x v="5"/>
  </r>
  <r>
    <s v="509-29-3912"/>
    <x v="0"/>
    <x v="0"/>
    <x v="0"/>
    <s v="Female"/>
    <x v="3"/>
    <n v="38.72"/>
    <n v="9"/>
    <n v="17.423999999999999"/>
    <n v="365.904"/>
    <s v="3/20/2019"/>
    <d v="1899-12-30T12:24:00"/>
    <s v="Ewallet"/>
    <n v="348.48"/>
    <n v="4.7619047620000003"/>
    <n v="17.423999999999999"/>
    <n v="4.2"/>
    <d v="2019-03-20T00:00:00"/>
    <x v="1"/>
    <x v="10"/>
  </r>
  <r>
    <s v="327-40-9673"/>
    <x v="2"/>
    <x v="2"/>
    <x v="0"/>
    <s v="Male"/>
    <x v="3"/>
    <n v="72.599999999999994"/>
    <n v="6"/>
    <n v="21.78"/>
    <n v="457.38"/>
    <s v="1/13/2019"/>
    <d v="1899-12-30T19:51:00"/>
    <s v="Cash"/>
    <n v="435.6"/>
    <n v="4.7619047620000003"/>
    <n v="21.78"/>
    <n v="6.9"/>
    <d v="2019-01-13T00:00:00"/>
    <x v="0"/>
    <x v="8"/>
  </r>
  <r>
    <s v="840-19-2096"/>
    <x v="1"/>
    <x v="1"/>
    <x v="0"/>
    <s v="Male"/>
    <x v="1"/>
    <n v="87.91"/>
    <n v="5"/>
    <n v="21.977499999999999"/>
    <n v="461.52749999999997"/>
    <s v="3/14/2019"/>
    <d v="1899-12-30T18:10:00"/>
    <s v="Ewallet"/>
    <n v="439.55"/>
    <n v="4.7619047620000003"/>
    <n v="21.977499999999999"/>
    <n v="4.4000000000000004"/>
    <d v="2019-03-14T00:00:00"/>
    <x v="1"/>
    <x v="3"/>
  </r>
  <r>
    <s v="828-46-6863"/>
    <x v="0"/>
    <x v="0"/>
    <x v="0"/>
    <s v="Male"/>
    <x v="4"/>
    <n v="98.53"/>
    <n v="6"/>
    <n v="29.559000000000001"/>
    <n v="620.73900000000003"/>
    <s v="1/23/2019"/>
    <d v="1899-12-30T11:22:00"/>
    <s v="Credit card"/>
    <n v="591.17999999999995"/>
    <n v="4.7619047620000003"/>
    <n v="29.559000000000001"/>
    <n v="4"/>
    <d v="2019-01-23T00:00:00"/>
    <x v="0"/>
    <x v="5"/>
  </r>
  <r>
    <s v="641-96-3695"/>
    <x v="1"/>
    <x v="1"/>
    <x v="0"/>
    <s v="Female"/>
    <x v="5"/>
    <n v="43.46"/>
    <n v="6"/>
    <n v="13.038"/>
    <n v="273.798"/>
    <d v="2019-07-02T00:00:00"/>
    <d v="1899-12-30T17:55:00"/>
    <s v="Ewallet"/>
    <n v="260.76"/>
    <n v="4.7619047620000003"/>
    <n v="13.038"/>
    <n v="8.5"/>
    <d v="2019-02-07T00:00:00"/>
    <x v="2"/>
    <x v="6"/>
  </r>
  <r>
    <s v="420-97-3340"/>
    <x v="0"/>
    <x v="0"/>
    <x v="1"/>
    <s v="Female"/>
    <x v="4"/>
    <n v="71.680000000000007"/>
    <n v="3"/>
    <n v="10.752000000000001"/>
    <n v="225.792"/>
    <s v="3/28/2019"/>
    <d v="1899-12-30T15:30:00"/>
    <s v="Credit card"/>
    <n v="215.04"/>
    <n v="4.7619047620000003"/>
    <n v="10.752000000000001"/>
    <n v="9.1999999999999993"/>
    <d v="2019-03-28T00:00:00"/>
    <x v="1"/>
    <x v="9"/>
  </r>
  <r>
    <s v="436-54-4512"/>
    <x v="0"/>
    <x v="0"/>
    <x v="0"/>
    <s v="Female"/>
    <x v="4"/>
    <n v="91.61"/>
    <n v="1"/>
    <n v="4.5804999999999998"/>
    <n v="96.1905"/>
    <s v="3/20/2019"/>
    <d v="1899-12-30T19:44:00"/>
    <s v="Cash"/>
    <n v="91.61"/>
    <n v="4.7619047620000003"/>
    <n v="4.5804999999999998"/>
    <n v="9.8000000000000007"/>
    <d v="2019-03-20T00:00:00"/>
    <x v="1"/>
    <x v="8"/>
  </r>
  <r>
    <s v="670-79-6321"/>
    <x v="2"/>
    <x v="2"/>
    <x v="0"/>
    <s v="Female"/>
    <x v="2"/>
    <n v="94.59"/>
    <n v="7"/>
    <n v="33.106499999999997"/>
    <n v="695.23649999999998"/>
    <s v="1/17/2019"/>
    <d v="1899-12-30T15:27:00"/>
    <s v="Credit card"/>
    <n v="662.13"/>
    <n v="4.7619047620000003"/>
    <n v="33.106499999999997"/>
    <n v="4.9000000000000004"/>
    <d v="2019-01-17T00:00:00"/>
    <x v="0"/>
    <x v="9"/>
  </r>
  <r>
    <s v="852-62-7105"/>
    <x v="2"/>
    <x v="2"/>
    <x v="1"/>
    <s v="Female"/>
    <x v="5"/>
    <n v="83.25"/>
    <n v="10"/>
    <n v="41.625"/>
    <n v="874.125"/>
    <d v="2019-12-01T00:00:00"/>
    <d v="1899-12-30T11:25:00"/>
    <s v="Credit card"/>
    <n v="832.5"/>
    <n v="4.7619047620000003"/>
    <n v="41.625"/>
    <n v="4.4000000000000004"/>
    <d v="2019-01-12T00:00:00"/>
    <x v="0"/>
    <x v="5"/>
  </r>
  <r>
    <s v="598-06-7312"/>
    <x v="2"/>
    <x v="2"/>
    <x v="0"/>
    <s v="Male"/>
    <x v="5"/>
    <n v="91.35"/>
    <n v="1"/>
    <n v="4.5674999999999999"/>
    <n v="95.917500000000004"/>
    <s v="2/16/2019"/>
    <d v="1899-12-30T15:42:00"/>
    <s v="Cash"/>
    <n v="91.35"/>
    <n v="4.7619047620000003"/>
    <n v="4.5674999999999999"/>
    <n v="6.8"/>
    <d v="2019-02-16T00:00:00"/>
    <x v="2"/>
    <x v="9"/>
  </r>
  <r>
    <s v="135-13-8269"/>
    <x v="2"/>
    <x v="2"/>
    <x v="0"/>
    <s v="Female"/>
    <x v="4"/>
    <n v="78.88"/>
    <n v="2"/>
    <n v="7.8879999999999999"/>
    <n v="165.648"/>
    <s v="1/26/2019"/>
    <d v="1899-12-30T16:04:00"/>
    <s v="Cash"/>
    <n v="157.76"/>
    <n v="4.7619047620000003"/>
    <n v="7.8879999999999999"/>
    <n v="9.1"/>
    <d v="2019-01-26T00:00:00"/>
    <x v="0"/>
    <x v="7"/>
  </r>
  <r>
    <s v="816-57-2053"/>
    <x v="0"/>
    <x v="0"/>
    <x v="1"/>
    <s v="Male"/>
    <x v="3"/>
    <n v="60.87"/>
    <n v="2"/>
    <n v="6.0869999999999997"/>
    <n v="127.827"/>
    <d v="2019-09-03T00:00:00"/>
    <d v="1899-12-30T12:37:00"/>
    <s v="Ewallet"/>
    <n v="121.74"/>
    <n v="4.7619047620000003"/>
    <n v="6.0869999999999997"/>
    <n v="8.6999999999999993"/>
    <d v="2019-03-09T00:00:00"/>
    <x v="1"/>
    <x v="10"/>
  </r>
  <r>
    <s v="628-90-8624"/>
    <x v="2"/>
    <x v="2"/>
    <x v="0"/>
    <s v="Male"/>
    <x v="0"/>
    <n v="82.58"/>
    <n v="10"/>
    <n v="41.29"/>
    <n v="867.09"/>
    <s v="3/14/2019"/>
    <d v="1899-12-30T14:41:00"/>
    <s v="Cash"/>
    <n v="825.8"/>
    <n v="4.7619047620000003"/>
    <n v="41.29"/>
    <n v="5"/>
    <d v="2019-03-14T00:00:00"/>
    <x v="1"/>
    <x v="4"/>
  </r>
  <r>
    <s v="856-66-2701"/>
    <x v="0"/>
    <x v="0"/>
    <x v="0"/>
    <s v="Male"/>
    <x v="2"/>
    <n v="53.3"/>
    <n v="3"/>
    <n v="7.9950000000000001"/>
    <n v="167.89500000000001"/>
    <s v="1/25/2019"/>
    <d v="1899-12-30T14:19:00"/>
    <s v="Ewallet"/>
    <n v="159.9"/>
    <n v="4.7619047620000003"/>
    <n v="7.9950000000000001"/>
    <n v="7.5"/>
    <d v="2019-01-25T00:00:00"/>
    <x v="0"/>
    <x v="4"/>
  </r>
  <r>
    <s v="308-39-1707"/>
    <x v="0"/>
    <x v="0"/>
    <x v="1"/>
    <s v="Female"/>
    <x v="5"/>
    <n v="12.09"/>
    <n v="1"/>
    <n v="0.60450000000000004"/>
    <n v="12.6945"/>
    <s v="1/26/2019"/>
    <d v="1899-12-30T18:19:00"/>
    <s v="Credit card"/>
    <n v="12.09"/>
    <n v="4.7619047620000003"/>
    <n v="0.60450000000000004"/>
    <n v="8.1999999999999993"/>
    <d v="2019-01-26T00:00:00"/>
    <x v="0"/>
    <x v="3"/>
  </r>
  <r>
    <s v="149-61-1929"/>
    <x v="0"/>
    <x v="0"/>
    <x v="1"/>
    <s v="Male"/>
    <x v="3"/>
    <n v="64.19"/>
    <n v="10"/>
    <n v="32.094999999999999"/>
    <n v="673.995"/>
    <s v="1/19/2019"/>
    <d v="1899-12-30T14:08:00"/>
    <s v="Credit card"/>
    <n v="641.9"/>
    <n v="4.7619047620000003"/>
    <n v="32.094999999999999"/>
    <n v="6.7"/>
    <d v="2019-01-19T00:00:00"/>
    <x v="0"/>
    <x v="4"/>
  </r>
  <r>
    <s v="655-07-2265"/>
    <x v="0"/>
    <x v="0"/>
    <x v="1"/>
    <s v="Male"/>
    <x v="1"/>
    <n v="78.31"/>
    <n v="3"/>
    <n v="11.746499999999999"/>
    <n v="246.6765"/>
    <d v="2019-05-03T00:00:00"/>
    <d v="1899-12-30T16:38:00"/>
    <s v="Ewallet"/>
    <n v="234.93"/>
    <n v="4.7619047620000003"/>
    <n v="11.746499999999999"/>
    <n v="5.4"/>
    <d v="2019-03-05T00:00:00"/>
    <x v="1"/>
    <x v="7"/>
  </r>
  <r>
    <s v="589-02-8023"/>
    <x v="0"/>
    <x v="0"/>
    <x v="0"/>
    <s v="Male"/>
    <x v="4"/>
    <n v="83.77"/>
    <n v="2"/>
    <n v="8.3770000000000007"/>
    <n v="175.917"/>
    <s v="1/15/2019"/>
    <d v="1899-12-30T10:54:00"/>
    <s v="Credit card"/>
    <n v="167.54"/>
    <n v="4.7619047620000003"/>
    <n v="8.3770000000000007"/>
    <n v="7"/>
    <d v="2019-01-15T00:00:00"/>
    <x v="0"/>
    <x v="1"/>
  </r>
  <r>
    <s v="420-04-7590"/>
    <x v="2"/>
    <x v="2"/>
    <x v="1"/>
    <s v="Male"/>
    <x v="2"/>
    <n v="99.7"/>
    <n v="3"/>
    <n v="14.955"/>
    <n v="314.05500000000001"/>
    <s v="3/18/2019"/>
    <d v="1899-12-30T11:29:00"/>
    <s v="Ewallet"/>
    <n v="299.10000000000002"/>
    <n v="4.7619047620000003"/>
    <n v="14.955"/>
    <n v="4.7"/>
    <d v="2019-03-18T00:00:00"/>
    <x v="1"/>
    <x v="5"/>
  </r>
  <r>
    <s v="182-88-2763"/>
    <x v="2"/>
    <x v="2"/>
    <x v="0"/>
    <s v="Male"/>
    <x v="4"/>
    <n v="79.91"/>
    <n v="3"/>
    <n v="11.986499999999999"/>
    <n v="251.7165"/>
    <s v="3/20/2019"/>
    <d v="1899-12-30T19:28:00"/>
    <s v="Credit card"/>
    <n v="239.73"/>
    <n v="4.7619047620000003"/>
    <n v="11.986499999999999"/>
    <n v="5"/>
    <d v="2019-03-20T00:00:00"/>
    <x v="1"/>
    <x v="8"/>
  </r>
  <r>
    <s v="188-55-0967"/>
    <x v="2"/>
    <x v="2"/>
    <x v="0"/>
    <s v="Male"/>
    <x v="0"/>
    <n v="66.47"/>
    <n v="10"/>
    <n v="33.234999999999999"/>
    <n v="697.93499999999995"/>
    <s v="1/15/2019"/>
    <d v="1899-12-30T15:01:00"/>
    <s v="Credit card"/>
    <n v="664.7"/>
    <n v="4.7619047620000003"/>
    <n v="33.234999999999999"/>
    <n v="5"/>
    <d v="2019-01-15T00:00:00"/>
    <x v="0"/>
    <x v="9"/>
  </r>
  <r>
    <s v="610-46-4100"/>
    <x v="0"/>
    <x v="0"/>
    <x v="1"/>
    <s v="Male"/>
    <x v="0"/>
    <n v="28.95"/>
    <n v="7"/>
    <n v="10.1325"/>
    <n v="212.7825"/>
    <d v="2019-03-03T00:00:00"/>
    <d v="1899-12-30T20:31:00"/>
    <s v="Credit card"/>
    <n v="202.65"/>
    <n v="4.7619047620000003"/>
    <n v="10.1325"/>
    <n v="6"/>
    <d v="2019-03-03T00:00:00"/>
    <x v="1"/>
    <x v="2"/>
  </r>
  <r>
    <s v="318-81-2368"/>
    <x v="1"/>
    <x v="1"/>
    <x v="1"/>
    <s v="Female"/>
    <x v="1"/>
    <n v="46.2"/>
    <n v="1"/>
    <n v="2.31"/>
    <n v="48.51"/>
    <s v="3/19/2019"/>
    <d v="1899-12-30T12:16:00"/>
    <s v="Cash"/>
    <n v="46.2"/>
    <n v="4.7619047620000003"/>
    <n v="2.31"/>
    <n v="6.3"/>
    <d v="2019-03-19T00:00:00"/>
    <x v="1"/>
    <x v="10"/>
  </r>
  <r>
    <s v="364-33-8584"/>
    <x v="2"/>
    <x v="2"/>
    <x v="0"/>
    <s v="Female"/>
    <x v="4"/>
    <n v="17.63"/>
    <n v="5"/>
    <n v="4.4074999999999998"/>
    <n v="92.557500000000005"/>
    <d v="2019-08-03T00:00:00"/>
    <d v="1899-12-30T15:27:00"/>
    <s v="Cash"/>
    <n v="88.15"/>
    <n v="4.7619047620000003"/>
    <n v="4.4074999999999998"/>
    <n v="8.5"/>
    <d v="2019-03-08T00:00:00"/>
    <x v="1"/>
    <x v="9"/>
  </r>
  <r>
    <s v="665-63-9737"/>
    <x v="2"/>
    <x v="2"/>
    <x v="1"/>
    <s v="Male"/>
    <x v="5"/>
    <n v="52.42"/>
    <n v="3"/>
    <n v="7.8630000000000004"/>
    <n v="165.12299999999999"/>
    <s v="2/27/2019"/>
    <d v="1899-12-30T17:36:00"/>
    <s v="Ewallet"/>
    <n v="157.26"/>
    <n v="4.7619047620000003"/>
    <n v="7.8630000000000004"/>
    <n v="7.5"/>
    <d v="2019-02-27T00:00:00"/>
    <x v="2"/>
    <x v="6"/>
  </r>
  <r>
    <s v="695-09-5146"/>
    <x v="2"/>
    <x v="2"/>
    <x v="0"/>
    <s v="Female"/>
    <x v="4"/>
    <n v="98.79"/>
    <n v="3"/>
    <n v="14.8185"/>
    <n v="311.18849999999998"/>
    <s v="2/23/2019"/>
    <d v="1899-12-30T20:00:00"/>
    <s v="Ewallet"/>
    <n v="296.37"/>
    <n v="4.7619047620000003"/>
    <n v="14.8185"/>
    <n v="6.4"/>
    <d v="2019-02-23T00:00:00"/>
    <x v="2"/>
    <x v="2"/>
  </r>
  <r>
    <s v="155-45-3814"/>
    <x v="1"/>
    <x v="1"/>
    <x v="0"/>
    <s v="Female"/>
    <x v="1"/>
    <n v="88.55"/>
    <n v="8"/>
    <n v="35.42"/>
    <n v="743.82"/>
    <s v="3/19/2019"/>
    <d v="1899-12-30T15:29:00"/>
    <s v="Ewallet"/>
    <n v="708.4"/>
    <n v="4.7619047620000003"/>
    <n v="35.42"/>
    <n v="4.7"/>
    <d v="2019-03-19T00:00:00"/>
    <x v="1"/>
    <x v="9"/>
  </r>
  <r>
    <s v="794-32-2436"/>
    <x v="2"/>
    <x v="2"/>
    <x v="0"/>
    <s v="Male"/>
    <x v="1"/>
    <n v="55.67"/>
    <n v="2"/>
    <n v="5.5670000000000002"/>
    <n v="116.907"/>
    <s v="3/27/2019"/>
    <d v="1899-12-30T15:08:00"/>
    <s v="Ewallet"/>
    <n v="111.34"/>
    <n v="4.7619047620000003"/>
    <n v="5.5670000000000002"/>
    <n v="6"/>
    <d v="2019-03-27T00:00:00"/>
    <x v="1"/>
    <x v="9"/>
  </r>
  <r>
    <s v="131-15-8856"/>
    <x v="1"/>
    <x v="1"/>
    <x v="0"/>
    <s v="Female"/>
    <x v="4"/>
    <n v="72.52"/>
    <n v="8"/>
    <n v="29.007999999999999"/>
    <n v="609.16800000000001"/>
    <s v="3/30/2019"/>
    <d v="1899-12-30T19:26:00"/>
    <s v="Credit card"/>
    <n v="580.16"/>
    <n v="4.7619047620000003"/>
    <n v="29.007999999999999"/>
    <n v="4"/>
    <d v="2019-03-30T00:00:00"/>
    <x v="1"/>
    <x v="8"/>
  </r>
  <r>
    <s v="273-84-2164"/>
    <x v="1"/>
    <x v="1"/>
    <x v="0"/>
    <s v="Male"/>
    <x v="1"/>
    <n v="12.05"/>
    <n v="5"/>
    <n v="3.0125000000000002"/>
    <n v="63.262500000000003"/>
    <s v="2/16/2019"/>
    <d v="1899-12-30T15:53:00"/>
    <s v="Ewallet"/>
    <n v="60.25"/>
    <n v="4.7619047620000003"/>
    <n v="3.0125000000000002"/>
    <n v="5.5"/>
    <d v="2019-02-16T00:00:00"/>
    <x v="2"/>
    <x v="9"/>
  </r>
  <r>
    <s v="706-36-6154"/>
    <x v="0"/>
    <x v="0"/>
    <x v="0"/>
    <s v="Male"/>
    <x v="2"/>
    <n v="19.36"/>
    <n v="9"/>
    <n v="8.7119999999999997"/>
    <n v="182.952"/>
    <s v="1/18/2019"/>
    <d v="1899-12-30T18:43:00"/>
    <s v="Ewallet"/>
    <n v="174.24"/>
    <n v="4.7619047620000003"/>
    <n v="8.7119999999999997"/>
    <n v="8.6999999999999993"/>
    <d v="2019-01-18T00:00:00"/>
    <x v="0"/>
    <x v="3"/>
  </r>
  <r>
    <s v="778-89-7974"/>
    <x v="1"/>
    <x v="1"/>
    <x v="1"/>
    <s v="Male"/>
    <x v="0"/>
    <n v="70.209999999999994"/>
    <n v="6"/>
    <n v="21.062999999999999"/>
    <n v="442.32299999999998"/>
    <s v="3/30/2019"/>
    <d v="1899-12-30T14:58:00"/>
    <s v="Cash"/>
    <n v="421.26"/>
    <n v="4.7619047620000003"/>
    <n v="21.062999999999999"/>
    <n v="7.4"/>
    <d v="2019-03-30T00:00:00"/>
    <x v="1"/>
    <x v="4"/>
  </r>
  <r>
    <s v="574-31-8277"/>
    <x v="2"/>
    <x v="2"/>
    <x v="0"/>
    <s v="Male"/>
    <x v="5"/>
    <n v="33.630000000000003"/>
    <n v="1"/>
    <n v="1.6815"/>
    <n v="35.311500000000002"/>
    <s v="3/20/2019"/>
    <d v="1899-12-30T19:55:00"/>
    <s v="Cash"/>
    <n v="33.630000000000003"/>
    <n v="4.7619047620000003"/>
    <n v="1.6815"/>
    <n v="5.6"/>
    <d v="2019-03-20T00:00:00"/>
    <x v="1"/>
    <x v="8"/>
  </r>
  <r>
    <s v="859-71-0933"/>
    <x v="1"/>
    <x v="1"/>
    <x v="0"/>
    <s v="Female"/>
    <x v="3"/>
    <n v="15.49"/>
    <n v="2"/>
    <n v="1.5489999999999999"/>
    <n v="32.529000000000003"/>
    <s v="1/16/2019"/>
    <d v="1899-12-30T15:10:00"/>
    <s v="Cash"/>
    <n v="30.98"/>
    <n v="4.7619047620000003"/>
    <n v="1.5489999999999999"/>
    <n v="6.3"/>
    <d v="2019-01-16T00:00:00"/>
    <x v="0"/>
    <x v="9"/>
  </r>
  <r>
    <s v="740-11-5257"/>
    <x v="1"/>
    <x v="1"/>
    <x v="1"/>
    <s v="Male"/>
    <x v="1"/>
    <n v="24.74"/>
    <n v="10"/>
    <n v="12.37"/>
    <n v="259.77"/>
    <s v="2/24/2019"/>
    <d v="1899-12-30T16:44:00"/>
    <s v="Cash"/>
    <n v="247.4"/>
    <n v="4.7619047620000003"/>
    <n v="12.37"/>
    <n v="7.1"/>
    <d v="2019-02-24T00:00:00"/>
    <x v="2"/>
    <x v="7"/>
  </r>
  <r>
    <s v="369-82-2676"/>
    <x v="2"/>
    <x v="2"/>
    <x v="1"/>
    <s v="Male"/>
    <x v="1"/>
    <n v="75.66"/>
    <n v="5"/>
    <n v="18.914999999999999"/>
    <n v="397.21499999999997"/>
    <s v="1/15/2019"/>
    <d v="1899-12-30T18:22:00"/>
    <s v="Ewallet"/>
    <n v="378.3"/>
    <n v="4.7619047620000003"/>
    <n v="18.914999999999999"/>
    <n v="7.8"/>
    <d v="2019-01-15T00:00:00"/>
    <x v="0"/>
    <x v="3"/>
  </r>
  <r>
    <s v="563-47-4072"/>
    <x v="2"/>
    <x v="2"/>
    <x v="1"/>
    <s v="Female"/>
    <x v="0"/>
    <n v="55.81"/>
    <n v="6"/>
    <n v="16.742999999999999"/>
    <n v="351.60300000000001"/>
    <s v="1/22/2019"/>
    <d v="1899-12-30T11:52:00"/>
    <s v="Cash"/>
    <n v="334.86"/>
    <n v="4.7619047620000003"/>
    <n v="16.742999999999999"/>
    <n v="9.9"/>
    <d v="2019-01-22T00:00:00"/>
    <x v="0"/>
    <x v="5"/>
  </r>
  <r>
    <s v="742-04-5161"/>
    <x v="0"/>
    <x v="0"/>
    <x v="0"/>
    <s v="Male"/>
    <x v="2"/>
    <n v="72.78"/>
    <n v="10"/>
    <n v="36.39"/>
    <n v="764.19"/>
    <d v="2019-03-02T00:00:00"/>
    <d v="1899-12-30T17:24:00"/>
    <s v="Cash"/>
    <n v="727.8"/>
    <n v="4.7619047620000003"/>
    <n v="36.39"/>
    <n v="7.3"/>
    <d v="2019-02-03T00:00:00"/>
    <x v="2"/>
    <x v="6"/>
  </r>
  <r>
    <s v="149-15-7606"/>
    <x v="2"/>
    <x v="2"/>
    <x v="0"/>
    <s v="Male"/>
    <x v="3"/>
    <n v="37.32"/>
    <n v="9"/>
    <n v="16.794"/>
    <n v="352.67399999999998"/>
    <d v="2019-06-03T00:00:00"/>
    <d v="1899-12-30T15:31:00"/>
    <s v="Ewallet"/>
    <n v="335.88"/>
    <n v="4.7619047620000003"/>
    <n v="16.794"/>
    <n v="5.0999999999999996"/>
    <d v="2019-03-06T00:00:00"/>
    <x v="1"/>
    <x v="9"/>
  </r>
  <r>
    <s v="133-77-3154"/>
    <x v="2"/>
    <x v="2"/>
    <x v="0"/>
    <s v="Male"/>
    <x v="5"/>
    <n v="60.18"/>
    <n v="4"/>
    <n v="12.036"/>
    <n v="252.756"/>
    <s v="2/16/2019"/>
    <d v="1899-12-30T18:04:00"/>
    <s v="Credit card"/>
    <n v="240.72"/>
    <n v="4.7619047620000003"/>
    <n v="12.036"/>
    <n v="9.4"/>
    <d v="2019-02-16T00:00:00"/>
    <x v="2"/>
    <x v="3"/>
  </r>
  <r>
    <s v="169-52-4504"/>
    <x v="0"/>
    <x v="0"/>
    <x v="1"/>
    <s v="Female"/>
    <x v="1"/>
    <n v="15.69"/>
    <n v="3"/>
    <n v="2.3534999999999999"/>
    <n v="49.423499999999997"/>
    <s v="3/14/2019"/>
    <d v="1899-12-30T14:13:00"/>
    <s v="Credit card"/>
    <n v="47.07"/>
    <n v="4.7619047620000003"/>
    <n v="2.3534999999999999"/>
    <n v="5.8"/>
    <d v="2019-03-14T00:00:00"/>
    <x v="1"/>
    <x v="4"/>
  </r>
  <r>
    <s v="250-81-7186"/>
    <x v="1"/>
    <x v="1"/>
    <x v="1"/>
    <s v="Female"/>
    <x v="1"/>
    <n v="99.69"/>
    <n v="1"/>
    <n v="4.9844999999999997"/>
    <n v="104.67449999999999"/>
    <s v="2/27/2019"/>
    <d v="1899-12-30T10:23:00"/>
    <s v="Credit card"/>
    <n v="99.69"/>
    <n v="4.7619047620000003"/>
    <n v="4.9844999999999997"/>
    <n v="8"/>
    <d v="2019-02-27T00:00:00"/>
    <x v="2"/>
    <x v="1"/>
  </r>
  <r>
    <s v="562-12-5430"/>
    <x v="0"/>
    <x v="0"/>
    <x v="0"/>
    <s v="Female"/>
    <x v="5"/>
    <n v="88.15"/>
    <n v="3"/>
    <n v="13.2225"/>
    <n v="277.67250000000001"/>
    <s v="1/18/2019"/>
    <d v="1899-12-30T10:11:00"/>
    <s v="Ewallet"/>
    <n v="264.45"/>
    <n v="4.7619047620000003"/>
    <n v="13.2225"/>
    <n v="7.9"/>
    <d v="2019-01-18T00:00:00"/>
    <x v="0"/>
    <x v="1"/>
  </r>
  <r>
    <s v="816-72-8853"/>
    <x v="0"/>
    <x v="0"/>
    <x v="0"/>
    <s v="Female"/>
    <x v="3"/>
    <n v="27.93"/>
    <n v="5"/>
    <n v="6.9824999999999999"/>
    <n v="146.63249999999999"/>
    <s v="1/29/2019"/>
    <d v="1899-12-30T15:48:00"/>
    <s v="Cash"/>
    <n v="139.65"/>
    <n v="4.7619047620000003"/>
    <n v="6.9824999999999999"/>
    <n v="5.9"/>
    <d v="2019-01-29T00:00:00"/>
    <x v="0"/>
    <x v="9"/>
  </r>
  <r>
    <s v="491-38-3499"/>
    <x v="0"/>
    <x v="0"/>
    <x v="0"/>
    <s v="Male"/>
    <x v="5"/>
    <n v="55.45"/>
    <n v="1"/>
    <n v="2.7725"/>
    <n v="58.222499999999997"/>
    <s v="2/26/2019"/>
    <d v="1899-12-30T17:46:00"/>
    <s v="Credit card"/>
    <n v="55.45"/>
    <n v="4.7619047620000003"/>
    <n v="2.7725"/>
    <n v="4.9000000000000004"/>
    <d v="2019-02-26T00:00:00"/>
    <x v="2"/>
    <x v="6"/>
  </r>
  <r>
    <s v="322-02-2271"/>
    <x v="2"/>
    <x v="2"/>
    <x v="1"/>
    <s v="Female"/>
    <x v="3"/>
    <n v="42.97"/>
    <n v="3"/>
    <n v="6.4455"/>
    <n v="135.35550000000001"/>
    <d v="2019-03-02T00:00:00"/>
    <d v="1899-12-30T11:46:00"/>
    <s v="Cash"/>
    <n v="128.91"/>
    <n v="4.7619047620000003"/>
    <n v="6.4455"/>
    <n v="9.3000000000000007"/>
    <d v="2019-02-03T00:00:00"/>
    <x v="2"/>
    <x v="5"/>
  </r>
  <r>
    <s v="842-29-4695"/>
    <x v="1"/>
    <x v="1"/>
    <x v="0"/>
    <s v="Male"/>
    <x v="3"/>
    <n v="17.14"/>
    <n v="7"/>
    <n v="5.9989999999999997"/>
    <n v="125.979"/>
    <s v="1/16/2019"/>
    <d v="1899-12-30T12:07:00"/>
    <s v="Credit card"/>
    <n v="119.98"/>
    <n v="4.7619047620000003"/>
    <n v="5.9989999999999997"/>
    <n v="7.9"/>
    <d v="2019-01-16T00:00:00"/>
    <x v="0"/>
    <x v="10"/>
  </r>
  <r>
    <s v="725-67-2480"/>
    <x v="2"/>
    <x v="2"/>
    <x v="0"/>
    <s v="Female"/>
    <x v="5"/>
    <n v="58.75"/>
    <n v="6"/>
    <n v="17.625"/>
    <n v="370.125"/>
    <s v="3/24/2019"/>
    <d v="1899-12-30T18:14:00"/>
    <s v="Credit card"/>
    <n v="352.5"/>
    <n v="4.7619047620000003"/>
    <n v="17.625"/>
    <n v="5.9"/>
    <d v="2019-03-24T00:00:00"/>
    <x v="1"/>
    <x v="3"/>
  </r>
  <r>
    <s v="641-51-2661"/>
    <x v="1"/>
    <x v="1"/>
    <x v="0"/>
    <s v="Female"/>
    <x v="4"/>
    <n v="87.1"/>
    <n v="10"/>
    <n v="43.55"/>
    <n v="914.55"/>
    <d v="2019-12-02T00:00:00"/>
    <d v="1899-12-30T14:45:00"/>
    <s v="Credit card"/>
    <n v="871"/>
    <n v="4.7619047620000003"/>
    <n v="43.55"/>
    <n v="9.9"/>
    <d v="2019-02-12T00:00:00"/>
    <x v="2"/>
    <x v="4"/>
  </r>
  <r>
    <s v="714-02-3114"/>
    <x v="1"/>
    <x v="1"/>
    <x v="1"/>
    <s v="Female"/>
    <x v="3"/>
    <n v="98.8"/>
    <n v="2"/>
    <n v="9.8800000000000008"/>
    <n v="207.48"/>
    <s v="2/21/2019"/>
    <d v="1899-12-30T11:39:00"/>
    <s v="Cash"/>
    <n v="197.6"/>
    <n v="4.7619047620000003"/>
    <n v="9.8800000000000008"/>
    <n v="7.7"/>
    <d v="2019-02-21T00:00:00"/>
    <x v="2"/>
    <x v="5"/>
  </r>
  <r>
    <s v="518-17-2983"/>
    <x v="0"/>
    <x v="0"/>
    <x v="1"/>
    <s v="Female"/>
    <x v="5"/>
    <n v="48.63"/>
    <n v="4"/>
    <n v="9.7260000000000009"/>
    <n v="204.24600000000001"/>
    <d v="2019-04-02T00:00:00"/>
    <d v="1899-12-30T15:44:00"/>
    <s v="Ewallet"/>
    <n v="194.52"/>
    <n v="4.7619047620000003"/>
    <n v="9.7260000000000009"/>
    <n v="7.6"/>
    <d v="2019-02-04T00:00:00"/>
    <x v="2"/>
    <x v="9"/>
  </r>
  <r>
    <s v="779-42-2410"/>
    <x v="2"/>
    <x v="2"/>
    <x v="0"/>
    <s v="Male"/>
    <x v="4"/>
    <n v="57.74"/>
    <n v="3"/>
    <n v="8.6609999999999996"/>
    <n v="181.881"/>
    <s v="2/20/2019"/>
    <d v="1899-12-30T13:06:00"/>
    <s v="Ewallet"/>
    <n v="173.22"/>
    <n v="4.7619047620000003"/>
    <n v="8.6609999999999996"/>
    <n v="7.7"/>
    <d v="2019-02-20T00:00:00"/>
    <x v="2"/>
    <x v="0"/>
  </r>
  <r>
    <s v="190-14-3147"/>
    <x v="2"/>
    <x v="2"/>
    <x v="1"/>
    <s v="Female"/>
    <x v="0"/>
    <n v="17.97"/>
    <n v="4"/>
    <n v="3.5939999999999999"/>
    <n v="75.474000000000004"/>
    <s v="2/23/2019"/>
    <d v="1899-12-30T20:43:00"/>
    <s v="Ewallet"/>
    <n v="71.88"/>
    <n v="4.7619047620000003"/>
    <n v="3.5939999999999999"/>
    <n v="6.4"/>
    <d v="2019-02-23T00:00:00"/>
    <x v="2"/>
    <x v="2"/>
  </r>
  <r>
    <s v="408-66-6712"/>
    <x v="1"/>
    <x v="1"/>
    <x v="0"/>
    <s v="Female"/>
    <x v="0"/>
    <n v="47.71"/>
    <n v="6"/>
    <n v="14.313000000000001"/>
    <n v="300.57299999999998"/>
    <s v="2/16/2019"/>
    <d v="1899-12-30T14:19:00"/>
    <s v="Ewallet"/>
    <n v="286.26"/>
    <n v="4.7619047620000003"/>
    <n v="14.313000000000001"/>
    <n v="4.4000000000000004"/>
    <d v="2019-02-16T00:00:00"/>
    <x v="2"/>
    <x v="4"/>
  </r>
  <r>
    <s v="679-22-6530"/>
    <x v="2"/>
    <x v="2"/>
    <x v="1"/>
    <s v="Female"/>
    <x v="3"/>
    <n v="40.619999999999997"/>
    <n v="2"/>
    <n v="4.0620000000000003"/>
    <n v="85.302000000000007"/>
    <s v="1/17/2019"/>
    <d v="1899-12-30T10:01:00"/>
    <s v="Credit card"/>
    <n v="81.239999999999995"/>
    <n v="4.7619047620000003"/>
    <n v="4.0620000000000003"/>
    <n v="4.0999999999999996"/>
    <d v="2019-01-17T00:00:00"/>
    <x v="0"/>
    <x v="1"/>
  </r>
  <r>
    <s v="588-47-8641"/>
    <x v="0"/>
    <x v="0"/>
    <x v="0"/>
    <s v="Male"/>
    <x v="5"/>
    <n v="56.04"/>
    <n v="10"/>
    <n v="28.02"/>
    <n v="588.41999999999996"/>
    <s v="1/14/2019"/>
    <d v="1899-12-30T19:30:00"/>
    <s v="Ewallet"/>
    <n v="560.4"/>
    <n v="4.7619047620000003"/>
    <n v="28.02"/>
    <n v="4.4000000000000004"/>
    <d v="2019-01-14T00:00:00"/>
    <x v="0"/>
    <x v="8"/>
  </r>
  <r>
    <s v="642-61-4706"/>
    <x v="2"/>
    <x v="2"/>
    <x v="0"/>
    <s v="Male"/>
    <x v="4"/>
    <n v="93.4"/>
    <n v="2"/>
    <n v="9.34"/>
    <n v="196.14"/>
    <s v="3/30/2019"/>
    <d v="1899-12-30T16:34:00"/>
    <s v="Cash"/>
    <n v="186.8"/>
    <n v="4.7619047620000003"/>
    <n v="9.34"/>
    <n v="5.5"/>
    <d v="2019-03-30T00:00:00"/>
    <x v="1"/>
    <x v="7"/>
  </r>
  <r>
    <s v="576-31-4774"/>
    <x v="2"/>
    <x v="2"/>
    <x v="1"/>
    <s v="Female"/>
    <x v="0"/>
    <n v="73.41"/>
    <n v="3"/>
    <n v="11.0115"/>
    <n v="231.2415"/>
    <d v="2019-02-03T00:00:00"/>
    <d v="1899-12-30T13:10:00"/>
    <s v="Ewallet"/>
    <n v="220.23"/>
    <n v="4.7619047620000003"/>
    <n v="11.0115"/>
    <n v="4"/>
    <d v="2019-03-02T00:00:00"/>
    <x v="1"/>
    <x v="0"/>
  </r>
  <r>
    <s v="556-41-6224"/>
    <x v="1"/>
    <x v="1"/>
    <x v="1"/>
    <s v="Male"/>
    <x v="0"/>
    <n v="33.64"/>
    <n v="8"/>
    <n v="13.456"/>
    <n v="282.57600000000002"/>
    <s v="2/15/2019"/>
    <d v="1899-12-30T17:10:00"/>
    <s v="Credit card"/>
    <n v="269.12"/>
    <n v="4.7619047620000003"/>
    <n v="13.456"/>
    <n v="9.3000000000000007"/>
    <d v="2019-02-15T00:00:00"/>
    <x v="2"/>
    <x v="6"/>
  </r>
  <r>
    <s v="811-03-8790"/>
    <x v="0"/>
    <x v="0"/>
    <x v="1"/>
    <s v="Female"/>
    <x v="1"/>
    <n v="45.48"/>
    <n v="10"/>
    <n v="22.74"/>
    <n v="477.54"/>
    <d v="2019-01-03T00:00:00"/>
    <d v="1899-12-30T10:22:00"/>
    <s v="Credit card"/>
    <n v="454.8"/>
    <n v="4.7619047620000003"/>
    <n v="22.74"/>
    <n v="4.8"/>
    <d v="2019-03-01T00:00:00"/>
    <x v="1"/>
    <x v="1"/>
  </r>
  <r>
    <s v="242-11-3142"/>
    <x v="2"/>
    <x v="2"/>
    <x v="0"/>
    <s v="Male"/>
    <x v="5"/>
    <n v="83.77"/>
    <n v="2"/>
    <n v="8.3770000000000007"/>
    <n v="175.917"/>
    <s v="2/24/2019"/>
    <d v="1899-12-30T19:57:00"/>
    <s v="Cash"/>
    <n v="167.54"/>
    <n v="4.7619047620000003"/>
    <n v="8.3770000000000007"/>
    <n v="4.5999999999999996"/>
    <d v="2019-02-24T00:00:00"/>
    <x v="2"/>
    <x v="8"/>
  </r>
  <r>
    <s v="752-23-3760"/>
    <x v="2"/>
    <x v="2"/>
    <x v="0"/>
    <s v="Female"/>
    <x v="3"/>
    <n v="64.08"/>
    <n v="7"/>
    <n v="22.428000000000001"/>
    <n v="470.988"/>
    <s v="2/19/2019"/>
    <d v="1899-12-30T19:29:00"/>
    <s v="Credit card"/>
    <n v="448.56"/>
    <n v="4.7619047620000003"/>
    <n v="22.428000000000001"/>
    <n v="7.3"/>
    <d v="2019-02-19T00:00:00"/>
    <x v="2"/>
    <x v="8"/>
  </r>
  <r>
    <s v="274-05-5470"/>
    <x v="0"/>
    <x v="0"/>
    <x v="0"/>
    <s v="Female"/>
    <x v="4"/>
    <n v="73.47"/>
    <n v="4"/>
    <n v="14.694000000000001"/>
    <n v="308.57400000000001"/>
    <s v="2/23/2019"/>
    <d v="1899-12-30T18:30:00"/>
    <s v="Cash"/>
    <n v="293.88"/>
    <n v="4.7619047620000003"/>
    <n v="14.694000000000001"/>
    <n v="6"/>
    <d v="2019-02-23T00:00:00"/>
    <x v="2"/>
    <x v="3"/>
  </r>
  <r>
    <s v="648-94-3045"/>
    <x v="1"/>
    <x v="1"/>
    <x v="1"/>
    <s v="Male"/>
    <x v="0"/>
    <n v="58.95"/>
    <n v="10"/>
    <n v="29.475000000000001"/>
    <n v="618.97500000000002"/>
    <d v="2019-07-02T00:00:00"/>
    <d v="1899-12-30T14:27:00"/>
    <s v="Ewallet"/>
    <n v="589.5"/>
    <n v="4.7619047620000003"/>
    <n v="29.475000000000001"/>
    <n v="8.1"/>
    <d v="2019-02-07T00:00:00"/>
    <x v="2"/>
    <x v="4"/>
  </r>
  <r>
    <s v="130-67-4723"/>
    <x v="0"/>
    <x v="0"/>
    <x v="0"/>
    <s v="Male"/>
    <x v="4"/>
    <n v="48.5"/>
    <n v="6"/>
    <n v="14.55"/>
    <n v="305.55"/>
    <d v="2019-11-01T00:00:00"/>
    <d v="1899-12-30T13:57:00"/>
    <s v="Ewallet"/>
    <n v="291"/>
    <n v="4.7619047620000003"/>
    <n v="14.55"/>
    <n v="9.4"/>
    <d v="2019-01-11T00:00:00"/>
    <x v="0"/>
    <x v="0"/>
  </r>
  <r>
    <s v="528-87-5606"/>
    <x v="2"/>
    <x v="2"/>
    <x v="0"/>
    <s v="Female"/>
    <x v="1"/>
    <n v="39.479999999999997"/>
    <n v="1"/>
    <n v="1.974"/>
    <n v="41.454000000000001"/>
    <d v="2019-12-02T00:00:00"/>
    <d v="1899-12-30T19:43:00"/>
    <s v="Cash"/>
    <n v="39.479999999999997"/>
    <n v="4.7619047620000003"/>
    <n v="1.974"/>
    <n v="6.5"/>
    <d v="2019-02-12T00:00:00"/>
    <x v="2"/>
    <x v="8"/>
  </r>
  <r>
    <s v="320-85-2052"/>
    <x v="2"/>
    <x v="2"/>
    <x v="1"/>
    <s v="Female"/>
    <x v="3"/>
    <n v="34.81"/>
    <n v="1"/>
    <n v="1.7404999999999999"/>
    <n v="36.5505"/>
    <s v="1/14/2019"/>
    <d v="1899-12-30T10:11:00"/>
    <s v="Credit card"/>
    <n v="34.81"/>
    <n v="4.7619047620000003"/>
    <n v="1.7404999999999999"/>
    <n v="7"/>
    <d v="2019-01-14T00:00:00"/>
    <x v="0"/>
    <x v="1"/>
  </r>
  <r>
    <s v="370-96-0655"/>
    <x v="1"/>
    <x v="1"/>
    <x v="1"/>
    <s v="Female"/>
    <x v="5"/>
    <n v="49.32"/>
    <n v="6"/>
    <n v="14.795999999999999"/>
    <n v="310.71600000000001"/>
    <d v="2019-09-01T00:00:00"/>
    <d v="1899-12-30T13:46:00"/>
    <s v="Ewallet"/>
    <n v="295.92"/>
    <n v="4.7619047620000003"/>
    <n v="14.795999999999999"/>
    <n v="7.1"/>
    <d v="2019-01-09T00:00:00"/>
    <x v="0"/>
    <x v="0"/>
  </r>
  <r>
    <s v="105-10-6182"/>
    <x v="0"/>
    <x v="0"/>
    <x v="0"/>
    <s v="Male"/>
    <x v="5"/>
    <n v="21.48"/>
    <n v="2"/>
    <n v="2.1480000000000001"/>
    <n v="45.107999999999997"/>
    <s v="2/27/2019"/>
    <d v="1899-12-30T12:22:00"/>
    <s v="Ewallet"/>
    <n v="42.96"/>
    <n v="4.7619047620000003"/>
    <n v="2.1480000000000001"/>
    <n v="6.6"/>
    <d v="2019-02-27T00:00:00"/>
    <x v="2"/>
    <x v="10"/>
  </r>
  <r>
    <s v="510-79-0415"/>
    <x v="2"/>
    <x v="2"/>
    <x v="0"/>
    <s v="Female"/>
    <x v="3"/>
    <n v="23.08"/>
    <n v="6"/>
    <n v="6.9240000000000004"/>
    <n v="145.404"/>
    <s v="1/24/2019"/>
    <d v="1899-12-30T19:20:00"/>
    <s v="Ewallet"/>
    <n v="138.47999999999999"/>
    <n v="4.7619047620000003"/>
    <n v="6.9240000000000004"/>
    <n v="4.9000000000000004"/>
    <d v="2019-01-24T00:00:00"/>
    <x v="0"/>
    <x v="8"/>
  </r>
  <r>
    <s v="241-96-5076"/>
    <x v="2"/>
    <x v="2"/>
    <x v="0"/>
    <s v="Female"/>
    <x v="2"/>
    <n v="49.1"/>
    <n v="2"/>
    <n v="4.91"/>
    <n v="103.11"/>
    <d v="2019-08-01T00:00:00"/>
    <d v="1899-12-30T12:58:00"/>
    <s v="Credit card"/>
    <n v="98.2"/>
    <n v="4.7619047620000003"/>
    <n v="4.91"/>
    <n v="6.4"/>
    <d v="2019-01-08T00:00:00"/>
    <x v="0"/>
    <x v="10"/>
  </r>
  <r>
    <s v="767-97-4650"/>
    <x v="2"/>
    <x v="2"/>
    <x v="0"/>
    <s v="Female"/>
    <x v="3"/>
    <n v="64.83"/>
    <n v="2"/>
    <n v="6.4829999999999997"/>
    <n v="136.143"/>
    <d v="2019-08-01T00:00:00"/>
    <d v="1899-12-30T11:59:00"/>
    <s v="Credit card"/>
    <n v="129.66"/>
    <n v="4.7619047620000003"/>
    <n v="6.4829999999999997"/>
    <n v="8"/>
    <d v="2019-01-08T00:00:00"/>
    <x v="0"/>
    <x v="5"/>
  </r>
  <r>
    <s v="648-83-1321"/>
    <x v="0"/>
    <x v="0"/>
    <x v="0"/>
    <s v="Male"/>
    <x v="2"/>
    <n v="63.56"/>
    <n v="10"/>
    <n v="31.78"/>
    <n v="667.38"/>
    <s v="1/16/2019"/>
    <d v="1899-12-30T17:59:00"/>
    <s v="Cash"/>
    <n v="635.6"/>
    <n v="4.7619047620000003"/>
    <n v="31.78"/>
    <n v="4.3"/>
    <d v="2019-01-16T00:00:00"/>
    <x v="0"/>
    <x v="6"/>
  </r>
  <r>
    <s v="173-57-2300"/>
    <x v="1"/>
    <x v="1"/>
    <x v="0"/>
    <s v="Male"/>
    <x v="3"/>
    <n v="72.88"/>
    <n v="2"/>
    <n v="7.2880000000000003"/>
    <n v="153.048"/>
    <s v="3/13/2019"/>
    <d v="1899-12-30T12:51:00"/>
    <s v="Cash"/>
    <n v="145.76"/>
    <n v="4.7619047620000003"/>
    <n v="7.2880000000000003"/>
    <n v="6.1"/>
    <d v="2019-03-13T00:00:00"/>
    <x v="1"/>
    <x v="10"/>
  </r>
  <r>
    <s v="305-03-2383"/>
    <x v="0"/>
    <x v="0"/>
    <x v="1"/>
    <s v="Female"/>
    <x v="4"/>
    <n v="67.099999999999994"/>
    <n v="3"/>
    <n v="10.065"/>
    <n v="211.36500000000001"/>
    <s v="2/15/2019"/>
    <d v="1899-12-30T10:36:00"/>
    <s v="Cash"/>
    <n v="201.3"/>
    <n v="4.7619047620000003"/>
    <n v="10.065"/>
    <n v="7.5"/>
    <d v="2019-02-15T00:00:00"/>
    <x v="2"/>
    <x v="1"/>
  </r>
  <r>
    <s v="394-55-6384"/>
    <x v="1"/>
    <x v="1"/>
    <x v="0"/>
    <s v="Female"/>
    <x v="3"/>
    <n v="70.19"/>
    <n v="9"/>
    <n v="31.5855"/>
    <n v="663.29549999999995"/>
    <s v="1/25/2019"/>
    <d v="1899-12-30T13:38:00"/>
    <s v="Cash"/>
    <n v="631.71"/>
    <n v="4.7619047620000003"/>
    <n v="31.5855"/>
    <n v="6.7"/>
    <d v="2019-01-25T00:00:00"/>
    <x v="0"/>
    <x v="0"/>
  </r>
  <r>
    <s v="266-20-6657"/>
    <x v="1"/>
    <x v="1"/>
    <x v="0"/>
    <s v="Male"/>
    <x v="4"/>
    <n v="55.04"/>
    <n v="7"/>
    <n v="19.263999999999999"/>
    <n v="404.54399999999998"/>
    <d v="2019-12-03T00:00:00"/>
    <d v="1899-12-30T19:39:00"/>
    <s v="Ewallet"/>
    <n v="385.28"/>
    <n v="4.7619047620000003"/>
    <n v="19.263999999999999"/>
    <n v="5.2"/>
    <d v="2019-03-12T00:00:00"/>
    <x v="1"/>
    <x v="8"/>
  </r>
  <r>
    <s v="689-05-1884"/>
    <x v="0"/>
    <x v="0"/>
    <x v="0"/>
    <s v="Male"/>
    <x v="0"/>
    <n v="48.63"/>
    <n v="10"/>
    <n v="24.315000000000001"/>
    <n v="510.61500000000001"/>
    <d v="2019-04-03T00:00:00"/>
    <d v="1899-12-30T12:44:00"/>
    <s v="Cash"/>
    <n v="486.3"/>
    <n v="4.7619047620000003"/>
    <n v="24.315000000000001"/>
    <n v="8.8000000000000007"/>
    <d v="2019-03-04T00:00:00"/>
    <x v="1"/>
    <x v="10"/>
  </r>
  <r>
    <s v="196-01-2849"/>
    <x v="1"/>
    <x v="1"/>
    <x v="0"/>
    <s v="Female"/>
    <x v="5"/>
    <n v="73.38"/>
    <n v="7"/>
    <n v="25.683"/>
    <n v="539.34299999999996"/>
    <d v="2019-10-02T00:00:00"/>
    <d v="1899-12-30T13:56:00"/>
    <s v="Cash"/>
    <n v="513.66"/>
    <n v="4.7619047620000003"/>
    <n v="25.683"/>
    <n v="9.5"/>
    <d v="2019-02-10T00:00:00"/>
    <x v="2"/>
    <x v="0"/>
  </r>
  <r>
    <s v="372-62-5264"/>
    <x v="1"/>
    <x v="1"/>
    <x v="1"/>
    <s v="Female"/>
    <x v="4"/>
    <n v="52.6"/>
    <n v="9"/>
    <n v="23.67"/>
    <n v="497.07"/>
    <s v="1/16/2019"/>
    <d v="1899-12-30T14:42:00"/>
    <s v="Cash"/>
    <n v="473.4"/>
    <n v="4.7619047620000003"/>
    <n v="23.67"/>
    <n v="7.6"/>
    <d v="2019-01-16T00:00:00"/>
    <x v="0"/>
    <x v="4"/>
  </r>
  <r>
    <s v="800-09-8606"/>
    <x v="0"/>
    <x v="0"/>
    <x v="0"/>
    <s v="Female"/>
    <x v="2"/>
    <n v="87.37"/>
    <n v="5"/>
    <n v="21.842500000000001"/>
    <n v="458.6925"/>
    <s v="1/29/2019"/>
    <d v="1899-12-30T19:45:00"/>
    <s v="Cash"/>
    <n v="436.85"/>
    <n v="4.7619047620000003"/>
    <n v="21.842500000000001"/>
    <n v="6.6"/>
    <d v="2019-01-29T00:00:00"/>
    <x v="0"/>
    <x v="8"/>
  </r>
  <r>
    <s v="182-52-7000"/>
    <x v="0"/>
    <x v="0"/>
    <x v="0"/>
    <s v="Female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  <d v="2019-01-01T00:00:00"/>
    <x v="0"/>
    <x v="2"/>
  </r>
  <r>
    <s v="826-58-8051"/>
    <x v="2"/>
    <x v="2"/>
    <x v="1"/>
    <s v="Male"/>
    <x v="2"/>
    <n v="62.19"/>
    <n v="4"/>
    <n v="12.438000000000001"/>
    <n v="261.19799999999998"/>
    <d v="2019-06-01T00:00:00"/>
    <d v="1899-12-30T19:46:00"/>
    <s v="Ewallet"/>
    <n v="248.76"/>
    <n v="4.7619047620000003"/>
    <n v="12.438000000000001"/>
    <n v="4.3"/>
    <d v="2019-01-06T00:00:00"/>
    <x v="0"/>
    <x v="8"/>
  </r>
  <r>
    <s v="868-06-0466"/>
    <x v="0"/>
    <x v="0"/>
    <x v="0"/>
    <s v="Male"/>
    <x v="1"/>
    <n v="69.58"/>
    <n v="9"/>
    <n v="31.311"/>
    <n v="657.53099999999995"/>
    <s v="2/19/2019"/>
    <d v="1899-12-30T19:38:00"/>
    <s v="Credit card"/>
    <n v="626.22"/>
    <n v="4.7619047620000003"/>
    <n v="31.311"/>
    <n v="7.8"/>
    <d v="2019-02-19T00:00:00"/>
    <x v="2"/>
    <x v="8"/>
  </r>
  <r>
    <s v="751-41-9720"/>
    <x v="1"/>
    <x v="1"/>
    <x v="1"/>
    <s v="Male"/>
    <x v="2"/>
    <n v="97.5"/>
    <n v="10"/>
    <n v="48.75"/>
    <n v="1023.75"/>
    <d v="2019-12-01T00:00:00"/>
    <d v="1899-12-30T16:18:00"/>
    <s v="Ewallet"/>
    <n v="975"/>
    <n v="4.7619047620000003"/>
    <n v="48.75"/>
    <n v="8"/>
    <d v="2019-01-12T00:00:00"/>
    <x v="0"/>
    <x v="7"/>
  </r>
  <r>
    <s v="626-43-7888"/>
    <x v="1"/>
    <x v="1"/>
    <x v="1"/>
    <s v="Female"/>
    <x v="5"/>
    <n v="60.41"/>
    <n v="8"/>
    <n v="24.164000000000001"/>
    <n v="507.44400000000002"/>
    <d v="2019-07-02T00:00:00"/>
    <d v="1899-12-30T12:23:00"/>
    <s v="Ewallet"/>
    <n v="483.28"/>
    <n v="4.7619047620000003"/>
    <n v="24.164000000000001"/>
    <n v="9.6"/>
    <d v="2019-02-07T00:00:00"/>
    <x v="2"/>
    <x v="10"/>
  </r>
  <r>
    <s v="176-64-7711"/>
    <x v="2"/>
    <x v="2"/>
    <x v="1"/>
    <s v="Male"/>
    <x v="4"/>
    <n v="32.32"/>
    <n v="3"/>
    <n v="4.8479999999999999"/>
    <n v="101.80800000000001"/>
    <s v="3/27/2019"/>
    <d v="1899-12-30T19:11:00"/>
    <s v="Credit card"/>
    <n v="96.96"/>
    <n v="4.7619047620000003"/>
    <n v="4.8479999999999999"/>
    <n v="4.3"/>
    <d v="2019-03-27T00:00:00"/>
    <x v="1"/>
    <x v="8"/>
  </r>
  <r>
    <s v="191-29-0321"/>
    <x v="2"/>
    <x v="2"/>
    <x v="0"/>
    <s v="Female"/>
    <x v="5"/>
    <n v="19.77"/>
    <n v="10"/>
    <n v="9.8849999999999998"/>
    <n v="207.58500000000001"/>
    <s v="2/27/2019"/>
    <d v="1899-12-30T18:57:00"/>
    <s v="Credit card"/>
    <n v="197.7"/>
    <n v="4.7619047620000003"/>
    <n v="9.8849999999999998"/>
    <n v="5"/>
    <d v="2019-02-27T00:00:00"/>
    <x v="2"/>
    <x v="3"/>
  </r>
  <r>
    <s v="729-06-2010"/>
    <x v="2"/>
    <x v="2"/>
    <x v="0"/>
    <s v="Male"/>
    <x v="0"/>
    <n v="80.47"/>
    <n v="9"/>
    <n v="36.211500000000001"/>
    <n v="760.44150000000002"/>
    <d v="2019-06-01T00:00:00"/>
    <d v="1899-12-30T11:18:00"/>
    <s v="Cash"/>
    <n v="724.23"/>
    <n v="4.7619047620000003"/>
    <n v="36.211500000000001"/>
    <n v="9.1999999999999993"/>
    <d v="2019-01-06T00:00:00"/>
    <x v="0"/>
    <x v="5"/>
  </r>
  <r>
    <s v="640-48-5028"/>
    <x v="2"/>
    <x v="2"/>
    <x v="0"/>
    <s v="Female"/>
    <x v="2"/>
    <n v="88.39"/>
    <n v="9"/>
    <n v="39.775500000000001"/>
    <n v="835.28549999999996"/>
    <d v="2019-02-03T00:00:00"/>
    <d v="1899-12-30T12:40:00"/>
    <s v="Cash"/>
    <n v="795.51"/>
    <n v="4.7619047620000003"/>
    <n v="39.775500000000001"/>
    <n v="6.3"/>
    <d v="2019-03-02T00:00:00"/>
    <x v="1"/>
    <x v="10"/>
  </r>
  <r>
    <s v="186-79-9562"/>
    <x v="2"/>
    <x v="2"/>
    <x v="1"/>
    <s v="Male"/>
    <x v="0"/>
    <n v="71.77"/>
    <n v="7"/>
    <n v="25.119499999999999"/>
    <n v="527.5095"/>
    <s v="3/29/2019"/>
    <d v="1899-12-30T14:06:00"/>
    <s v="Cash"/>
    <n v="502.39"/>
    <n v="4.7619047620000003"/>
    <n v="25.119499999999999"/>
    <n v="8.9"/>
    <d v="2019-03-29T00:00:00"/>
    <x v="1"/>
    <x v="4"/>
  </r>
  <r>
    <s v="834-45-5519"/>
    <x v="2"/>
    <x v="2"/>
    <x v="1"/>
    <s v="Female"/>
    <x v="1"/>
    <n v="43"/>
    <n v="4"/>
    <n v="8.6"/>
    <n v="180.6"/>
    <s v="1/31/2019"/>
    <d v="1899-12-30T20:48:00"/>
    <s v="Ewallet"/>
    <n v="172"/>
    <n v="4.7619047620000003"/>
    <n v="8.6"/>
    <n v="7.6"/>
    <d v="2019-01-31T00:00:00"/>
    <x v="0"/>
    <x v="2"/>
  </r>
  <r>
    <s v="162-65-8559"/>
    <x v="1"/>
    <x v="1"/>
    <x v="0"/>
    <s v="Male"/>
    <x v="4"/>
    <n v="68.98"/>
    <n v="1"/>
    <n v="3.4489999999999998"/>
    <n v="72.429000000000002"/>
    <s v="1/21/2019"/>
    <d v="1899-12-30T20:13:00"/>
    <s v="Cash"/>
    <n v="68.98"/>
    <n v="4.7619047620000003"/>
    <n v="3.4489999999999998"/>
    <n v="4.8"/>
    <d v="2019-01-21T00:00:00"/>
    <x v="0"/>
    <x v="2"/>
  </r>
  <r>
    <s v="760-27-5490"/>
    <x v="1"/>
    <x v="1"/>
    <x v="1"/>
    <s v="Male"/>
    <x v="5"/>
    <n v="15.62"/>
    <n v="8"/>
    <n v="6.2480000000000002"/>
    <n v="131.208"/>
    <s v="1/20/2019"/>
    <d v="1899-12-30T20:37:00"/>
    <s v="Ewallet"/>
    <n v="124.96"/>
    <n v="4.7619047620000003"/>
    <n v="6.2480000000000002"/>
    <n v="9.1"/>
    <d v="2019-01-20T00:00:00"/>
    <x v="0"/>
    <x v="2"/>
  </r>
  <r>
    <s v="445-30-9252"/>
    <x v="0"/>
    <x v="0"/>
    <x v="1"/>
    <s v="Male"/>
    <x v="3"/>
    <n v="25.7"/>
    <n v="3"/>
    <n v="3.855"/>
    <n v="80.954999999999998"/>
    <s v="1/17/2019"/>
    <d v="1899-12-30T17:59:00"/>
    <s v="Ewallet"/>
    <n v="77.099999999999994"/>
    <n v="4.7619047620000003"/>
    <n v="3.855"/>
    <n v="6.1"/>
    <d v="2019-01-17T00:00:00"/>
    <x v="0"/>
    <x v="6"/>
  </r>
  <r>
    <s v="786-94-2700"/>
    <x v="0"/>
    <x v="0"/>
    <x v="0"/>
    <s v="Male"/>
    <x v="4"/>
    <n v="80.62"/>
    <n v="6"/>
    <n v="24.186"/>
    <n v="507.90600000000001"/>
    <s v="2/28/2019"/>
    <d v="1899-12-30T20:18:00"/>
    <s v="Cash"/>
    <n v="483.72"/>
    <n v="4.7619047620000003"/>
    <n v="24.186"/>
    <n v="9.1"/>
    <d v="2019-02-28T00:00:00"/>
    <x v="2"/>
    <x v="2"/>
  </r>
  <r>
    <s v="728-88-7867"/>
    <x v="1"/>
    <x v="1"/>
    <x v="0"/>
    <s v="Female"/>
    <x v="2"/>
    <n v="75.53"/>
    <n v="4"/>
    <n v="15.106"/>
    <n v="317.226"/>
    <s v="3/19/2019"/>
    <d v="1899-12-30T15:52:00"/>
    <s v="Ewallet"/>
    <n v="302.12"/>
    <n v="4.7619047620000003"/>
    <n v="15.106"/>
    <n v="8.3000000000000007"/>
    <d v="2019-03-19T00:00:00"/>
    <x v="1"/>
    <x v="9"/>
  </r>
  <r>
    <s v="183-21-3799"/>
    <x v="1"/>
    <x v="1"/>
    <x v="1"/>
    <s v="Female"/>
    <x v="1"/>
    <n v="77.63"/>
    <n v="9"/>
    <n v="34.933500000000002"/>
    <n v="733.60350000000005"/>
    <s v="2/19/2019"/>
    <d v="1899-12-30T15:14:00"/>
    <s v="Ewallet"/>
    <n v="698.67"/>
    <n v="4.7619047620000003"/>
    <n v="34.933500000000002"/>
    <n v="7.2"/>
    <d v="2019-02-19T00:00:00"/>
    <x v="2"/>
    <x v="9"/>
  </r>
  <r>
    <s v="268-20-3585"/>
    <x v="1"/>
    <x v="1"/>
    <x v="1"/>
    <s v="Female"/>
    <x v="0"/>
    <n v="13.85"/>
    <n v="9"/>
    <n v="6.2324999999999999"/>
    <n v="130.88249999999999"/>
    <d v="2019-04-02T00:00:00"/>
    <d v="1899-12-30T12:50:00"/>
    <s v="Ewallet"/>
    <n v="124.65"/>
    <n v="4.7619047620000003"/>
    <n v="6.2324999999999999"/>
    <n v="6"/>
    <d v="2019-02-04T00:00:00"/>
    <x v="2"/>
    <x v="10"/>
  </r>
  <r>
    <s v="735-32-9839"/>
    <x v="1"/>
    <x v="1"/>
    <x v="0"/>
    <s v="Male"/>
    <x v="5"/>
    <n v="98.7"/>
    <n v="8"/>
    <n v="39.479999999999997"/>
    <n v="829.08"/>
    <s v="1/31/2019"/>
    <d v="1899-12-30T10:36:00"/>
    <s v="Ewallet"/>
    <n v="789.6"/>
    <n v="4.7619047620000003"/>
    <n v="39.479999999999997"/>
    <n v="8.5"/>
    <d v="2019-01-31T00:00:00"/>
    <x v="0"/>
    <x v="1"/>
  </r>
  <r>
    <s v="258-92-7466"/>
    <x v="0"/>
    <x v="0"/>
    <x v="1"/>
    <s v="Female"/>
    <x v="0"/>
    <n v="35.68"/>
    <n v="5"/>
    <n v="8.92"/>
    <n v="187.32"/>
    <d v="2019-06-02T00:00:00"/>
    <d v="1899-12-30T18:33:00"/>
    <s v="Credit card"/>
    <n v="178.4"/>
    <n v="4.7619047620000003"/>
    <n v="8.92"/>
    <n v="6.6"/>
    <d v="2019-02-06T00:00:00"/>
    <x v="2"/>
    <x v="3"/>
  </r>
  <r>
    <s v="857-16-3520"/>
    <x v="0"/>
    <x v="0"/>
    <x v="0"/>
    <s v="Female"/>
    <x v="5"/>
    <n v="71.459999999999994"/>
    <n v="7"/>
    <n v="25.010999999999999"/>
    <n v="525.23099999999999"/>
    <s v="3/28/2019"/>
    <d v="1899-12-30T16:06:00"/>
    <s v="Ewallet"/>
    <n v="500.22"/>
    <n v="4.7619047620000003"/>
    <n v="25.010999999999999"/>
    <n v="4.5"/>
    <d v="2019-03-28T00:00:00"/>
    <x v="1"/>
    <x v="7"/>
  </r>
  <r>
    <s v="482-17-1179"/>
    <x v="0"/>
    <x v="0"/>
    <x v="0"/>
    <s v="Male"/>
    <x v="1"/>
    <n v="11.94"/>
    <n v="3"/>
    <n v="1.7909999999999999"/>
    <n v="37.610999999999997"/>
    <s v="1/19/2019"/>
    <d v="1899-12-30T12:47:00"/>
    <s v="Credit card"/>
    <n v="35.82"/>
    <n v="4.7619047620000003"/>
    <n v="1.7909999999999999"/>
    <n v="8.1"/>
    <d v="2019-01-19T00:00:00"/>
    <x v="0"/>
    <x v="10"/>
  </r>
  <r>
    <s v="788-21-5741"/>
    <x v="0"/>
    <x v="0"/>
    <x v="1"/>
    <s v="Male"/>
    <x v="5"/>
    <n v="45.38"/>
    <n v="3"/>
    <n v="6.8070000000000004"/>
    <n v="142.947"/>
    <s v="2/17/2019"/>
    <d v="1899-12-30T13:34:00"/>
    <s v="Credit card"/>
    <n v="136.13999999999999"/>
    <n v="4.7619047620000003"/>
    <n v="6.8070000000000004"/>
    <n v="7.2"/>
    <d v="2019-02-17T00:00:00"/>
    <x v="2"/>
    <x v="0"/>
  </r>
  <r>
    <s v="821-14-9046"/>
    <x v="2"/>
    <x v="2"/>
    <x v="0"/>
    <s v="Female"/>
    <x v="5"/>
    <n v="17.48"/>
    <n v="6"/>
    <n v="5.2439999999999998"/>
    <n v="110.124"/>
    <s v="1/18/2019"/>
    <d v="1899-12-30T15:04:00"/>
    <s v="Credit card"/>
    <n v="104.88"/>
    <n v="4.7619047620000003"/>
    <n v="5.2439999999999998"/>
    <n v="6.1"/>
    <d v="2019-01-18T00:00:00"/>
    <x v="0"/>
    <x v="9"/>
  </r>
  <r>
    <s v="418-05-0656"/>
    <x v="2"/>
    <x v="2"/>
    <x v="1"/>
    <s v="Female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  <d v="2019-02-02T00:00:00"/>
    <x v="2"/>
    <x v="2"/>
  </r>
  <r>
    <s v="678-79-0726"/>
    <x v="1"/>
    <x v="1"/>
    <x v="0"/>
    <s v="Female"/>
    <x v="3"/>
    <n v="90.63"/>
    <n v="9"/>
    <n v="40.783499999999997"/>
    <n v="856.45349999999996"/>
    <s v="1/18/2019"/>
    <d v="1899-12-30T15:28:00"/>
    <s v="Cash"/>
    <n v="815.67"/>
    <n v="4.7619047620000003"/>
    <n v="40.783499999999997"/>
    <n v="5.0999999999999996"/>
    <d v="2019-01-18T00:00:00"/>
    <x v="0"/>
    <x v="9"/>
  </r>
  <r>
    <s v="776-68-1096"/>
    <x v="2"/>
    <x v="2"/>
    <x v="1"/>
    <s v="Male"/>
    <x v="2"/>
    <n v="44.12"/>
    <n v="3"/>
    <n v="6.6180000000000003"/>
    <n v="138.97800000000001"/>
    <s v="3/18/2019"/>
    <d v="1899-12-30T13:45:00"/>
    <s v="Credit card"/>
    <n v="132.36000000000001"/>
    <n v="4.7619047620000003"/>
    <n v="6.6180000000000003"/>
    <n v="7.9"/>
    <d v="2019-03-18T00:00:00"/>
    <x v="1"/>
    <x v="0"/>
  </r>
  <r>
    <s v="592-46-1692"/>
    <x v="1"/>
    <x v="1"/>
    <x v="0"/>
    <s v="Female"/>
    <x v="4"/>
    <n v="36.770000000000003"/>
    <n v="7"/>
    <n v="12.8695"/>
    <n v="270.2595"/>
    <d v="2019-11-01T00:00:00"/>
    <d v="1899-12-30T20:10:00"/>
    <s v="Cash"/>
    <n v="257.39"/>
    <n v="4.7619047620000003"/>
    <n v="12.8695"/>
    <n v="7.4"/>
    <d v="2019-01-11T00:00:00"/>
    <x v="0"/>
    <x v="2"/>
  </r>
  <r>
    <s v="434-35-9162"/>
    <x v="2"/>
    <x v="2"/>
    <x v="0"/>
    <s v="Male"/>
    <x v="4"/>
    <n v="23.34"/>
    <n v="4"/>
    <n v="4.6680000000000001"/>
    <n v="98.028000000000006"/>
    <d v="2019-04-02T00:00:00"/>
    <d v="1899-12-30T18:53:00"/>
    <s v="Ewallet"/>
    <n v="93.36"/>
    <n v="4.7619047620000003"/>
    <n v="4.6680000000000001"/>
    <n v="7.4"/>
    <d v="2019-02-04T00:00:00"/>
    <x v="2"/>
    <x v="3"/>
  </r>
  <r>
    <s v="149-14-0304"/>
    <x v="1"/>
    <x v="1"/>
    <x v="0"/>
    <s v="Female"/>
    <x v="0"/>
    <n v="28.5"/>
    <n v="8"/>
    <n v="11.4"/>
    <n v="239.4"/>
    <d v="2019-06-02T00:00:00"/>
    <d v="1899-12-30T14:24:00"/>
    <s v="Cash"/>
    <n v="228"/>
    <n v="4.7619047620000003"/>
    <n v="11.4"/>
    <n v="6.6"/>
    <d v="2019-02-06T00:00:00"/>
    <x v="2"/>
    <x v="4"/>
  </r>
  <r>
    <s v="442-44-6497"/>
    <x v="1"/>
    <x v="1"/>
    <x v="0"/>
    <s v="Male"/>
    <x v="2"/>
    <n v="55.57"/>
    <n v="3"/>
    <n v="8.3354999999999997"/>
    <n v="175.0455"/>
    <d v="2019-08-01T00:00:00"/>
    <d v="1899-12-30T11:42:00"/>
    <s v="Credit card"/>
    <n v="166.71"/>
    <n v="4.7619047620000003"/>
    <n v="8.3354999999999997"/>
    <n v="5.9"/>
    <d v="2019-01-08T00:00:00"/>
    <x v="0"/>
    <x v="5"/>
  </r>
  <r>
    <s v="174-64-0215"/>
    <x v="2"/>
    <x v="2"/>
    <x v="1"/>
    <s v="Male"/>
    <x v="3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n v="8.9"/>
    <d v="2019-03-05T00:00:00"/>
    <x v="1"/>
    <x v="6"/>
  </r>
  <r>
    <s v="210-74-9613"/>
    <x v="1"/>
    <x v="1"/>
    <x v="1"/>
    <s v="Male"/>
    <x v="5"/>
    <n v="97.26"/>
    <n v="4"/>
    <n v="19.452000000000002"/>
    <n v="408.49200000000002"/>
    <s v="3/16/2019"/>
    <d v="1899-12-30T15:33:00"/>
    <s v="Ewallet"/>
    <n v="389.04"/>
    <n v="4.7619047620000003"/>
    <n v="19.452000000000002"/>
    <n v="6.8"/>
    <d v="2019-03-16T00:00:00"/>
    <x v="1"/>
    <x v="9"/>
  </r>
  <r>
    <s v="299-29-0180"/>
    <x v="2"/>
    <x v="2"/>
    <x v="0"/>
    <s v="Female"/>
    <x v="2"/>
    <n v="52.18"/>
    <n v="7"/>
    <n v="18.263000000000002"/>
    <n v="383.52300000000002"/>
    <d v="2019-09-03T00:00:00"/>
    <d v="1899-12-30T10:54:00"/>
    <s v="Cash"/>
    <n v="365.26"/>
    <n v="4.7619047620000003"/>
    <n v="18.263000000000002"/>
    <n v="9.3000000000000007"/>
    <d v="2019-03-09T00:00:00"/>
    <x v="1"/>
    <x v="1"/>
  </r>
  <r>
    <s v="247-11-2470"/>
    <x v="0"/>
    <x v="0"/>
    <x v="0"/>
    <s v="Female"/>
    <x v="5"/>
    <n v="22.32"/>
    <n v="4"/>
    <n v="4.4640000000000004"/>
    <n v="93.744"/>
    <d v="2019-01-03T00:00:00"/>
    <d v="1899-12-30T16:23:00"/>
    <s v="Credit card"/>
    <n v="89.28"/>
    <n v="4.7619047620000003"/>
    <n v="4.4640000000000004"/>
    <n v="4.4000000000000004"/>
    <d v="2019-03-01T00:00:00"/>
    <x v="1"/>
    <x v="7"/>
  </r>
  <r>
    <s v="635-28-5728"/>
    <x v="0"/>
    <x v="0"/>
    <x v="1"/>
    <s v="Male"/>
    <x v="0"/>
    <n v="56"/>
    <n v="3"/>
    <n v="8.4"/>
    <n v="176.4"/>
    <s v="2/28/2019"/>
    <d v="1899-12-30T19:33:00"/>
    <s v="Ewallet"/>
    <n v="168"/>
    <n v="4.7619047620000003"/>
    <n v="8.4"/>
    <n v="4.8"/>
    <d v="2019-02-28T00:00:00"/>
    <x v="2"/>
    <x v="8"/>
  </r>
  <r>
    <s v="756-49-0168"/>
    <x v="0"/>
    <x v="0"/>
    <x v="0"/>
    <s v="Male"/>
    <x v="5"/>
    <n v="19.7"/>
    <n v="1"/>
    <n v="0.98499999999999999"/>
    <n v="20.684999999999999"/>
    <d v="2019-08-02T00:00:00"/>
    <d v="1899-12-30T11:39:00"/>
    <s v="Ewallet"/>
    <n v="19.7"/>
    <n v="4.7619047620000003"/>
    <n v="0.98499999999999999"/>
    <n v="9.5"/>
    <d v="2019-02-08T00:00:00"/>
    <x v="2"/>
    <x v="5"/>
  </r>
  <r>
    <s v="438-23-1242"/>
    <x v="2"/>
    <x v="2"/>
    <x v="1"/>
    <s v="Male"/>
    <x v="1"/>
    <n v="75.88"/>
    <n v="7"/>
    <n v="26.558"/>
    <n v="557.71799999999996"/>
    <s v="1/24/2019"/>
    <d v="1899-12-30T10:38:00"/>
    <s v="Ewallet"/>
    <n v="531.16"/>
    <n v="4.7619047620000003"/>
    <n v="26.558"/>
    <n v="8.9"/>
    <d v="2019-01-24T00:00:00"/>
    <x v="0"/>
    <x v="1"/>
  </r>
  <r>
    <s v="238-45-6950"/>
    <x v="2"/>
    <x v="2"/>
    <x v="0"/>
    <s v="Male"/>
    <x v="4"/>
    <n v="53.72"/>
    <n v="1"/>
    <n v="2.6859999999999999"/>
    <n v="56.405999999999999"/>
    <d v="2019-01-03T00:00:00"/>
    <d v="1899-12-30T20:03:00"/>
    <s v="Ewallet"/>
    <n v="53.72"/>
    <n v="4.7619047620000003"/>
    <n v="2.6859999999999999"/>
    <n v="6.4"/>
    <d v="2019-03-01T00:00:00"/>
    <x v="1"/>
    <x v="2"/>
  </r>
  <r>
    <s v="607-65-2441"/>
    <x v="1"/>
    <x v="1"/>
    <x v="0"/>
    <s v="Male"/>
    <x v="0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n v="6"/>
    <d v="2019-03-10T00:00:00"/>
    <x v="1"/>
    <x v="10"/>
  </r>
  <r>
    <s v="386-27-7606"/>
    <x v="1"/>
    <x v="1"/>
    <x v="0"/>
    <s v="Female"/>
    <x v="2"/>
    <n v="81.2"/>
    <n v="7"/>
    <n v="28.42"/>
    <n v="596.82000000000005"/>
    <s v="3/23/2019"/>
    <d v="1899-12-30T15:59:00"/>
    <s v="Credit card"/>
    <n v="568.4"/>
    <n v="4.7619047620000003"/>
    <n v="28.42"/>
    <n v="8.1"/>
    <d v="2019-03-23T00:00:00"/>
    <x v="1"/>
    <x v="9"/>
  </r>
  <r>
    <s v="137-63-5492"/>
    <x v="1"/>
    <x v="1"/>
    <x v="1"/>
    <s v="Male"/>
    <x v="1"/>
    <n v="58.76"/>
    <n v="10"/>
    <n v="29.38"/>
    <n v="616.98"/>
    <s v="1/29/2019"/>
    <d v="1899-12-30T14:26:00"/>
    <s v="Ewallet"/>
    <n v="587.6"/>
    <n v="4.7619047620000003"/>
    <n v="29.38"/>
    <n v="9"/>
    <d v="2019-01-29T00:00:00"/>
    <x v="0"/>
    <x v="4"/>
  </r>
  <r>
    <s v="197-77-7132"/>
    <x v="2"/>
    <x v="2"/>
    <x v="0"/>
    <s v="Male"/>
    <x v="1"/>
    <n v="91.56"/>
    <n v="8"/>
    <n v="36.624000000000002"/>
    <n v="769.10400000000004"/>
    <d v="2019-12-01T00:00:00"/>
    <d v="1899-12-30T18:22:00"/>
    <s v="Ewallet"/>
    <n v="732.48"/>
    <n v="4.7619047620000003"/>
    <n v="36.624000000000002"/>
    <n v="6"/>
    <d v="2019-01-12T00:00:00"/>
    <x v="0"/>
    <x v="3"/>
  </r>
  <r>
    <s v="805-86-0265"/>
    <x v="0"/>
    <x v="0"/>
    <x v="1"/>
    <s v="Male"/>
    <x v="2"/>
    <n v="93.96"/>
    <n v="9"/>
    <n v="42.281999999999996"/>
    <n v="887.92200000000003"/>
    <s v="3/20/2019"/>
    <d v="1899-12-30T11:32:00"/>
    <s v="Cash"/>
    <n v="845.64"/>
    <n v="4.7619047620000003"/>
    <n v="42.281999999999996"/>
    <n v="9.8000000000000007"/>
    <d v="2019-03-20T00:00:00"/>
    <x v="1"/>
    <x v="5"/>
  </r>
  <r>
    <s v="733-29-1227"/>
    <x v="1"/>
    <x v="1"/>
    <x v="1"/>
    <s v="Male"/>
    <x v="2"/>
    <n v="55.61"/>
    <n v="7"/>
    <n v="19.4635"/>
    <n v="408.73349999999999"/>
    <s v="3/23/2019"/>
    <d v="1899-12-30T12:41:00"/>
    <s v="Cash"/>
    <n v="389.27"/>
    <n v="4.7619047620000003"/>
    <n v="19.4635"/>
    <n v="8.5"/>
    <d v="2019-03-23T00:00:00"/>
    <x v="1"/>
    <x v="10"/>
  </r>
  <r>
    <s v="451-73-2711"/>
    <x v="1"/>
    <x v="1"/>
    <x v="1"/>
    <s v="Male"/>
    <x v="4"/>
    <n v="84.83"/>
    <n v="1"/>
    <n v="4.2415000000000003"/>
    <n v="89.0715"/>
    <s v="1/14/2019"/>
    <d v="1899-12-30T15:20:00"/>
    <s v="Ewallet"/>
    <n v="84.83"/>
    <n v="4.7619047620000003"/>
    <n v="4.2415000000000003"/>
    <n v="8.8000000000000007"/>
    <d v="2019-01-14T00:00:00"/>
    <x v="0"/>
    <x v="9"/>
  </r>
  <r>
    <s v="373-14-0504"/>
    <x v="0"/>
    <x v="0"/>
    <x v="0"/>
    <s v="Female"/>
    <x v="3"/>
    <n v="71.63"/>
    <n v="2"/>
    <n v="7.1630000000000003"/>
    <n v="150.423"/>
    <d v="2019-12-02T00:00:00"/>
    <d v="1899-12-30T14:33:00"/>
    <s v="Ewallet"/>
    <n v="143.26"/>
    <n v="4.7619047620000003"/>
    <n v="7.1630000000000003"/>
    <n v="8.8000000000000007"/>
    <d v="2019-02-12T00:00:00"/>
    <x v="2"/>
    <x v="4"/>
  </r>
  <r>
    <s v="546-80-2899"/>
    <x v="0"/>
    <x v="0"/>
    <x v="0"/>
    <s v="Male"/>
    <x v="2"/>
    <n v="37.69"/>
    <n v="2"/>
    <n v="3.7690000000000001"/>
    <n v="79.149000000000001"/>
    <s v="2/20/2019"/>
    <d v="1899-12-30T15:29:00"/>
    <s v="Ewallet"/>
    <n v="75.38"/>
    <n v="4.7619047620000003"/>
    <n v="3.7690000000000001"/>
    <n v="9.5"/>
    <d v="2019-02-20T00:00:00"/>
    <x v="2"/>
    <x v="9"/>
  </r>
  <r>
    <s v="345-68-9016"/>
    <x v="1"/>
    <x v="1"/>
    <x v="0"/>
    <s v="Female"/>
    <x v="3"/>
    <n v="31.67"/>
    <n v="8"/>
    <n v="12.667999999999999"/>
    <n v="266.02800000000002"/>
    <d v="2019-02-01T00:00:00"/>
    <d v="1899-12-30T16:19:00"/>
    <s v="Credit card"/>
    <n v="253.36"/>
    <n v="4.7619047620000003"/>
    <n v="12.667999999999999"/>
    <n v="5.6"/>
    <d v="2019-01-02T00:00:00"/>
    <x v="0"/>
    <x v="7"/>
  </r>
  <r>
    <s v="390-17-5806"/>
    <x v="1"/>
    <x v="1"/>
    <x v="0"/>
    <s v="Female"/>
    <x v="4"/>
    <n v="38.42"/>
    <n v="1"/>
    <n v="1.921"/>
    <n v="40.341000000000001"/>
    <d v="2019-02-02T00:00:00"/>
    <d v="1899-12-30T16:33:00"/>
    <s v="Cash"/>
    <n v="38.42"/>
    <n v="4.7619047620000003"/>
    <n v="1.921"/>
    <n v="8.6"/>
    <d v="2019-02-02T00:00:00"/>
    <x v="2"/>
    <x v="7"/>
  </r>
  <r>
    <s v="457-13-1708"/>
    <x v="2"/>
    <x v="2"/>
    <x v="0"/>
    <s v="Male"/>
    <x v="5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n v="5.2"/>
    <d v="2019-01-08T00:00:00"/>
    <x v="0"/>
    <x v="8"/>
  </r>
  <r>
    <s v="664-14-2882"/>
    <x v="1"/>
    <x v="1"/>
    <x v="0"/>
    <s v="Female"/>
    <x v="2"/>
    <n v="10.53"/>
    <n v="5"/>
    <n v="2.6324999999999998"/>
    <n v="55.282499999999999"/>
    <s v="1/30/2019"/>
    <d v="1899-12-30T14:43:00"/>
    <s v="Credit card"/>
    <n v="52.65"/>
    <n v="4.7619047620000003"/>
    <n v="2.6324999999999998"/>
    <n v="5.8"/>
    <d v="2019-01-30T00:00:00"/>
    <x v="0"/>
    <x v="4"/>
  </r>
  <r>
    <s v="487-79-6868"/>
    <x v="2"/>
    <x v="2"/>
    <x v="0"/>
    <s v="Female"/>
    <x v="2"/>
    <n v="12.29"/>
    <n v="9"/>
    <n v="5.5305"/>
    <n v="116.1405"/>
    <s v="3/26/2019"/>
    <d v="1899-12-30T19:28:00"/>
    <s v="Credit card"/>
    <n v="110.61"/>
    <n v="4.7619047620000003"/>
    <n v="5.5305"/>
    <n v="8"/>
    <d v="2019-03-26T00:00:00"/>
    <x v="1"/>
    <x v="8"/>
  </r>
  <r>
    <s v="314-23-4520"/>
    <x v="1"/>
    <x v="1"/>
    <x v="0"/>
    <s v="Male"/>
    <x v="0"/>
    <n v="81.23"/>
    <n v="7"/>
    <n v="28.430499999999999"/>
    <n v="597.04049999999995"/>
    <s v="1/15/2019"/>
    <d v="1899-12-30T20:44:00"/>
    <s v="Cash"/>
    <n v="568.61"/>
    <n v="4.7619047620000003"/>
    <n v="28.430499999999999"/>
    <n v="9"/>
    <d v="2019-01-15T00:00:00"/>
    <x v="0"/>
    <x v="2"/>
  </r>
  <r>
    <s v="210-30-7976"/>
    <x v="2"/>
    <x v="2"/>
    <x v="0"/>
    <s v="Female"/>
    <x v="5"/>
    <n v="22.32"/>
    <n v="4"/>
    <n v="4.4640000000000004"/>
    <n v="93.744"/>
    <s v="3/14/2019"/>
    <d v="1899-12-30T11:16:00"/>
    <s v="Ewallet"/>
    <n v="89.28"/>
    <n v="4.7619047620000003"/>
    <n v="4.4640000000000004"/>
    <n v="4.0999999999999996"/>
    <d v="2019-03-14T00:00:00"/>
    <x v="1"/>
    <x v="5"/>
  </r>
  <r>
    <s v="585-86-8361"/>
    <x v="0"/>
    <x v="0"/>
    <x v="1"/>
    <s v="Female"/>
    <x v="4"/>
    <n v="27.28"/>
    <n v="5"/>
    <n v="6.82"/>
    <n v="143.22"/>
    <d v="2019-03-02T00:00:00"/>
    <d v="1899-12-30T10:31:00"/>
    <s v="Credit card"/>
    <n v="136.4"/>
    <n v="4.7619047620000003"/>
    <n v="6.82"/>
    <n v="8.6"/>
    <d v="2019-02-03T00:00:00"/>
    <x v="2"/>
    <x v="1"/>
  </r>
  <r>
    <s v="807-14-7833"/>
    <x v="0"/>
    <x v="0"/>
    <x v="0"/>
    <s v="Female"/>
    <x v="1"/>
    <n v="17.420000000000002"/>
    <n v="10"/>
    <n v="8.7100000000000009"/>
    <n v="182.91"/>
    <s v="2/22/2019"/>
    <d v="1899-12-30T12:30:00"/>
    <s v="Ewallet"/>
    <n v="174.2"/>
    <n v="4.7619047620000003"/>
    <n v="8.7100000000000009"/>
    <n v="7"/>
    <d v="2019-02-22T00:00:00"/>
    <x v="2"/>
    <x v="10"/>
  </r>
  <r>
    <s v="775-72-1988"/>
    <x v="2"/>
    <x v="2"/>
    <x v="1"/>
    <s v="Male"/>
    <x v="2"/>
    <n v="73.28"/>
    <n v="5"/>
    <n v="18.32"/>
    <n v="384.72"/>
    <s v="1/24/2019"/>
    <d v="1899-12-30T15:05:00"/>
    <s v="Ewallet"/>
    <n v="366.4"/>
    <n v="4.7619047620000003"/>
    <n v="18.32"/>
    <n v="8.4"/>
    <d v="2019-01-24T00:00:00"/>
    <x v="0"/>
    <x v="9"/>
  </r>
  <r>
    <s v="288-38-3758"/>
    <x v="1"/>
    <x v="1"/>
    <x v="0"/>
    <s v="Female"/>
    <x v="5"/>
    <n v="84.87"/>
    <n v="3"/>
    <n v="12.730499999999999"/>
    <n v="267.34050000000002"/>
    <s v="1/25/2019"/>
    <d v="1899-12-30T18:30:00"/>
    <s v="Ewallet"/>
    <n v="254.61"/>
    <n v="4.7619047620000003"/>
    <n v="12.730499999999999"/>
    <n v="7.4"/>
    <d v="2019-01-25T00:00:00"/>
    <x v="0"/>
    <x v="3"/>
  </r>
  <r>
    <s v="652-43-6591"/>
    <x v="0"/>
    <x v="0"/>
    <x v="1"/>
    <s v="Female"/>
    <x v="5"/>
    <n v="97.29"/>
    <n v="8"/>
    <n v="38.915999999999997"/>
    <n v="817.23599999999999"/>
    <d v="2019-09-03T00:00:00"/>
    <d v="1899-12-30T13:18:00"/>
    <s v="Credit card"/>
    <n v="778.32"/>
    <n v="4.7619047620000003"/>
    <n v="38.915999999999997"/>
    <n v="6.2"/>
    <d v="2019-03-09T00:00:00"/>
    <x v="1"/>
    <x v="0"/>
  </r>
  <r>
    <s v="785-96-0615"/>
    <x v="2"/>
    <x v="2"/>
    <x v="0"/>
    <s v="Female"/>
    <x v="1"/>
    <n v="35.74"/>
    <n v="8"/>
    <n v="14.295999999999999"/>
    <n v="300.21600000000001"/>
    <s v="2/17/2019"/>
    <d v="1899-12-30T15:28:00"/>
    <s v="Ewallet"/>
    <n v="285.92"/>
    <n v="4.7619047620000003"/>
    <n v="14.295999999999999"/>
    <n v="4.9000000000000004"/>
    <d v="2019-02-17T00:00:00"/>
    <x v="2"/>
    <x v="9"/>
  </r>
  <r>
    <s v="406-46-7107"/>
    <x v="0"/>
    <x v="0"/>
    <x v="1"/>
    <s v="Female"/>
    <x v="2"/>
    <n v="96.52"/>
    <n v="6"/>
    <n v="28.956"/>
    <n v="608.07600000000002"/>
    <d v="2019-11-01T00:00:00"/>
    <d v="1899-12-30T11:52:00"/>
    <s v="Cash"/>
    <n v="579.12"/>
    <n v="4.7619047620000003"/>
    <n v="28.956"/>
    <n v="4.5"/>
    <d v="2019-01-11T00:00:00"/>
    <x v="0"/>
    <x v="5"/>
  </r>
  <r>
    <s v="250-17-5703"/>
    <x v="0"/>
    <x v="0"/>
    <x v="0"/>
    <s v="Male"/>
    <x v="4"/>
    <n v="18.850000000000001"/>
    <n v="10"/>
    <n v="9.4250000000000007"/>
    <n v="197.92500000000001"/>
    <s v="2/27/2019"/>
    <d v="1899-12-30T18:24:00"/>
    <s v="Ewallet"/>
    <n v="188.5"/>
    <n v="4.7619047620000003"/>
    <n v="9.4250000000000007"/>
    <n v="5.6"/>
    <d v="2019-02-27T00:00:00"/>
    <x v="2"/>
    <x v="3"/>
  </r>
  <r>
    <s v="156-95-3964"/>
    <x v="0"/>
    <x v="0"/>
    <x v="1"/>
    <s v="Female"/>
    <x v="4"/>
    <n v="55.39"/>
    <n v="4"/>
    <n v="11.077999999999999"/>
    <n v="232.63800000000001"/>
    <s v="3/25/2019"/>
    <d v="1899-12-30T15:19:00"/>
    <s v="Ewallet"/>
    <n v="221.56"/>
    <n v="4.7619047620000003"/>
    <n v="11.077999999999999"/>
    <n v="8"/>
    <d v="2019-03-25T00:00:00"/>
    <x v="1"/>
    <x v="9"/>
  </r>
  <r>
    <s v="842-40-8179"/>
    <x v="2"/>
    <x v="2"/>
    <x v="0"/>
    <s v="Female"/>
    <x v="4"/>
    <n v="77.2"/>
    <n v="10"/>
    <n v="38.6"/>
    <n v="810.6"/>
    <d v="2019-11-02T00:00:00"/>
    <d v="1899-12-30T10:38:00"/>
    <s v="Credit card"/>
    <n v="772"/>
    <n v="4.7619047620000003"/>
    <n v="38.6"/>
    <n v="5.6"/>
    <d v="2019-02-11T00:00:00"/>
    <x v="2"/>
    <x v="1"/>
  </r>
  <r>
    <s v="525-09-8450"/>
    <x v="2"/>
    <x v="2"/>
    <x v="1"/>
    <s v="Male"/>
    <x v="1"/>
    <n v="72.13"/>
    <n v="10"/>
    <n v="36.064999999999998"/>
    <n v="757.36500000000001"/>
    <s v="1/31/2019"/>
    <d v="1899-12-30T15:12:00"/>
    <s v="Credit card"/>
    <n v="721.3"/>
    <n v="4.7619047620000003"/>
    <n v="36.064999999999998"/>
    <n v="4.2"/>
    <d v="2019-01-31T00:00:00"/>
    <x v="0"/>
    <x v="9"/>
  </r>
  <r>
    <s v="410-67-1709"/>
    <x v="0"/>
    <x v="0"/>
    <x v="0"/>
    <s v="Female"/>
    <x v="5"/>
    <n v="63.88"/>
    <n v="8"/>
    <n v="25.552"/>
    <n v="536.59199999999998"/>
    <s v="1/20/2019"/>
    <d v="1899-12-30T17:48:00"/>
    <s v="Ewallet"/>
    <n v="511.04"/>
    <n v="4.7619047620000003"/>
    <n v="25.552"/>
    <n v="9.9"/>
    <d v="2019-01-20T00:00:00"/>
    <x v="0"/>
    <x v="6"/>
  </r>
  <r>
    <s v="587-73-4862"/>
    <x v="0"/>
    <x v="0"/>
    <x v="0"/>
    <s v="Female"/>
    <x v="0"/>
    <n v="10.69"/>
    <n v="5"/>
    <n v="2.6724999999999999"/>
    <n v="56.122500000000002"/>
    <s v="3/26/2019"/>
    <d v="1899-12-30T11:07:00"/>
    <s v="Ewallet"/>
    <n v="53.45"/>
    <n v="4.7619047620000003"/>
    <n v="2.6724999999999999"/>
    <n v="7.6"/>
    <d v="2019-03-26T00:00:00"/>
    <x v="1"/>
    <x v="5"/>
  </r>
  <r>
    <s v="787-87-2010"/>
    <x v="0"/>
    <x v="0"/>
    <x v="0"/>
    <s v="Male"/>
    <x v="0"/>
    <n v="55.5"/>
    <n v="4"/>
    <n v="11.1"/>
    <n v="233.1"/>
    <s v="1/20/2019"/>
    <d v="1899-12-30T15:48:00"/>
    <s v="Credit card"/>
    <n v="222"/>
    <n v="4.7619047620000003"/>
    <n v="11.1"/>
    <n v="6.6"/>
    <d v="2019-01-20T00:00:00"/>
    <x v="0"/>
    <x v="9"/>
  </r>
  <r>
    <s v="593-14-4239"/>
    <x v="2"/>
    <x v="2"/>
    <x v="1"/>
    <s v="Female"/>
    <x v="2"/>
    <n v="95.46"/>
    <n v="8"/>
    <n v="38.183999999999997"/>
    <n v="801.86400000000003"/>
    <d v="2019-05-03T00:00:00"/>
    <d v="1899-12-30T19:40:00"/>
    <s v="Ewallet"/>
    <n v="763.68"/>
    <n v="4.7619047620000003"/>
    <n v="38.183999999999997"/>
    <n v="4.7"/>
    <d v="2019-03-05T00:00:00"/>
    <x v="1"/>
    <x v="8"/>
  </r>
  <r>
    <s v="801-88-0346"/>
    <x v="1"/>
    <x v="1"/>
    <x v="1"/>
    <s v="Female"/>
    <x v="5"/>
    <n v="76.06"/>
    <n v="3"/>
    <n v="11.409000000000001"/>
    <n v="239.589"/>
    <d v="2019-05-01T00:00:00"/>
    <d v="1899-12-30T20:30:00"/>
    <s v="Credit card"/>
    <n v="228.18"/>
    <n v="4.7619047620000003"/>
    <n v="11.409000000000001"/>
    <n v="9.8000000000000007"/>
    <d v="2019-01-05T00:00:00"/>
    <x v="0"/>
    <x v="2"/>
  </r>
  <r>
    <s v="388-76-2555"/>
    <x v="2"/>
    <x v="2"/>
    <x v="1"/>
    <s v="Male"/>
    <x v="3"/>
    <n v="13.69"/>
    <n v="6"/>
    <n v="4.1070000000000002"/>
    <n v="86.247"/>
    <s v="2/13/2019"/>
    <d v="1899-12-30T13:59:00"/>
    <s v="Cash"/>
    <n v="82.14"/>
    <n v="4.7619047620000003"/>
    <n v="4.1070000000000002"/>
    <n v="6.3"/>
    <d v="2019-02-13T00:00:00"/>
    <x v="2"/>
    <x v="0"/>
  </r>
  <r>
    <s v="711-31-1234"/>
    <x v="2"/>
    <x v="2"/>
    <x v="1"/>
    <s v="Female"/>
    <x v="1"/>
    <n v="95.64"/>
    <n v="4"/>
    <n v="19.128"/>
    <n v="401.68799999999999"/>
    <s v="3/16/2019"/>
    <d v="1899-12-30T18:51:00"/>
    <s v="Cash"/>
    <n v="382.56"/>
    <n v="4.7619047620000003"/>
    <n v="19.128"/>
    <n v="7.9"/>
    <d v="2019-03-16T00:00:00"/>
    <x v="1"/>
    <x v="3"/>
  </r>
  <r>
    <s v="886-54-6089"/>
    <x v="0"/>
    <x v="0"/>
    <x v="1"/>
    <s v="Female"/>
    <x v="2"/>
    <n v="11.43"/>
    <n v="6"/>
    <n v="3.4289999999999998"/>
    <n v="72.009"/>
    <s v="1/15/2019"/>
    <d v="1899-12-30T17:24:00"/>
    <s v="Cash"/>
    <n v="68.58"/>
    <n v="4.7619047620000003"/>
    <n v="3.4289999999999998"/>
    <n v="7.7"/>
    <d v="2019-01-15T00:00:00"/>
    <x v="0"/>
    <x v="6"/>
  </r>
  <r>
    <s v="707-32-7409"/>
    <x v="2"/>
    <x v="2"/>
    <x v="0"/>
    <s v="Female"/>
    <x v="3"/>
    <n v="95.54"/>
    <n v="4"/>
    <n v="19.108000000000001"/>
    <n v="401.26799999999997"/>
    <s v="2/26/2019"/>
    <d v="1899-12-30T11:58:00"/>
    <s v="Ewallet"/>
    <n v="382.16"/>
    <n v="4.7619047620000003"/>
    <n v="19.108000000000001"/>
    <n v="4.5"/>
    <d v="2019-02-26T00:00:00"/>
    <x v="2"/>
    <x v="5"/>
  </r>
  <r>
    <s v="759-98-4285"/>
    <x v="1"/>
    <x v="1"/>
    <x v="0"/>
    <s v="Female"/>
    <x v="0"/>
    <n v="85.87"/>
    <n v="7"/>
    <n v="30.054500000000001"/>
    <n v="631.14449999999999"/>
    <s v="2/27/2019"/>
    <d v="1899-12-30T19:01:00"/>
    <s v="Credit card"/>
    <n v="601.09"/>
    <n v="4.7619047620000003"/>
    <n v="30.054500000000001"/>
    <n v="8"/>
    <d v="2019-02-27T00:00:00"/>
    <x v="2"/>
    <x v="8"/>
  </r>
  <r>
    <s v="201-63-8275"/>
    <x v="1"/>
    <x v="1"/>
    <x v="0"/>
    <s v="Female"/>
    <x v="3"/>
    <n v="67.989999999999995"/>
    <n v="7"/>
    <n v="23.796500000000002"/>
    <n v="499.72649999999999"/>
    <s v="2/17/2019"/>
    <d v="1899-12-30T16:50:00"/>
    <s v="Ewallet"/>
    <n v="475.93"/>
    <n v="4.7619047620000003"/>
    <n v="23.796500000000002"/>
    <n v="5.7"/>
    <d v="2019-02-17T00:00:00"/>
    <x v="2"/>
    <x v="7"/>
  </r>
  <r>
    <s v="471-06-8611"/>
    <x v="1"/>
    <x v="1"/>
    <x v="1"/>
    <s v="Female"/>
    <x v="4"/>
    <n v="52.42"/>
    <n v="1"/>
    <n v="2.621"/>
    <n v="55.040999999999997"/>
    <d v="2019-06-02T00:00:00"/>
    <d v="1899-12-30T10:22:00"/>
    <s v="Credit card"/>
    <n v="52.42"/>
    <n v="4.7619047620000003"/>
    <n v="2.621"/>
    <n v="6.3"/>
    <d v="2019-02-06T00:00:00"/>
    <x v="2"/>
    <x v="1"/>
  </r>
  <r>
    <s v="200-16-5952"/>
    <x v="1"/>
    <x v="1"/>
    <x v="0"/>
    <s v="Male"/>
    <x v="4"/>
    <n v="65.650000000000006"/>
    <n v="2"/>
    <n v="6.5650000000000004"/>
    <n v="137.86500000000001"/>
    <s v="1/17/2019"/>
    <d v="1899-12-30T16:46:00"/>
    <s v="Cash"/>
    <n v="131.30000000000001"/>
    <n v="4.7619047620000003"/>
    <n v="6.5650000000000004"/>
    <n v="6"/>
    <d v="2019-01-17T00:00:00"/>
    <x v="0"/>
    <x v="7"/>
  </r>
  <r>
    <s v="120-54-2248"/>
    <x v="2"/>
    <x v="2"/>
    <x v="1"/>
    <s v="Female"/>
    <x v="4"/>
    <n v="28.86"/>
    <n v="5"/>
    <n v="7.2149999999999999"/>
    <n v="151.51499999999999"/>
    <s v="1/22/2019"/>
    <d v="1899-12-30T18:08:00"/>
    <s v="Credit card"/>
    <n v="144.30000000000001"/>
    <n v="4.7619047620000003"/>
    <n v="7.2149999999999999"/>
    <n v="8"/>
    <d v="2019-01-22T00:00:00"/>
    <x v="0"/>
    <x v="3"/>
  </r>
  <r>
    <s v="102-77-2261"/>
    <x v="1"/>
    <x v="1"/>
    <x v="0"/>
    <s v="Male"/>
    <x v="0"/>
    <n v="65.31"/>
    <n v="7"/>
    <n v="22.858499999999999"/>
    <n v="480.02850000000001"/>
    <d v="2019-05-03T00:00:00"/>
    <d v="1899-12-30T18:02:00"/>
    <s v="Credit card"/>
    <n v="457.17"/>
    <n v="4.7619047620000003"/>
    <n v="22.858499999999999"/>
    <n v="4.2"/>
    <d v="2019-03-05T00:00:00"/>
    <x v="1"/>
    <x v="3"/>
  </r>
  <r>
    <s v="875-31-8302"/>
    <x v="2"/>
    <x v="2"/>
    <x v="1"/>
    <s v="Male"/>
    <x v="3"/>
    <n v="93.38"/>
    <n v="1"/>
    <n v="4.6689999999999996"/>
    <n v="98.049000000000007"/>
    <d v="2019-03-01T00:00:00"/>
    <d v="1899-12-30T13:07:00"/>
    <s v="Cash"/>
    <n v="93.38"/>
    <n v="4.7619047620000003"/>
    <n v="4.6689999999999996"/>
    <n v="9.6"/>
    <d v="2019-01-03T00:00:00"/>
    <x v="0"/>
    <x v="0"/>
  </r>
  <r>
    <s v="102-06-2002"/>
    <x v="1"/>
    <x v="1"/>
    <x v="0"/>
    <s v="Male"/>
    <x v="3"/>
    <n v="25.25"/>
    <n v="5"/>
    <n v="6.3125"/>
    <n v="132.5625"/>
    <s v="3/20/2019"/>
    <d v="1899-12-30T17:52:00"/>
    <s v="Cash"/>
    <n v="126.25"/>
    <n v="4.7619047620000003"/>
    <n v="6.3125"/>
    <n v="6.1"/>
    <d v="2019-03-20T00:00:00"/>
    <x v="1"/>
    <x v="6"/>
  </r>
  <r>
    <s v="457-94-0464"/>
    <x v="2"/>
    <x v="2"/>
    <x v="0"/>
    <s v="Male"/>
    <x v="1"/>
    <n v="87.87"/>
    <n v="9"/>
    <n v="39.541499999999999"/>
    <n v="830.37149999999997"/>
    <s v="1/31/2019"/>
    <d v="1899-12-30T20:32:00"/>
    <s v="Ewallet"/>
    <n v="790.83"/>
    <n v="4.7619047620000003"/>
    <n v="39.541499999999999"/>
    <n v="5.6"/>
    <d v="2019-01-31T00:00:00"/>
    <x v="0"/>
    <x v="2"/>
  </r>
  <r>
    <s v="629-42-4133"/>
    <x v="1"/>
    <x v="1"/>
    <x v="1"/>
    <s v="Male"/>
    <x v="0"/>
    <n v="21.8"/>
    <n v="8"/>
    <n v="8.7200000000000006"/>
    <n v="183.12"/>
    <s v="2/19/2019"/>
    <d v="1899-12-30T19:24:00"/>
    <s v="Cash"/>
    <n v="174.4"/>
    <n v="4.7619047620000003"/>
    <n v="8.7200000000000006"/>
    <n v="8.3000000000000007"/>
    <d v="2019-02-19T00:00:00"/>
    <x v="2"/>
    <x v="8"/>
  </r>
  <r>
    <s v="534-53-3526"/>
    <x v="0"/>
    <x v="0"/>
    <x v="1"/>
    <s v="Female"/>
    <x v="3"/>
    <n v="94.76"/>
    <n v="4"/>
    <n v="18.952000000000002"/>
    <n v="397.99200000000002"/>
    <d v="2019-11-02T00:00:00"/>
    <d v="1899-12-30T16:06:00"/>
    <s v="Ewallet"/>
    <n v="379.04"/>
    <n v="4.7619047620000003"/>
    <n v="18.952000000000002"/>
    <n v="7.8"/>
    <d v="2019-02-11T00:00:00"/>
    <x v="2"/>
    <x v="7"/>
  </r>
  <r>
    <s v="307-04-2070"/>
    <x v="0"/>
    <x v="0"/>
    <x v="0"/>
    <s v="Female"/>
    <x v="5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n v="4.0999999999999996"/>
    <d v="2019-02-05T00:00:00"/>
    <x v="2"/>
    <x v="4"/>
  </r>
  <r>
    <s v="468-99-7231"/>
    <x v="1"/>
    <x v="1"/>
    <x v="1"/>
    <s v="Female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  <d v="2019-03-03T00:00:00"/>
    <x v="1"/>
    <x v="6"/>
  </r>
  <r>
    <s v="516-77-6464"/>
    <x v="1"/>
    <x v="1"/>
    <x v="0"/>
    <s v="Female"/>
    <x v="0"/>
    <n v="10.16"/>
    <n v="5"/>
    <n v="2.54"/>
    <n v="53.34"/>
    <s v="2/24/2019"/>
    <d v="1899-12-30T13:08:00"/>
    <s v="Ewallet"/>
    <n v="50.8"/>
    <n v="4.7619047620000003"/>
    <n v="2.54"/>
    <n v="4.0999999999999996"/>
    <d v="2019-02-24T00:00:00"/>
    <x v="2"/>
    <x v="0"/>
  </r>
  <r>
    <s v="404-91-5964"/>
    <x v="0"/>
    <x v="0"/>
    <x v="1"/>
    <s v="Male"/>
    <x v="1"/>
    <n v="74.58"/>
    <n v="7"/>
    <n v="26.103000000000002"/>
    <n v="548.16300000000001"/>
    <d v="2019-04-02T00:00:00"/>
    <d v="1899-12-30T16:09:00"/>
    <s v="Credit card"/>
    <n v="522.05999999999995"/>
    <n v="4.7619047620000003"/>
    <n v="26.103000000000002"/>
    <n v="9"/>
    <d v="2019-02-04T00:00:00"/>
    <x v="2"/>
    <x v="7"/>
  </r>
  <r>
    <s v="886-77-9084"/>
    <x v="1"/>
    <x v="1"/>
    <x v="1"/>
    <s v="Male"/>
    <x v="1"/>
    <n v="71.89"/>
    <n v="8"/>
    <n v="28.756"/>
    <n v="603.87599999999998"/>
    <s v="2/19/2019"/>
    <d v="1899-12-30T11:33:00"/>
    <s v="Ewallet"/>
    <n v="575.12"/>
    <n v="4.7619047620000003"/>
    <n v="28.756"/>
    <n v="5.5"/>
    <d v="2019-02-19T00:00:00"/>
    <x v="2"/>
    <x v="5"/>
  </r>
  <r>
    <s v="790-38-4466"/>
    <x v="1"/>
    <x v="1"/>
    <x v="1"/>
    <s v="Female"/>
    <x v="0"/>
    <n v="10.99"/>
    <n v="5"/>
    <n v="2.7475000000000001"/>
    <n v="57.697499999999998"/>
    <s v="1/23/2019"/>
    <d v="1899-12-30T10:18:00"/>
    <s v="Credit card"/>
    <n v="54.95"/>
    <n v="4.7619047620000003"/>
    <n v="2.7475000000000001"/>
    <n v="9.3000000000000007"/>
    <d v="2019-01-23T00:00:00"/>
    <x v="0"/>
    <x v="1"/>
  </r>
  <r>
    <s v="704-10-4056"/>
    <x v="1"/>
    <x v="1"/>
    <x v="0"/>
    <s v="Male"/>
    <x v="0"/>
    <n v="60.47"/>
    <n v="3"/>
    <n v="9.0704999999999991"/>
    <n v="190.48050000000001"/>
    <s v="1/14/2019"/>
    <d v="1899-12-30T10:55:00"/>
    <s v="Credit card"/>
    <n v="181.41"/>
    <n v="4.7619047620000003"/>
    <n v="9.0704999999999991"/>
    <n v="5.6"/>
    <d v="2019-01-14T00:00:00"/>
    <x v="0"/>
    <x v="1"/>
  </r>
  <r>
    <s v="497-37-6538"/>
    <x v="0"/>
    <x v="0"/>
    <x v="1"/>
    <s v="Male"/>
    <x v="3"/>
    <n v="58.91"/>
    <n v="7"/>
    <n v="20.618500000000001"/>
    <n v="432.98849999999999"/>
    <s v="1/17/2019"/>
    <d v="1899-12-30T15:15:00"/>
    <s v="Ewallet"/>
    <n v="412.37"/>
    <n v="4.7619047620000003"/>
    <n v="20.618500000000001"/>
    <n v="9.6999999999999993"/>
    <d v="2019-01-17T00:00:00"/>
    <x v="0"/>
    <x v="9"/>
  </r>
  <r>
    <s v="651-96-5970"/>
    <x v="0"/>
    <x v="0"/>
    <x v="1"/>
    <s v="Male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  <d v="2019-03-03T00:00:00"/>
    <x v="1"/>
    <x v="2"/>
  </r>
  <r>
    <s v="400-80-4065"/>
    <x v="1"/>
    <x v="1"/>
    <x v="0"/>
    <s v="Male"/>
    <x v="0"/>
    <n v="68.55"/>
    <n v="4"/>
    <n v="13.71"/>
    <n v="287.91000000000003"/>
    <s v="2/15/2019"/>
    <d v="1899-12-30T20:21:00"/>
    <s v="Credit card"/>
    <n v="274.2"/>
    <n v="4.7619047620000003"/>
    <n v="13.71"/>
    <n v="9.1999999999999993"/>
    <d v="2019-02-15T00:00:00"/>
    <x v="2"/>
    <x v="2"/>
  </r>
  <r>
    <s v="744-16-7898"/>
    <x v="2"/>
    <x v="2"/>
    <x v="1"/>
    <s v="Female"/>
    <x v="2"/>
    <n v="97.37"/>
    <n v="10"/>
    <n v="48.685000000000002"/>
    <n v="1022.385"/>
    <s v="1/15/2019"/>
    <d v="1899-12-30T13:48:00"/>
    <s v="Credit card"/>
    <n v="973.7"/>
    <n v="4.7619047620000003"/>
    <n v="48.685000000000002"/>
    <n v="4.9000000000000004"/>
    <d v="2019-01-15T00:00:00"/>
    <x v="0"/>
    <x v="0"/>
  </r>
  <r>
    <s v="263-12-5321"/>
    <x v="0"/>
    <x v="0"/>
    <x v="0"/>
    <s v="Male"/>
    <x v="1"/>
    <n v="92.6"/>
    <n v="7"/>
    <n v="32.409999999999997"/>
    <n v="680.61"/>
    <s v="2/27/2019"/>
    <d v="1899-12-30T12:52:00"/>
    <s v="Credit card"/>
    <n v="648.20000000000005"/>
    <n v="4.7619047620000003"/>
    <n v="32.409999999999997"/>
    <n v="9.3000000000000007"/>
    <d v="2019-02-27T00:00:00"/>
    <x v="2"/>
    <x v="10"/>
  </r>
  <r>
    <s v="702-72-0487"/>
    <x v="0"/>
    <x v="0"/>
    <x v="1"/>
    <s v="Female"/>
    <x v="1"/>
    <n v="46.61"/>
    <n v="2"/>
    <n v="4.6609999999999996"/>
    <n v="97.881"/>
    <s v="2/26/2019"/>
    <d v="1899-12-30T12:28:00"/>
    <s v="Credit card"/>
    <n v="93.22"/>
    <n v="4.7619047620000003"/>
    <n v="4.6609999999999996"/>
    <n v="6.6"/>
    <d v="2019-02-26T00:00:00"/>
    <x v="2"/>
    <x v="10"/>
  </r>
  <r>
    <s v="605-83-1050"/>
    <x v="2"/>
    <x v="2"/>
    <x v="1"/>
    <s v="Male"/>
    <x v="5"/>
    <n v="27.18"/>
    <n v="2"/>
    <n v="2.718"/>
    <n v="57.078000000000003"/>
    <s v="3/15/2019"/>
    <d v="1899-12-30T16:26:00"/>
    <s v="Ewallet"/>
    <n v="54.36"/>
    <n v="4.7619047620000003"/>
    <n v="2.718"/>
    <n v="4.3"/>
    <d v="2019-03-15T00:00:00"/>
    <x v="1"/>
    <x v="7"/>
  </r>
  <r>
    <s v="443-60-9639"/>
    <x v="1"/>
    <x v="1"/>
    <x v="0"/>
    <s v="Female"/>
    <x v="2"/>
    <n v="60.87"/>
    <n v="1"/>
    <n v="3.0434999999999999"/>
    <n v="63.913499999999999"/>
    <s v="1/24/2019"/>
    <d v="1899-12-30T13:24:00"/>
    <s v="Cash"/>
    <n v="60.87"/>
    <n v="4.7619047620000003"/>
    <n v="3.0434999999999999"/>
    <n v="5.5"/>
    <d v="2019-01-24T00:00:00"/>
    <x v="0"/>
    <x v="0"/>
  </r>
  <r>
    <s v="864-24-7918"/>
    <x v="0"/>
    <x v="0"/>
    <x v="0"/>
    <s v="Female"/>
    <x v="3"/>
    <n v="24.49"/>
    <n v="10"/>
    <n v="12.244999999999999"/>
    <n v="257.14499999999998"/>
    <s v="2/22/2019"/>
    <d v="1899-12-30T15:15:00"/>
    <s v="Cash"/>
    <n v="244.9"/>
    <n v="4.7619047620000003"/>
    <n v="12.244999999999999"/>
    <n v="8.1"/>
    <d v="2019-02-22T00:00:00"/>
    <x v="2"/>
    <x v="9"/>
  </r>
  <r>
    <s v="359-94-5395"/>
    <x v="2"/>
    <x v="2"/>
    <x v="1"/>
    <s v="Male"/>
    <x v="0"/>
    <n v="92.78"/>
    <n v="1"/>
    <n v="4.6390000000000002"/>
    <n v="97.418999999999997"/>
    <s v="3/15/2019"/>
    <d v="1899-12-30T10:50:00"/>
    <s v="Credit card"/>
    <n v="92.78"/>
    <n v="4.7619047620000003"/>
    <n v="4.6390000000000002"/>
    <n v="9.8000000000000007"/>
    <d v="2019-03-15T00:00:00"/>
    <x v="1"/>
    <x v="1"/>
  </r>
  <r>
    <s v="401-09-4232"/>
    <x v="1"/>
    <x v="1"/>
    <x v="0"/>
    <s v="Male"/>
    <x v="2"/>
    <n v="86.69"/>
    <n v="5"/>
    <n v="21.672499999999999"/>
    <n v="455.1225"/>
    <d v="2019-11-02T00:00:00"/>
    <d v="1899-12-30T18:38:00"/>
    <s v="Ewallet"/>
    <n v="433.45"/>
    <n v="4.7619047620000003"/>
    <n v="21.672499999999999"/>
    <n v="9.4"/>
    <d v="2019-02-11T00:00:00"/>
    <x v="2"/>
    <x v="3"/>
  </r>
  <r>
    <s v="751-15-6198"/>
    <x v="2"/>
    <x v="2"/>
    <x v="1"/>
    <s v="Male"/>
    <x v="3"/>
    <n v="23.01"/>
    <n v="6"/>
    <n v="6.9029999999999996"/>
    <n v="144.96299999999999"/>
    <d v="2019-12-01T00:00:00"/>
    <d v="1899-12-30T16:45:00"/>
    <s v="Ewallet"/>
    <n v="138.06"/>
    <n v="4.7619047620000003"/>
    <n v="6.9029999999999996"/>
    <n v="7.9"/>
    <d v="2019-01-12T00:00:00"/>
    <x v="0"/>
    <x v="7"/>
  </r>
  <r>
    <s v="324-41-6833"/>
    <x v="1"/>
    <x v="1"/>
    <x v="0"/>
    <s v="Female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  <d v="2019-03-03T00:00:00"/>
    <x v="1"/>
    <x v="8"/>
  </r>
  <r>
    <s v="474-33-8305"/>
    <x v="1"/>
    <x v="1"/>
    <x v="0"/>
    <s v="Male"/>
    <x v="5"/>
    <n v="67.39"/>
    <n v="7"/>
    <n v="23.586500000000001"/>
    <n v="495.31650000000002"/>
    <s v="3/23/2019"/>
    <d v="1899-12-30T13:23:00"/>
    <s v="Ewallet"/>
    <n v="471.73"/>
    <n v="4.7619047620000003"/>
    <n v="23.586500000000001"/>
    <n v="6.9"/>
    <d v="2019-03-23T00:00:00"/>
    <x v="1"/>
    <x v="0"/>
  </r>
  <r>
    <s v="759-29-9521"/>
    <x v="0"/>
    <x v="0"/>
    <x v="0"/>
    <s v="Female"/>
    <x v="5"/>
    <n v="48.96"/>
    <n v="9"/>
    <n v="22.032"/>
    <n v="462.67200000000003"/>
    <d v="2019-04-03T00:00:00"/>
    <d v="1899-12-30T11:27:00"/>
    <s v="Cash"/>
    <n v="440.64"/>
    <n v="4.7619047620000003"/>
    <n v="22.032"/>
    <n v="8"/>
    <d v="2019-03-04T00:00:00"/>
    <x v="1"/>
    <x v="5"/>
  </r>
  <r>
    <s v="831-81-6575"/>
    <x v="2"/>
    <x v="2"/>
    <x v="0"/>
    <s v="Female"/>
    <x v="1"/>
    <n v="75.59"/>
    <n v="9"/>
    <n v="34.015500000000003"/>
    <n v="714.32550000000003"/>
    <s v="2/23/2019"/>
    <d v="1899-12-30T11:12:00"/>
    <s v="Cash"/>
    <n v="680.31"/>
    <n v="4.7619047620000003"/>
    <n v="34.015500000000003"/>
    <n v="8"/>
    <d v="2019-02-23T00:00:00"/>
    <x v="2"/>
    <x v="5"/>
  </r>
  <r>
    <s v="220-68-6701"/>
    <x v="0"/>
    <x v="0"/>
    <x v="1"/>
    <s v="Female"/>
    <x v="2"/>
    <n v="77.47"/>
    <n v="4"/>
    <n v="15.494"/>
    <n v="325.37400000000002"/>
    <s v="3/17/2019"/>
    <d v="1899-12-30T16:36:00"/>
    <s v="Cash"/>
    <n v="309.88"/>
    <n v="4.7619047620000003"/>
    <n v="15.494"/>
    <n v="4.2"/>
    <d v="2019-03-17T00:00:00"/>
    <x v="1"/>
    <x v="7"/>
  </r>
  <r>
    <s v="618-34-8551"/>
    <x v="0"/>
    <x v="0"/>
    <x v="1"/>
    <s v="Female"/>
    <x v="3"/>
    <n v="93.18"/>
    <n v="2"/>
    <n v="9.3179999999999996"/>
    <n v="195.678"/>
    <s v="1/16/2019"/>
    <d v="1899-12-30T18:41:00"/>
    <s v="Credit card"/>
    <n v="186.36"/>
    <n v="4.7619047620000003"/>
    <n v="9.3179999999999996"/>
    <n v="8.5"/>
    <d v="2019-01-16T00:00:00"/>
    <x v="0"/>
    <x v="3"/>
  </r>
  <r>
    <s v="257-60-7754"/>
    <x v="0"/>
    <x v="0"/>
    <x v="1"/>
    <s v="Female"/>
    <x v="1"/>
    <n v="50.23"/>
    <n v="4"/>
    <n v="10.045999999999999"/>
    <n v="210.96600000000001"/>
    <d v="2019-08-01T00:00:00"/>
    <d v="1899-12-30T17:12:00"/>
    <s v="Cash"/>
    <n v="200.92"/>
    <n v="4.7619047620000003"/>
    <n v="10.045999999999999"/>
    <n v="9"/>
    <d v="2019-01-08T00:00:00"/>
    <x v="0"/>
    <x v="6"/>
  </r>
  <r>
    <s v="559-61-5987"/>
    <x v="2"/>
    <x v="2"/>
    <x v="1"/>
    <s v="Female"/>
    <x v="0"/>
    <n v="17.75"/>
    <n v="1"/>
    <n v="0.88749999999999996"/>
    <n v="18.637499999999999"/>
    <s v="1/14/2019"/>
    <d v="1899-12-30T10:38:00"/>
    <s v="Cash"/>
    <n v="17.75"/>
    <n v="4.7619047620000003"/>
    <n v="0.88749999999999996"/>
    <n v="8.6"/>
    <d v="2019-01-14T00:00:00"/>
    <x v="0"/>
    <x v="1"/>
  </r>
  <r>
    <s v="189-55-2313"/>
    <x v="1"/>
    <x v="1"/>
    <x v="1"/>
    <s v="Female"/>
    <x v="5"/>
    <n v="62.18"/>
    <n v="10"/>
    <n v="31.09"/>
    <n v="652.89"/>
    <s v="1/31/2019"/>
    <d v="1899-12-30T10:33:00"/>
    <s v="Ewallet"/>
    <n v="621.79999999999995"/>
    <n v="4.7619047620000003"/>
    <n v="31.09"/>
    <n v="6"/>
    <d v="2019-01-31T00:00:00"/>
    <x v="0"/>
    <x v="1"/>
  </r>
  <r>
    <s v="565-91-4567"/>
    <x v="2"/>
    <x v="2"/>
    <x v="1"/>
    <s v="Male"/>
    <x v="0"/>
    <n v="10.75"/>
    <n v="8"/>
    <n v="4.3"/>
    <n v="90.3"/>
    <s v="3/15/2019"/>
    <d v="1899-12-30T14:38:00"/>
    <s v="Ewallet"/>
    <n v="86"/>
    <n v="4.7619047620000003"/>
    <n v="4.3"/>
    <n v="6.2"/>
    <d v="2019-03-15T00:00:00"/>
    <x v="1"/>
    <x v="4"/>
  </r>
  <r>
    <s v="380-60-5336"/>
    <x v="0"/>
    <x v="0"/>
    <x v="1"/>
    <s v="Female"/>
    <x v="1"/>
    <n v="40.26"/>
    <n v="10"/>
    <n v="20.13"/>
    <n v="422.73"/>
    <s v="2/24/2019"/>
    <d v="1899-12-30T18:06:00"/>
    <s v="Credit card"/>
    <n v="402.6"/>
    <n v="4.7619047620000003"/>
    <n v="20.13"/>
    <n v="5"/>
    <d v="2019-02-24T00:00:00"/>
    <x v="2"/>
    <x v="3"/>
  </r>
  <r>
    <s v="815-04-6282"/>
    <x v="1"/>
    <x v="1"/>
    <x v="0"/>
    <s v="Female"/>
    <x v="3"/>
    <n v="64.97"/>
    <n v="5"/>
    <n v="16.2425"/>
    <n v="341.09249999999997"/>
    <d v="2019-08-02T00:00:00"/>
    <d v="1899-12-30T12:52:00"/>
    <s v="Credit card"/>
    <n v="324.85000000000002"/>
    <n v="4.7619047620000003"/>
    <n v="16.2425"/>
    <n v="6.5"/>
    <d v="2019-02-08T00:00:00"/>
    <x v="2"/>
    <x v="10"/>
  </r>
  <r>
    <s v="674-56-6360"/>
    <x v="0"/>
    <x v="0"/>
    <x v="1"/>
    <s v="Male"/>
    <x v="1"/>
    <n v="95.15"/>
    <n v="1"/>
    <n v="4.7575000000000003"/>
    <n v="99.907499999999999"/>
    <s v="3/22/2019"/>
    <d v="1899-12-30T14:00:00"/>
    <s v="Cash"/>
    <n v="95.15"/>
    <n v="4.7619047620000003"/>
    <n v="4.7575000000000003"/>
    <n v="6"/>
    <d v="2019-03-22T00:00:00"/>
    <x v="1"/>
    <x v="4"/>
  </r>
  <r>
    <s v="778-34-2523"/>
    <x v="0"/>
    <x v="0"/>
    <x v="0"/>
    <s v="Female"/>
    <x v="1"/>
    <n v="48.62"/>
    <n v="8"/>
    <n v="19.448"/>
    <n v="408.40800000000002"/>
    <s v="1/24/2019"/>
    <d v="1899-12-30T10:57:00"/>
    <s v="Cash"/>
    <n v="388.96"/>
    <n v="4.7619047620000003"/>
    <n v="19.448"/>
    <n v="5"/>
    <d v="2019-01-24T00:00:00"/>
    <x v="0"/>
    <x v="1"/>
  </r>
  <r>
    <s v="499-27-7781"/>
    <x v="2"/>
    <x v="2"/>
    <x v="1"/>
    <s v="Female"/>
    <x v="4"/>
    <n v="53.21"/>
    <n v="8"/>
    <n v="21.283999999999999"/>
    <n v="446.964"/>
    <s v="3/14/2019"/>
    <d v="1899-12-30T16:45:00"/>
    <s v="Ewallet"/>
    <n v="425.68"/>
    <n v="4.7619047620000003"/>
    <n v="21.283999999999999"/>
    <n v="5"/>
    <d v="2019-03-14T00:00:00"/>
    <x v="1"/>
    <x v="7"/>
  </r>
  <r>
    <s v="477-59-2456"/>
    <x v="1"/>
    <x v="1"/>
    <x v="1"/>
    <s v="Female"/>
    <x v="5"/>
    <n v="45.44"/>
    <n v="7"/>
    <n v="15.904"/>
    <n v="333.98399999999998"/>
    <s v="1/23/2019"/>
    <d v="1899-12-30T11:15:00"/>
    <s v="Cash"/>
    <n v="318.08"/>
    <n v="4.7619047620000003"/>
    <n v="15.904"/>
    <n v="9.1999999999999993"/>
    <d v="2019-01-23T00:00:00"/>
    <x v="0"/>
    <x v="5"/>
  </r>
  <r>
    <s v="832-51-6761"/>
    <x v="0"/>
    <x v="0"/>
    <x v="1"/>
    <s v="Male"/>
    <x v="4"/>
    <n v="33.880000000000003"/>
    <n v="8"/>
    <n v="13.552"/>
    <n v="284.59199999999998"/>
    <s v="1/19/2019"/>
    <d v="1899-12-30T20:29:00"/>
    <s v="Ewallet"/>
    <n v="271.04000000000002"/>
    <n v="4.7619047620000003"/>
    <n v="13.552"/>
    <n v="9.6"/>
    <d v="2019-01-19T00:00:00"/>
    <x v="0"/>
    <x v="2"/>
  </r>
  <r>
    <s v="869-11-3082"/>
    <x v="2"/>
    <x v="2"/>
    <x v="0"/>
    <s v="Male"/>
    <x v="0"/>
    <n v="96.16"/>
    <n v="4"/>
    <n v="19.231999999999999"/>
    <n v="403.87200000000001"/>
    <s v="1/27/2019"/>
    <d v="1899-12-30T20:03:00"/>
    <s v="Credit card"/>
    <n v="384.64"/>
    <n v="4.7619047620000003"/>
    <n v="19.231999999999999"/>
    <n v="8.4"/>
    <d v="2019-01-27T00:00:00"/>
    <x v="0"/>
    <x v="2"/>
  </r>
  <r>
    <s v="190-59-3964"/>
    <x v="2"/>
    <x v="2"/>
    <x v="0"/>
    <s v="Male"/>
    <x v="4"/>
    <n v="47.16"/>
    <n v="5"/>
    <n v="11.79"/>
    <n v="247.59"/>
    <d v="2019-03-02T00:00:00"/>
    <d v="1899-12-30T14:35:00"/>
    <s v="Credit card"/>
    <n v="235.8"/>
    <n v="4.7619047620000003"/>
    <n v="11.79"/>
    <n v="6"/>
    <d v="2019-02-03T00:00:00"/>
    <x v="2"/>
    <x v="4"/>
  </r>
  <r>
    <s v="366-43-6862"/>
    <x v="2"/>
    <x v="2"/>
    <x v="1"/>
    <s v="Male"/>
    <x v="1"/>
    <n v="52.89"/>
    <n v="4"/>
    <n v="10.577999999999999"/>
    <n v="222.13800000000001"/>
    <s v="3/25/2019"/>
    <d v="1899-12-30T16:32:00"/>
    <s v="Ewallet"/>
    <n v="211.56"/>
    <n v="4.7619047620000003"/>
    <n v="10.577999999999999"/>
    <n v="6.7"/>
    <d v="2019-03-25T00:00:00"/>
    <x v="1"/>
    <x v="7"/>
  </r>
  <r>
    <s v="186-43-8965"/>
    <x v="0"/>
    <x v="0"/>
    <x v="0"/>
    <s v="Female"/>
    <x v="2"/>
    <n v="47.68"/>
    <n v="2"/>
    <n v="4.7679999999999998"/>
    <n v="100.128"/>
    <s v="2/24/2019"/>
    <d v="1899-12-30T10:10:00"/>
    <s v="Credit card"/>
    <n v="95.36"/>
    <n v="4.7619047620000003"/>
    <n v="4.7679999999999998"/>
    <n v="4.0999999999999996"/>
    <d v="2019-02-24T00:00:00"/>
    <x v="2"/>
    <x v="1"/>
  </r>
  <r>
    <s v="784-21-9238"/>
    <x v="1"/>
    <x v="1"/>
    <x v="0"/>
    <s v="Male"/>
    <x v="3"/>
    <n v="10.17"/>
    <n v="1"/>
    <n v="0.50849999999999995"/>
    <n v="10.6785"/>
    <d v="2019-07-02T00:00:00"/>
    <d v="1899-12-30T14:15:00"/>
    <s v="Cash"/>
    <n v="10.17"/>
    <n v="4.7619047620000003"/>
    <n v="0.50849999999999995"/>
    <n v="5.9"/>
    <d v="2019-02-07T00:00:00"/>
    <x v="2"/>
    <x v="4"/>
  </r>
  <r>
    <s v="276-75-6884"/>
    <x v="0"/>
    <x v="0"/>
    <x v="1"/>
    <s v="Female"/>
    <x v="0"/>
    <n v="68.709999999999994"/>
    <n v="3"/>
    <n v="10.3065"/>
    <n v="216.4365"/>
    <d v="2019-04-03T00:00:00"/>
    <d v="1899-12-30T10:05:00"/>
    <s v="Cash"/>
    <n v="206.13"/>
    <n v="4.7619047620000003"/>
    <n v="10.3065"/>
    <n v="8.6999999999999993"/>
    <d v="2019-03-04T00:00:00"/>
    <x v="1"/>
    <x v="1"/>
  </r>
  <r>
    <s v="109-86-4363"/>
    <x v="2"/>
    <x v="2"/>
    <x v="0"/>
    <s v="Female"/>
    <x v="3"/>
    <n v="60.08"/>
    <n v="7"/>
    <n v="21.027999999999999"/>
    <n v="441.58800000000002"/>
    <s v="2/14/2019"/>
    <d v="1899-12-30T11:36:00"/>
    <s v="Credit card"/>
    <n v="420.56"/>
    <n v="4.7619047620000003"/>
    <n v="21.027999999999999"/>
    <n v="4.5"/>
    <d v="2019-02-14T00:00:00"/>
    <x v="2"/>
    <x v="5"/>
  </r>
  <r>
    <s v="569-76-2760"/>
    <x v="0"/>
    <x v="0"/>
    <x v="0"/>
    <s v="Female"/>
    <x v="3"/>
    <n v="22.01"/>
    <n v="4"/>
    <n v="4.4020000000000001"/>
    <n v="92.441999999999993"/>
    <s v="1/29/2019"/>
    <d v="1899-12-30T18:15:00"/>
    <s v="Credit card"/>
    <n v="88.04"/>
    <n v="4.7619047620000003"/>
    <n v="4.4020000000000001"/>
    <n v="6.6"/>
    <d v="2019-01-29T00:00:00"/>
    <x v="0"/>
    <x v="3"/>
  </r>
  <r>
    <s v="222-42-0244"/>
    <x v="2"/>
    <x v="2"/>
    <x v="0"/>
    <s v="Female"/>
    <x v="0"/>
    <n v="72.11"/>
    <n v="9"/>
    <n v="32.4495"/>
    <n v="681.43949999999995"/>
    <s v="1/28/2019"/>
    <d v="1899-12-30T13:53:00"/>
    <s v="Credit card"/>
    <n v="648.99"/>
    <n v="4.7619047620000003"/>
    <n v="32.4495"/>
    <n v="7.7"/>
    <d v="2019-01-28T00:00:00"/>
    <x v="0"/>
    <x v="0"/>
  </r>
  <r>
    <s v="760-53-9233"/>
    <x v="0"/>
    <x v="0"/>
    <x v="0"/>
    <s v="Male"/>
    <x v="5"/>
    <n v="41.28"/>
    <n v="3"/>
    <n v="6.1920000000000002"/>
    <n v="130.03200000000001"/>
    <s v="3/26/2019"/>
    <d v="1899-12-30T18:37:00"/>
    <s v="Credit card"/>
    <n v="123.84"/>
    <n v="4.7619047620000003"/>
    <n v="6.1920000000000002"/>
    <n v="8.5"/>
    <d v="2019-03-26T00:00:00"/>
    <x v="1"/>
    <x v="3"/>
  </r>
  <r>
    <s v="538-22-0304"/>
    <x v="1"/>
    <x v="1"/>
    <x v="1"/>
    <s v="Male"/>
    <x v="1"/>
    <n v="64.95"/>
    <n v="10"/>
    <n v="32.475000000000001"/>
    <n v="681.97500000000002"/>
    <s v="3/24/2019"/>
    <d v="1899-12-30T18:27:00"/>
    <s v="Cash"/>
    <n v="649.5"/>
    <n v="4.7619047620000003"/>
    <n v="32.475000000000001"/>
    <n v="5.2"/>
    <d v="2019-03-24T00:00:00"/>
    <x v="1"/>
    <x v="3"/>
  </r>
  <r>
    <s v="416-17-9926"/>
    <x v="0"/>
    <x v="0"/>
    <x v="0"/>
    <s v="Female"/>
    <x v="1"/>
    <n v="74.22"/>
    <n v="10"/>
    <n v="37.11"/>
    <n v="779.31"/>
    <d v="2019-01-01T00:00:00"/>
    <d v="1899-12-30T14:42:00"/>
    <s v="Credit card"/>
    <n v="742.2"/>
    <n v="4.7619047620000003"/>
    <n v="37.11"/>
    <n v="4.3"/>
    <d v="2019-01-01T00:00:00"/>
    <x v="0"/>
    <x v="4"/>
  </r>
  <r>
    <s v="237-44-6163"/>
    <x v="0"/>
    <x v="0"/>
    <x v="1"/>
    <s v="Male"/>
    <x v="1"/>
    <n v="10.56"/>
    <n v="8"/>
    <n v="4.2240000000000002"/>
    <n v="88.703999999999994"/>
    <s v="1/24/2019"/>
    <d v="1899-12-30T17:43:00"/>
    <s v="Cash"/>
    <n v="84.48"/>
    <n v="4.7619047620000003"/>
    <n v="4.2240000000000002"/>
    <n v="7.6"/>
    <d v="2019-01-24T00:00:00"/>
    <x v="0"/>
    <x v="6"/>
  </r>
  <r>
    <s v="636-17-0325"/>
    <x v="2"/>
    <x v="2"/>
    <x v="1"/>
    <s v="Male"/>
    <x v="0"/>
    <n v="62.57"/>
    <n v="4"/>
    <n v="12.513999999999999"/>
    <n v="262.79399999999998"/>
    <s v="2/25/2019"/>
    <d v="1899-12-30T18:37:00"/>
    <s v="Cash"/>
    <n v="250.28"/>
    <n v="4.7619047620000003"/>
    <n v="12.513999999999999"/>
    <n v="9.5"/>
    <d v="2019-02-25T00:00:00"/>
    <x v="2"/>
    <x v="3"/>
  </r>
  <r>
    <s v="343-75-9322"/>
    <x v="2"/>
    <x v="2"/>
    <x v="0"/>
    <s v="Female"/>
    <x v="3"/>
    <n v="11.85"/>
    <n v="8"/>
    <n v="4.74"/>
    <n v="99.54"/>
    <d v="2019-09-01T00:00:00"/>
    <d v="1899-12-30T16:34:00"/>
    <s v="Cash"/>
    <n v="94.8"/>
    <n v="4.7619047620000003"/>
    <n v="4.74"/>
    <n v="4.0999999999999996"/>
    <d v="2019-01-09T00:00:00"/>
    <x v="0"/>
    <x v="7"/>
  </r>
  <r>
    <s v="528-14-9470"/>
    <x v="0"/>
    <x v="0"/>
    <x v="0"/>
    <s v="Male"/>
    <x v="0"/>
    <n v="91.3"/>
    <n v="1"/>
    <n v="4.5650000000000004"/>
    <n v="95.864999999999995"/>
    <s v="2/14/2019"/>
    <d v="1899-12-30T14:42:00"/>
    <s v="Ewallet"/>
    <n v="91.3"/>
    <n v="4.7619047620000003"/>
    <n v="4.5650000000000004"/>
    <n v="9.1999999999999993"/>
    <d v="2019-02-14T00:00:00"/>
    <x v="2"/>
    <x v="4"/>
  </r>
  <r>
    <s v="427-45-9297"/>
    <x v="2"/>
    <x v="2"/>
    <x v="0"/>
    <s v="Female"/>
    <x v="2"/>
    <n v="40.729999999999997"/>
    <n v="7"/>
    <n v="14.2555"/>
    <n v="299.3655"/>
    <d v="2019-12-03T00:00:00"/>
    <d v="1899-12-30T11:01:00"/>
    <s v="Ewallet"/>
    <n v="285.11"/>
    <n v="4.7619047620000003"/>
    <n v="14.2555"/>
    <n v="5.4"/>
    <d v="2019-03-12T00:00:00"/>
    <x v="1"/>
    <x v="5"/>
  </r>
  <r>
    <s v="807-34-3742"/>
    <x v="0"/>
    <x v="0"/>
    <x v="1"/>
    <s v="Male"/>
    <x v="5"/>
    <n v="52.38"/>
    <n v="1"/>
    <n v="2.6190000000000002"/>
    <n v="54.999000000000002"/>
    <s v="3/26/2019"/>
    <d v="1899-12-30T19:44:00"/>
    <s v="Cash"/>
    <n v="52.38"/>
    <n v="4.7619047620000003"/>
    <n v="2.6190000000000002"/>
    <n v="5.8"/>
    <d v="2019-03-26T00:00:00"/>
    <x v="1"/>
    <x v="8"/>
  </r>
  <r>
    <s v="288-62-1085"/>
    <x v="0"/>
    <x v="0"/>
    <x v="0"/>
    <s v="Male"/>
    <x v="5"/>
    <n v="38.54"/>
    <n v="5"/>
    <n v="9.6349999999999998"/>
    <n v="202.33500000000001"/>
    <d v="2019-09-01T00:00:00"/>
    <d v="1899-12-30T13:34:00"/>
    <s v="Ewallet"/>
    <n v="192.7"/>
    <n v="4.7619047620000003"/>
    <n v="9.6349999999999998"/>
    <n v="5.6"/>
    <d v="2019-01-09T00:00:00"/>
    <x v="0"/>
    <x v="0"/>
  </r>
  <r>
    <s v="670-71-7306"/>
    <x v="2"/>
    <x v="2"/>
    <x v="1"/>
    <s v="Male"/>
    <x v="3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n v="5.0999999999999996"/>
    <d v="2019-01-02T00:00:00"/>
    <x v="0"/>
    <x v="2"/>
  </r>
  <r>
    <s v="660-29-7083"/>
    <x v="1"/>
    <x v="1"/>
    <x v="1"/>
    <s v="Male"/>
    <x v="1"/>
    <n v="55.87"/>
    <n v="10"/>
    <n v="27.934999999999999"/>
    <n v="586.63499999999999"/>
    <s v="1/15/2019"/>
    <d v="1899-12-30T15:01:00"/>
    <s v="Cash"/>
    <n v="558.70000000000005"/>
    <n v="4.7619047620000003"/>
    <n v="27.934999999999999"/>
    <n v="5.8"/>
    <d v="2019-01-15T00:00:00"/>
    <x v="0"/>
    <x v="9"/>
  </r>
  <r>
    <s v="271-77-8740"/>
    <x v="1"/>
    <x v="1"/>
    <x v="0"/>
    <s v="Female"/>
    <x v="3"/>
    <n v="29.22"/>
    <n v="6"/>
    <n v="8.766"/>
    <n v="184.08600000000001"/>
    <d v="2019-01-01T00:00:00"/>
    <d v="1899-12-30T11:40:00"/>
    <s v="Ewallet"/>
    <n v="175.32"/>
    <n v="4.7619047620000003"/>
    <n v="8.766"/>
    <n v="5"/>
    <d v="2019-01-01T00:00:00"/>
    <x v="0"/>
    <x v="5"/>
  </r>
  <r>
    <s v="497-36-0989"/>
    <x v="0"/>
    <x v="0"/>
    <x v="1"/>
    <s v="Male"/>
    <x v="5"/>
    <n v="51.94"/>
    <n v="3"/>
    <n v="7.7910000000000004"/>
    <n v="163.61099999999999"/>
    <s v="2/15/2019"/>
    <d v="1899-12-30T15:21:00"/>
    <s v="Cash"/>
    <n v="155.82"/>
    <n v="4.7619047620000003"/>
    <n v="7.7910000000000004"/>
    <n v="7.9"/>
    <d v="2019-02-15T00:00:00"/>
    <x v="2"/>
    <x v="9"/>
  </r>
  <r>
    <s v="291-59-1384"/>
    <x v="2"/>
    <x v="2"/>
    <x v="1"/>
    <s v="Male"/>
    <x v="1"/>
    <n v="60.3"/>
    <n v="1"/>
    <n v="3.0150000000000001"/>
    <n v="63.314999999999998"/>
    <s v="2/28/2019"/>
    <d v="1899-12-30T17:38:00"/>
    <s v="Cash"/>
    <n v="60.3"/>
    <n v="4.7619047620000003"/>
    <n v="3.0150000000000001"/>
    <n v="6"/>
    <d v="2019-02-28T00:00:00"/>
    <x v="2"/>
    <x v="6"/>
  </r>
  <r>
    <s v="860-73-6466"/>
    <x v="0"/>
    <x v="0"/>
    <x v="0"/>
    <s v="Female"/>
    <x v="3"/>
    <n v="39.47"/>
    <n v="2"/>
    <n v="3.9470000000000001"/>
    <n v="82.887"/>
    <d v="2019-02-03T00:00:00"/>
    <d v="1899-12-30T16:16:00"/>
    <s v="Credit card"/>
    <n v="78.94"/>
    <n v="4.7619047620000003"/>
    <n v="3.9470000000000001"/>
    <n v="5"/>
    <d v="2019-03-02T00:00:00"/>
    <x v="1"/>
    <x v="7"/>
  </r>
  <r>
    <s v="549-23-9016"/>
    <x v="1"/>
    <x v="1"/>
    <x v="0"/>
    <s v="Female"/>
    <x v="4"/>
    <n v="14.87"/>
    <n v="2"/>
    <n v="1.4870000000000001"/>
    <n v="31.227"/>
    <s v="2/13/2019"/>
    <d v="1899-12-30T18:15:00"/>
    <s v="Credit card"/>
    <n v="29.74"/>
    <n v="4.7619047620000003"/>
    <n v="1.4870000000000001"/>
    <n v="8.9"/>
    <d v="2019-02-13T00:00:00"/>
    <x v="2"/>
    <x v="3"/>
  </r>
  <r>
    <s v="896-34-0956"/>
    <x v="0"/>
    <x v="0"/>
    <x v="1"/>
    <s v="Male"/>
    <x v="5"/>
    <n v="21.32"/>
    <n v="1"/>
    <n v="1.0660000000000001"/>
    <n v="22.385999999999999"/>
    <s v="1/26/2019"/>
    <d v="1899-12-30T12:43:00"/>
    <s v="Cash"/>
    <n v="21.32"/>
    <n v="4.7619047620000003"/>
    <n v="1.0660000000000001"/>
    <n v="5.9"/>
    <d v="2019-01-26T00:00:00"/>
    <x v="0"/>
    <x v="10"/>
  </r>
  <r>
    <s v="804-38-3935"/>
    <x v="0"/>
    <x v="0"/>
    <x v="0"/>
    <s v="Male"/>
    <x v="1"/>
    <n v="93.78"/>
    <n v="3"/>
    <n v="14.067"/>
    <n v="295.40699999999998"/>
    <s v="1/30/2019"/>
    <d v="1899-12-30T11:32:00"/>
    <s v="Credit card"/>
    <n v="281.33999999999997"/>
    <n v="4.7619047620000003"/>
    <n v="14.067"/>
    <n v="5.9"/>
    <d v="2019-01-30T00:00:00"/>
    <x v="0"/>
    <x v="5"/>
  </r>
  <r>
    <s v="585-90-0249"/>
    <x v="0"/>
    <x v="0"/>
    <x v="0"/>
    <s v="Male"/>
    <x v="1"/>
    <n v="73.260000000000005"/>
    <n v="1"/>
    <n v="3.6629999999999998"/>
    <n v="76.923000000000002"/>
    <s v="1/27/2019"/>
    <d v="1899-12-30T18:08:00"/>
    <s v="Ewallet"/>
    <n v="73.260000000000005"/>
    <n v="4.7619047620000003"/>
    <n v="3.6629999999999998"/>
    <n v="9.6999999999999993"/>
    <d v="2019-01-27T00:00:00"/>
    <x v="0"/>
    <x v="3"/>
  </r>
  <r>
    <s v="862-29-5914"/>
    <x v="1"/>
    <x v="1"/>
    <x v="1"/>
    <s v="Female"/>
    <x v="3"/>
    <n v="22.38"/>
    <n v="1"/>
    <n v="1.119"/>
    <n v="23.498999999999999"/>
    <s v="1/30/2019"/>
    <d v="1899-12-30T17:08:00"/>
    <s v="Credit card"/>
    <n v="22.38"/>
    <n v="4.7619047620000003"/>
    <n v="1.119"/>
    <n v="8.6"/>
    <d v="2019-01-30T00:00:00"/>
    <x v="0"/>
    <x v="6"/>
  </r>
  <r>
    <s v="845-94-6841"/>
    <x v="1"/>
    <x v="1"/>
    <x v="0"/>
    <s v="Female"/>
    <x v="4"/>
    <n v="72.88"/>
    <n v="9"/>
    <n v="32.795999999999999"/>
    <n v="688.71600000000001"/>
    <d v="2019-08-01T00:00:00"/>
    <d v="1899-12-30T19:38:00"/>
    <s v="Cash"/>
    <n v="655.92"/>
    <n v="4.7619047620000003"/>
    <n v="32.795999999999999"/>
    <n v="4"/>
    <d v="2019-01-08T00:00:00"/>
    <x v="0"/>
    <x v="8"/>
  </r>
  <r>
    <s v="125-45-2293"/>
    <x v="0"/>
    <x v="0"/>
    <x v="1"/>
    <s v="Female"/>
    <x v="5"/>
    <n v="99.1"/>
    <n v="6"/>
    <n v="29.73"/>
    <n v="624.33000000000004"/>
    <s v="1/19/2019"/>
    <d v="1899-12-30T13:11:00"/>
    <s v="Cash"/>
    <n v="594.6"/>
    <n v="4.7619047620000003"/>
    <n v="29.73"/>
    <n v="4.2"/>
    <d v="2019-01-19T00:00:00"/>
    <x v="0"/>
    <x v="0"/>
  </r>
  <r>
    <s v="843-73-4724"/>
    <x v="0"/>
    <x v="0"/>
    <x v="1"/>
    <s v="Male"/>
    <x v="5"/>
    <n v="74.099999999999994"/>
    <n v="1"/>
    <n v="3.7050000000000001"/>
    <n v="77.805000000000007"/>
    <s v="1/25/2019"/>
    <d v="1899-12-30T11:05:00"/>
    <s v="Cash"/>
    <n v="74.099999999999994"/>
    <n v="4.7619047620000003"/>
    <n v="3.7050000000000001"/>
    <n v="9.1999999999999993"/>
    <d v="2019-01-25T00:00:00"/>
    <x v="0"/>
    <x v="5"/>
  </r>
  <r>
    <s v="409-33-9708"/>
    <x v="0"/>
    <x v="0"/>
    <x v="1"/>
    <s v="Female"/>
    <x v="5"/>
    <n v="98.48"/>
    <n v="2"/>
    <n v="9.8480000000000008"/>
    <n v="206.80799999999999"/>
    <s v="2/19/2019"/>
    <d v="1899-12-30T10:12:00"/>
    <s v="Ewallet"/>
    <n v="196.96"/>
    <n v="4.7619047620000003"/>
    <n v="9.8480000000000008"/>
    <n v="9.1999999999999993"/>
    <d v="2019-02-19T00:00:00"/>
    <x v="2"/>
    <x v="1"/>
  </r>
  <r>
    <s v="658-66-3967"/>
    <x v="1"/>
    <x v="1"/>
    <x v="1"/>
    <s v="Male"/>
    <x v="0"/>
    <n v="53.19"/>
    <n v="7"/>
    <n v="18.616499999999998"/>
    <n v="390.94650000000001"/>
    <s v="1/14/2019"/>
    <d v="1899-12-30T15:42:00"/>
    <s v="Ewallet"/>
    <n v="372.33"/>
    <n v="4.7619047620000003"/>
    <n v="18.616499999999998"/>
    <n v="5"/>
    <d v="2019-01-14T00:00:00"/>
    <x v="0"/>
    <x v="9"/>
  </r>
  <r>
    <s v="866-70-2814"/>
    <x v="2"/>
    <x v="2"/>
    <x v="1"/>
    <s v="Female"/>
    <x v="1"/>
    <n v="52.79"/>
    <n v="10"/>
    <n v="26.395"/>
    <n v="554.29499999999996"/>
    <s v="2/25/2019"/>
    <d v="1899-12-30T11:58:00"/>
    <s v="Ewallet"/>
    <n v="527.9"/>
    <n v="4.7619047620000003"/>
    <n v="26.395"/>
    <n v="10"/>
    <d v="2019-02-25T00:00:00"/>
    <x v="2"/>
    <x v="5"/>
  </r>
  <r>
    <s v="160-22-2687"/>
    <x v="0"/>
    <x v="0"/>
    <x v="0"/>
    <s v="Female"/>
    <x v="0"/>
    <n v="95.95"/>
    <n v="5"/>
    <n v="23.987500000000001"/>
    <n v="503.73750000000001"/>
    <s v="1/23/2019"/>
    <d v="1899-12-30T14:21:00"/>
    <s v="Ewallet"/>
    <n v="479.75"/>
    <n v="4.7619047620000003"/>
    <n v="23.987500000000001"/>
    <n v="8.8000000000000007"/>
    <d v="2019-01-23T00:00:00"/>
    <x v="0"/>
    <x v="4"/>
  </r>
  <r>
    <s v="895-03-6665"/>
    <x v="2"/>
    <x v="2"/>
    <x v="1"/>
    <s v="Female"/>
    <x v="5"/>
    <n v="36.51"/>
    <n v="9"/>
    <n v="16.429500000000001"/>
    <n v="345.01949999999999"/>
    <s v="2/16/2019"/>
    <d v="1899-12-30T10:52:00"/>
    <s v="Cash"/>
    <n v="328.59"/>
    <n v="4.7619047620000003"/>
    <n v="16.429500000000001"/>
    <n v="4.2"/>
    <d v="2019-02-16T00:00:00"/>
    <x v="2"/>
    <x v="1"/>
  </r>
  <r>
    <s v="770-42-8960"/>
    <x v="2"/>
    <x v="2"/>
    <x v="1"/>
    <s v="Male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  <d v="2019-01-01T00:00:00"/>
    <x v="0"/>
    <x v="8"/>
  </r>
  <r>
    <s v="748-45-2862"/>
    <x v="0"/>
    <x v="0"/>
    <x v="0"/>
    <s v="Female"/>
    <x v="2"/>
    <n v="28.31"/>
    <n v="4"/>
    <n v="5.6619999999999999"/>
    <n v="118.902"/>
    <d v="2019-07-03T00:00:00"/>
    <d v="1899-12-30T18:35:00"/>
    <s v="Cash"/>
    <n v="113.24"/>
    <n v="4.7619047620000003"/>
    <n v="5.6619999999999999"/>
    <n v="8.1999999999999993"/>
    <d v="2019-03-07T00:00:00"/>
    <x v="1"/>
    <x v="3"/>
  </r>
  <r>
    <s v="234-36-2483"/>
    <x v="2"/>
    <x v="2"/>
    <x v="1"/>
    <s v="Male"/>
    <x v="0"/>
    <n v="57.59"/>
    <n v="6"/>
    <n v="17.277000000000001"/>
    <n v="362.81700000000001"/>
    <s v="2/15/2019"/>
    <d v="1899-12-30T13:51:00"/>
    <s v="Cash"/>
    <n v="345.54"/>
    <n v="4.7619047620000003"/>
    <n v="17.277000000000001"/>
    <n v="5.0999999999999996"/>
    <d v="2019-02-15T00:00:00"/>
    <x v="2"/>
    <x v="0"/>
  </r>
  <r>
    <s v="316-66-3011"/>
    <x v="0"/>
    <x v="0"/>
    <x v="0"/>
    <s v="Female"/>
    <x v="4"/>
    <n v="47.63"/>
    <n v="9"/>
    <n v="21.433499999999999"/>
    <n v="450.1035"/>
    <s v="1/23/2019"/>
    <d v="1899-12-30T12:35:00"/>
    <s v="Cash"/>
    <n v="428.67"/>
    <n v="4.7619047620000003"/>
    <n v="21.433499999999999"/>
    <n v="5"/>
    <d v="2019-01-23T00:00:00"/>
    <x v="0"/>
    <x v="10"/>
  </r>
  <r>
    <s v="848-95-6252"/>
    <x v="1"/>
    <x v="1"/>
    <x v="0"/>
    <s v="Female"/>
    <x v="2"/>
    <n v="86.27"/>
    <n v="1"/>
    <n v="4.3135000000000003"/>
    <n v="90.583500000000001"/>
    <s v="2/20/2019"/>
    <d v="1899-12-30T13:24:00"/>
    <s v="Ewallet"/>
    <n v="86.27"/>
    <n v="4.7619047620000003"/>
    <n v="4.3135000000000003"/>
    <n v="7"/>
    <d v="2019-02-20T00:00:00"/>
    <x v="2"/>
    <x v="0"/>
  </r>
  <r>
    <s v="840-76-5966"/>
    <x v="0"/>
    <x v="0"/>
    <x v="0"/>
    <s v="Male"/>
    <x v="3"/>
    <n v="12.76"/>
    <n v="2"/>
    <n v="1.276"/>
    <n v="26.795999999999999"/>
    <d v="2019-08-01T00:00:00"/>
    <d v="1899-12-30T18:06:00"/>
    <s v="Ewallet"/>
    <n v="25.52"/>
    <n v="4.7619047620000003"/>
    <n v="1.276"/>
    <n v="7.8"/>
    <d v="2019-01-08T00:00:00"/>
    <x v="0"/>
    <x v="3"/>
  </r>
  <r>
    <s v="152-03-4217"/>
    <x v="2"/>
    <x v="2"/>
    <x v="1"/>
    <s v="Female"/>
    <x v="2"/>
    <n v="11.28"/>
    <n v="9"/>
    <n v="5.0759999999999996"/>
    <n v="106.596"/>
    <s v="3/17/2019"/>
    <d v="1899-12-30T11:55:00"/>
    <s v="Credit card"/>
    <n v="101.52"/>
    <n v="4.7619047620000003"/>
    <n v="5.0759999999999996"/>
    <n v="4.3"/>
    <d v="2019-03-17T00:00:00"/>
    <x v="1"/>
    <x v="5"/>
  </r>
  <r>
    <s v="533-66-5566"/>
    <x v="2"/>
    <x v="2"/>
    <x v="1"/>
    <s v="Female"/>
    <x v="2"/>
    <n v="51.07"/>
    <n v="7"/>
    <n v="17.874500000000001"/>
    <n v="375.36450000000002"/>
    <d v="2019-12-01T00:00:00"/>
    <d v="1899-12-30T11:42:00"/>
    <s v="Cash"/>
    <n v="357.49"/>
    <n v="4.7619047620000003"/>
    <n v="17.874500000000001"/>
    <n v="7"/>
    <d v="2019-01-12T00:00:00"/>
    <x v="0"/>
    <x v="5"/>
  </r>
  <r>
    <s v="124-31-1458"/>
    <x v="0"/>
    <x v="0"/>
    <x v="0"/>
    <s v="Female"/>
    <x v="1"/>
    <n v="79.59"/>
    <n v="3"/>
    <n v="11.938499999999999"/>
    <n v="250.70849999999999"/>
    <d v="2019-08-01T00:00:00"/>
    <d v="1899-12-30T14:30:00"/>
    <s v="Cash"/>
    <n v="238.77"/>
    <n v="4.7619047620000003"/>
    <n v="11.938499999999999"/>
    <n v="6.6"/>
    <d v="2019-01-08T00:00:00"/>
    <x v="0"/>
    <x v="4"/>
  </r>
  <r>
    <s v="176-78-1170"/>
    <x v="1"/>
    <x v="1"/>
    <x v="0"/>
    <s v="Male"/>
    <x v="0"/>
    <n v="33.81"/>
    <n v="3"/>
    <n v="5.0715000000000003"/>
    <n v="106.50149999999999"/>
    <s v="1/26/2019"/>
    <d v="1899-12-30T15:11:00"/>
    <s v="Ewallet"/>
    <n v="101.43"/>
    <n v="4.7619047620000003"/>
    <n v="5.0715000000000003"/>
    <n v="7.3"/>
    <d v="2019-01-26T00:00:00"/>
    <x v="0"/>
    <x v="9"/>
  </r>
  <r>
    <s v="361-59-0574"/>
    <x v="2"/>
    <x v="2"/>
    <x v="0"/>
    <s v="Male"/>
    <x v="3"/>
    <n v="90.53"/>
    <n v="8"/>
    <n v="36.212000000000003"/>
    <n v="760.452"/>
    <s v="3/15/2019"/>
    <d v="1899-12-30T14:48:00"/>
    <s v="Credit card"/>
    <n v="724.24"/>
    <n v="4.7619047620000003"/>
    <n v="36.212000000000003"/>
    <n v="6.5"/>
    <d v="2019-03-15T00:00:00"/>
    <x v="1"/>
    <x v="4"/>
  </r>
  <r>
    <s v="101-81-4070"/>
    <x v="1"/>
    <x v="1"/>
    <x v="0"/>
    <s v="Female"/>
    <x v="0"/>
    <n v="62.82"/>
    <n v="2"/>
    <n v="6.282"/>
    <n v="131.922"/>
    <s v="1/17/2019"/>
    <d v="1899-12-30T12:36:00"/>
    <s v="Ewallet"/>
    <n v="125.64"/>
    <n v="4.7619047620000003"/>
    <n v="6.282"/>
    <n v="4.9000000000000004"/>
    <d v="2019-01-17T00:00:00"/>
    <x v="0"/>
    <x v="10"/>
  </r>
  <r>
    <s v="631-34-1880"/>
    <x v="1"/>
    <x v="1"/>
    <x v="0"/>
    <s v="Male"/>
    <x v="4"/>
    <n v="24.31"/>
    <n v="3"/>
    <n v="3.6465000000000001"/>
    <n v="76.576499999999996"/>
    <d v="2019-08-01T00:00:00"/>
    <d v="1899-12-30T19:09:00"/>
    <s v="Credit card"/>
    <n v="72.930000000000007"/>
    <n v="4.7619047620000003"/>
    <n v="3.6465000000000001"/>
    <n v="4.3"/>
    <d v="2019-01-08T00:00:00"/>
    <x v="0"/>
    <x v="8"/>
  </r>
  <r>
    <s v="852-82-2749"/>
    <x v="0"/>
    <x v="0"/>
    <x v="1"/>
    <s v="Male"/>
    <x v="3"/>
    <n v="64.59"/>
    <n v="4"/>
    <n v="12.917999999999999"/>
    <n v="271.27800000000002"/>
    <d v="2019-06-01T00:00:00"/>
    <d v="1899-12-30T13:35:00"/>
    <s v="Ewallet"/>
    <n v="258.36"/>
    <n v="4.7619047620000003"/>
    <n v="12.917999999999999"/>
    <n v="9.3000000000000007"/>
    <d v="2019-01-06T00:00:00"/>
    <x v="0"/>
    <x v="0"/>
  </r>
  <r>
    <s v="873-14-6353"/>
    <x v="0"/>
    <x v="0"/>
    <x v="0"/>
    <s v="Male"/>
    <x v="4"/>
    <n v="24.82"/>
    <n v="7"/>
    <n v="8.6869999999999994"/>
    <n v="182.42699999999999"/>
    <s v="2/16/2019"/>
    <d v="1899-12-30T10:33:00"/>
    <s v="Credit card"/>
    <n v="173.74"/>
    <n v="4.7619047620000003"/>
    <n v="8.6869999999999994"/>
    <n v="7.1"/>
    <d v="2019-02-16T00:00:00"/>
    <x v="2"/>
    <x v="1"/>
  </r>
  <r>
    <s v="584-66-4073"/>
    <x v="1"/>
    <x v="1"/>
    <x v="1"/>
    <s v="Male"/>
    <x v="5"/>
    <n v="56.5"/>
    <n v="1"/>
    <n v="2.8250000000000002"/>
    <n v="59.325000000000003"/>
    <s v="3/13/2019"/>
    <d v="1899-12-30T15:45:00"/>
    <s v="Ewallet"/>
    <n v="56.5"/>
    <n v="4.7619047620000003"/>
    <n v="2.8250000000000002"/>
    <n v="9.6"/>
    <d v="2019-03-13T00:00:00"/>
    <x v="1"/>
    <x v="9"/>
  </r>
  <r>
    <s v="544-55-9589"/>
    <x v="2"/>
    <x v="2"/>
    <x v="0"/>
    <s v="Female"/>
    <x v="1"/>
    <n v="21.43"/>
    <n v="10"/>
    <n v="10.715"/>
    <n v="225.01499999999999"/>
    <s v="1/28/2019"/>
    <d v="1899-12-30T11:51:00"/>
    <s v="Cash"/>
    <n v="214.3"/>
    <n v="4.7619047620000003"/>
    <n v="10.715"/>
    <n v="6.2"/>
    <d v="2019-01-28T00:00:00"/>
    <x v="0"/>
    <x v="5"/>
  </r>
  <r>
    <s v="166-19-2553"/>
    <x v="0"/>
    <x v="0"/>
    <x v="0"/>
    <s v="Male"/>
    <x v="3"/>
    <n v="89.06"/>
    <n v="6"/>
    <n v="26.718"/>
    <n v="561.07799999999997"/>
    <s v="1/18/2019"/>
    <d v="1899-12-30T17:26:00"/>
    <s v="Cash"/>
    <n v="534.36"/>
    <n v="4.7619047620000003"/>
    <n v="26.718"/>
    <n v="9.9"/>
    <d v="2019-01-18T00:00:00"/>
    <x v="0"/>
    <x v="6"/>
  </r>
  <r>
    <s v="737-88-5876"/>
    <x v="0"/>
    <x v="0"/>
    <x v="0"/>
    <s v="Male"/>
    <x v="2"/>
    <n v="23.29"/>
    <n v="4"/>
    <n v="4.6580000000000004"/>
    <n v="97.817999999999998"/>
    <s v="3/19/2019"/>
    <d v="1899-12-30T11:52:00"/>
    <s v="Credit card"/>
    <n v="93.16"/>
    <n v="4.7619047620000003"/>
    <n v="4.6580000000000004"/>
    <n v="5.9"/>
    <d v="2019-03-19T00:00:00"/>
    <x v="1"/>
    <x v="5"/>
  </r>
  <r>
    <s v="154-87-7367"/>
    <x v="1"/>
    <x v="1"/>
    <x v="1"/>
    <s v="Male"/>
    <x v="2"/>
    <n v="65.260000000000005"/>
    <n v="8"/>
    <n v="26.103999999999999"/>
    <n v="548.18399999999997"/>
    <s v="3/15/2019"/>
    <d v="1899-12-30T14:04:00"/>
    <s v="Ewallet"/>
    <n v="522.08000000000004"/>
    <n v="4.7619047620000003"/>
    <n v="26.103999999999999"/>
    <n v="6.3"/>
    <d v="2019-03-15T00:00:00"/>
    <x v="1"/>
    <x v="4"/>
  </r>
  <r>
    <s v="885-56-0389"/>
    <x v="1"/>
    <x v="1"/>
    <x v="0"/>
    <s v="Male"/>
    <x v="5"/>
    <n v="52.35"/>
    <n v="1"/>
    <n v="2.6175000000000002"/>
    <n v="54.967500000000001"/>
    <d v="2019-12-02T00:00:00"/>
    <d v="1899-12-30T17:49:00"/>
    <s v="Cash"/>
    <n v="52.35"/>
    <n v="4.7619047620000003"/>
    <n v="2.6175000000000002"/>
    <n v="4"/>
    <d v="2019-02-12T00:00:00"/>
    <x v="2"/>
    <x v="6"/>
  </r>
  <r>
    <s v="608-05-3804"/>
    <x v="2"/>
    <x v="2"/>
    <x v="0"/>
    <s v="Male"/>
    <x v="1"/>
    <n v="39.75"/>
    <n v="1"/>
    <n v="1.9875"/>
    <n v="41.737499999999997"/>
    <s v="2/25/2019"/>
    <d v="1899-12-30T20:19:00"/>
    <s v="Cash"/>
    <n v="39.75"/>
    <n v="4.7619047620000003"/>
    <n v="1.9875"/>
    <n v="6.1"/>
    <d v="2019-02-25T00:00:00"/>
    <x v="2"/>
    <x v="2"/>
  </r>
  <r>
    <s v="448-61-3783"/>
    <x v="0"/>
    <x v="0"/>
    <x v="1"/>
    <s v="Female"/>
    <x v="1"/>
    <n v="90.02"/>
    <n v="8"/>
    <n v="36.008000000000003"/>
    <n v="756.16800000000001"/>
    <s v="3/21/2019"/>
    <d v="1899-12-30T16:08:00"/>
    <s v="Credit card"/>
    <n v="720.16"/>
    <n v="4.7619047620000003"/>
    <n v="36.008000000000003"/>
    <n v="4.5"/>
    <d v="2019-03-21T00:00:00"/>
    <x v="1"/>
    <x v="7"/>
  </r>
  <r>
    <s v="761-49-0439"/>
    <x v="2"/>
    <x v="2"/>
    <x v="0"/>
    <s v="Female"/>
    <x v="1"/>
    <n v="12.1"/>
    <n v="8"/>
    <n v="4.84"/>
    <n v="101.64"/>
    <s v="1/19/2019"/>
    <d v="1899-12-30T10:17:00"/>
    <s v="Ewallet"/>
    <n v="96.8"/>
    <n v="4.7619047620000003"/>
    <n v="4.84"/>
    <n v="8.6"/>
    <d v="2019-01-19T00:00:00"/>
    <x v="0"/>
    <x v="1"/>
  </r>
  <r>
    <s v="490-95-0021"/>
    <x v="2"/>
    <x v="2"/>
    <x v="0"/>
    <s v="Female"/>
    <x v="4"/>
    <n v="33.21"/>
    <n v="10"/>
    <n v="16.605"/>
    <n v="348.70499999999998"/>
    <d v="2019-08-01T00:00:00"/>
    <d v="1899-12-30T14:25:00"/>
    <s v="Ewallet"/>
    <n v="332.1"/>
    <n v="4.7619047620000003"/>
    <n v="16.605"/>
    <n v="6"/>
    <d v="2019-01-08T00:00:00"/>
    <x v="0"/>
    <x v="4"/>
  </r>
  <r>
    <s v="115-38-7388"/>
    <x v="1"/>
    <x v="1"/>
    <x v="0"/>
    <s v="Female"/>
    <x v="5"/>
    <n v="10.18"/>
    <n v="8"/>
    <n v="4.0720000000000001"/>
    <n v="85.512"/>
    <s v="3/30/2019"/>
    <d v="1899-12-30T12:51:00"/>
    <s v="Credit card"/>
    <n v="81.44"/>
    <n v="4.7619047620000003"/>
    <n v="4.0720000000000001"/>
    <n v="9.5"/>
    <d v="2019-03-30T00:00:00"/>
    <x v="1"/>
    <x v="10"/>
  </r>
  <r>
    <s v="311-13-6971"/>
    <x v="2"/>
    <x v="2"/>
    <x v="0"/>
    <s v="Male"/>
    <x v="3"/>
    <n v="31.99"/>
    <n v="10"/>
    <n v="15.994999999999999"/>
    <n v="335.89499999999998"/>
    <s v="2/20/2019"/>
    <d v="1899-12-30T15:18:00"/>
    <s v="Credit card"/>
    <n v="319.89999999999998"/>
    <n v="4.7619047620000003"/>
    <n v="15.994999999999999"/>
    <n v="9.9"/>
    <d v="2019-02-20T00:00:00"/>
    <x v="2"/>
    <x v="9"/>
  </r>
  <r>
    <s v="291-55-6563"/>
    <x v="0"/>
    <x v="0"/>
    <x v="0"/>
    <s v="Female"/>
    <x v="2"/>
    <n v="34.42"/>
    <n v="6"/>
    <n v="10.326000000000001"/>
    <n v="216.846"/>
    <s v="3/30/2019"/>
    <d v="1899-12-30T12:45:00"/>
    <s v="Ewallet"/>
    <n v="206.52"/>
    <n v="4.7619047620000003"/>
    <n v="10.326000000000001"/>
    <n v="7.5"/>
    <d v="2019-03-30T00:00:00"/>
    <x v="1"/>
    <x v="10"/>
  </r>
  <r>
    <s v="548-48-3156"/>
    <x v="0"/>
    <x v="0"/>
    <x v="0"/>
    <s v="Female"/>
    <x v="4"/>
    <n v="83.34"/>
    <n v="2"/>
    <n v="8.3339999999999996"/>
    <n v="175.01400000000001"/>
    <s v="3/19/2019"/>
    <d v="1899-12-30T13:37:00"/>
    <s v="Cash"/>
    <n v="166.68"/>
    <n v="4.7619047620000003"/>
    <n v="8.3339999999999996"/>
    <n v="7.6"/>
    <d v="2019-03-19T00:00:00"/>
    <x v="1"/>
    <x v="0"/>
  </r>
  <r>
    <s v="460-93-5834"/>
    <x v="0"/>
    <x v="0"/>
    <x v="1"/>
    <s v="Male"/>
    <x v="3"/>
    <n v="45.58"/>
    <n v="7"/>
    <n v="15.952999999999999"/>
    <n v="335.01299999999998"/>
    <s v="1/13/2019"/>
    <d v="1899-12-30T10:03:00"/>
    <s v="Cash"/>
    <n v="319.06"/>
    <n v="4.7619047620000003"/>
    <n v="15.952999999999999"/>
    <n v="5"/>
    <d v="2019-01-13T00:00:00"/>
    <x v="0"/>
    <x v="1"/>
  </r>
  <r>
    <s v="325-89-4209"/>
    <x v="0"/>
    <x v="0"/>
    <x v="0"/>
    <s v="Male"/>
    <x v="4"/>
    <n v="87.9"/>
    <n v="1"/>
    <n v="4.3949999999999996"/>
    <n v="92.295000000000002"/>
    <d v="2019-05-02T00:00:00"/>
    <d v="1899-12-30T19:42:00"/>
    <s v="Ewallet"/>
    <n v="87.9"/>
    <n v="4.7619047620000003"/>
    <n v="4.3949999999999996"/>
    <n v="6.7"/>
    <d v="2019-02-05T00:00:00"/>
    <x v="2"/>
    <x v="8"/>
  </r>
  <r>
    <s v="884-80-6021"/>
    <x v="0"/>
    <x v="0"/>
    <x v="0"/>
    <s v="Female"/>
    <x v="1"/>
    <n v="73.47"/>
    <n v="10"/>
    <n v="36.734999999999999"/>
    <n v="771.43499999999995"/>
    <s v="3/23/2019"/>
    <d v="1899-12-30T13:14:00"/>
    <s v="Ewallet"/>
    <n v="734.7"/>
    <n v="4.7619047620000003"/>
    <n v="36.734999999999999"/>
    <n v="9.5"/>
    <d v="2019-03-23T00:00:00"/>
    <x v="1"/>
    <x v="0"/>
  </r>
  <r>
    <s v="137-74-8729"/>
    <x v="1"/>
    <x v="1"/>
    <x v="1"/>
    <s v="Female"/>
    <x v="5"/>
    <n v="12.19"/>
    <n v="8"/>
    <n v="4.8760000000000003"/>
    <n v="102.396"/>
    <s v="3/13/2019"/>
    <d v="1899-12-30T12:47:00"/>
    <s v="Ewallet"/>
    <n v="97.52"/>
    <n v="4.7619047620000003"/>
    <n v="4.8760000000000003"/>
    <n v="6.8"/>
    <d v="2019-03-13T00:00:00"/>
    <x v="1"/>
    <x v="10"/>
  </r>
  <r>
    <s v="880-46-5796"/>
    <x v="0"/>
    <x v="0"/>
    <x v="0"/>
    <s v="Male"/>
    <x v="3"/>
    <n v="76.92"/>
    <n v="10"/>
    <n v="38.46"/>
    <n v="807.66"/>
    <s v="3/17/2019"/>
    <d v="1899-12-30T19:53:00"/>
    <s v="Ewallet"/>
    <n v="769.2"/>
    <n v="4.7619047620000003"/>
    <n v="38.46"/>
    <n v="5.6"/>
    <d v="2019-03-17T00:00:00"/>
    <x v="1"/>
    <x v="8"/>
  </r>
  <r>
    <s v="389-70-2397"/>
    <x v="1"/>
    <x v="1"/>
    <x v="1"/>
    <s v="Female"/>
    <x v="0"/>
    <n v="83.66"/>
    <n v="5"/>
    <n v="20.914999999999999"/>
    <n v="439.21499999999997"/>
    <s v="2/21/2019"/>
    <d v="1899-12-30T10:26:00"/>
    <s v="Cash"/>
    <n v="418.3"/>
    <n v="4.7619047620000003"/>
    <n v="20.914999999999999"/>
    <n v="7.2"/>
    <d v="2019-02-21T00:00:00"/>
    <x v="2"/>
    <x v="1"/>
  </r>
  <r>
    <s v="114-35-5271"/>
    <x v="2"/>
    <x v="2"/>
    <x v="1"/>
    <s v="Female"/>
    <x v="1"/>
    <n v="57.91"/>
    <n v="8"/>
    <n v="23.164000000000001"/>
    <n v="486.44400000000002"/>
    <d v="2019-07-02T00:00:00"/>
    <d v="1899-12-30T15:06:00"/>
    <s v="Cash"/>
    <n v="463.28"/>
    <n v="4.7619047620000003"/>
    <n v="23.164000000000001"/>
    <n v="8.1"/>
    <d v="2019-02-07T00:00:00"/>
    <x v="2"/>
    <x v="9"/>
  </r>
  <r>
    <s v="607-76-6216"/>
    <x v="1"/>
    <x v="1"/>
    <x v="0"/>
    <s v="Female"/>
    <x v="5"/>
    <n v="92.49"/>
    <n v="5"/>
    <n v="23.122499999999999"/>
    <n v="485.57249999999999"/>
    <d v="2019-02-03T00:00:00"/>
    <d v="1899-12-30T16:35:00"/>
    <s v="Credit card"/>
    <n v="462.45"/>
    <n v="4.7619047620000003"/>
    <n v="23.122499999999999"/>
    <n v="8.6"/>
    <d v="2019-03-02T00:00:00"/>
    <x v="1"/>
    <x v="7"/>
  </r>
  <r>
    <s v="715-20-1673"/>
    <x v="2"/>
    <x v="2"/>
    <x v="1"/>
    <s v="Male"/>
    <x v="1"/>
    <n v="28.38"/>
    <n v="5"/>
    <n v="7.0949999999999998"/>
    <n v="148.995"/>
    <d v="2019-06-03T00:00:00"/>
    <d v="1899-12-30T20:57:00"/>
    <s v="Cash"/>
    <n v="141.9"/>
    <n v="4.7619047620000003"/>
    <n v="7.0949999999999998"/>
    <n v="9.4"/>
    <d v="2019-03-06T00:00:00"/>
    <x v="1"/>
    <x v="2"/>
  </r>
  <r>
    <s v="811-35-1094"/>
    <x v="2"/>
    <x v="2"/>
    <x v="0"/>
    <s v="Male"/>
    <x v="1"/>
    <n v="50.45"/>
    <n v="6"/>
    <n v="15.135"/>
    <n v="317.83499999999998"/>
    <d v="2019-06-02T00:00:00"/>
    <d v="1899-12-30T15:16:00"/>
    <s v="Credit card"/>
    <n v="302.7"/>
    <n v="4.7619047620000003"/>
    <n v="15.135"/>
    <n v="8.9"/>
    <d v="2019-02-06T00:00:00"/>
    <x v="2"/>
    <x v="9"/>
  </r>
  <r>
    <s v="699-88-1972"/>
    <x v="2"/>
    <x v="2"/>
    <x v="1"/>
    <s v="Male"/>
    <x v="0"/>
    <n v="99.16"/>
    <n v="8"/>
    <n v="39.664000000000001"/>
    <n v="832.94399999999996"/>
    <s v="1/28/2019"/>
    <d v="1899-12-30T17:47:00"/>
    <s v="Credit card"/>
    <n v="793.28"/>
    <n v="4.7619047620000003"/>
    <n v="39.664000000000001"/>
    <n v="4.2"/>
    <d v="2019-01-28T00:00:00"/>
    <x v="0"/>
    <x v="6"/>
  </r>
  <r>
    <s v="781-84-8059"/>
    <x v="1"/>
    <x v="1"/>
    <x v="1"/>
    <s v="Male"/>
    <x v="5"/>
    <n v="60.74"/>
    <n v="7"/>
    <n v="21.259"/>
    <n v="446.43900000000002"/>
    <s v="1/18/2019"/>
    <d v="1899-12-30T16:23:00"/>
    <s v="Ewallet"/>
    <n v="425.18"/>
    <n v="4.7619047620000003"/>
    <n v="21.259"/>
    <n v="5"/>
    <d v="2019-01-18T00:00:00"/>
    <x v="0"/>
    <x v="7"/>
  </r>
  <r>
    <s v="409-49-6995"/>
    <x v="1"/>
    <x v="1"/>
    <x v="0"/>
    <s v="Female"/>
    <x v="4"/>
    <n v="47.27"/>
    <n v="6"/>
    <n v="14.180999999999999"/>
    <n v="297.80099999999999"/>
    <d v="2019-05-02T00:00:00"/>
    <d v="1899-12-30T10:17:00"/>
    <s v="Cash"/>
    <n v="283.62"/>
    <n v="4.7619047620000003"/>
    <n v="14.180999999999999"/>
    <n v="8.8000000000000007"/>
    <d v="2019-02-05T00:00:00"/>
    <x v="2"/>
    <x v="1"/>
  </r>
  <r>
    <s v="725-54-0677"/>
    <x v="1"/>
    <x v="1"/>
    <x v="0"/>
    <s v="Male"/>
    <x v="0"/>
    <n v="85.6"/>
    <n v="7"/>
    <n v="29.96"/>
    <n v="629.16"/>
    <d v="2019-02-03T00:00:00"/>
    <d v="1899-12-30T13:50:00"/>
    <s v="Cash"/>
    <n v="599.20000000000005"/>
    <n v="4.7619047620000003"/>
    <n v="29.96"/>
    <n v="5.3"/>
    <d v="2019-03-02T00:00:00"/>
    <x v="1"/>
    <x v="0"/>
  </r>
  <r>
    <s v="146-09-5432"/>
    <x v="0"/>
    <x v="0"/>
    <x v="0"/>
    <s v="Male"/>
    <x v="4"/>
    <n v="35.04"/>
    <n v="9"/>
    <n v="15.768000000000001"/>
    <n v="331.12799999999999"/>
    <d v="2019-09-02T00:00:00"/>
    <d v="1899-12-30T19:17:00"/>
    <s v="Ewallet"/>
    <n v="315.36"/>
    <n v="4.7619047620000003"/>
    <n v="15.768000000000001"/>
    <n v="4.5999999999999996"/>
    <d v="2019-02-09T00:00:00"/>
    <x v="2"/>
    <x v="8"/>
  </r>
  <r>
    <s v="377-79-7592"/>
    <x v="1"/>
    <x v="1"/>
    <x v="0"/>
    <s v="Female"/>
    <x v="1"/>
    <n v="44.84"/>
    <n v="9"/>
    <n v="20.178000000000001"/>
    <n v="423.738"/>
    <s v="1/14/2019"/>
    <d v="1899-12-30T14:00:00"/>
    <s v="Credit card"/>
    <n v="403.56"/>
    <n v="4.7619047620000003"/>
    <n v="20.178000000000001"/>
    <n v="7.5"/>
    <d v="2019-01-14T00:00:00"/>
    <x v="0"/>
    <x v="4"/>
  </r>
  <r>
    <s v="509-10-0516"/>
    <x v="2"/>
    <x v="2"/>
    <x v="1"/>
    <s v="Male"/>
    <x v="2"/>
    <n v="45.97"/>
    <n v="4"/>
    <n v="9.1940000000000008"/>
    <n v="193.07400000000001"/>
    <d v="2019-09-02T00:00:00"/>
    <d v="1899-12-30T12:02:00"/>
    <s v="Ewallet"/>
    <n v="183.88"/>
    <n v="4.7619047620000003"/>
    <n v="9.1940000000000008"/>
    <n v="5.0999999999999996"/>
    <d v="2019-02-09T00:00:00"/>
    <x v="2"/>
    <x v="10"/>
  </r>
  <r>
    <s v="595-94-9924"/>
    <x v="0"/>
    <x v="0"/>
    <x v="0"/>
    <s v="Female"/>
    <x v="0"/>
    <n v="27.73"/>
    <n v="5"/>
    <n v="6.9325000000000001"/>
    <n v="145.58250000000001"/>
    <s v="3/26/2019"/>
    <d v="1899-12-30T20:21:00"/>
    <s v="Credit card"/>
    <n v="138.65"/>
    <n v="4.7619047620000003"/>
    <n v="6.9325000000000001"/>
    <n v="4.2"/>
    <d v="2019-03-26T00:00:00"/>
    <x v="1"/>
    <x v="2"/>
  </r>
  <r>
    <s v="865-41-9075"/>
    <x v="0"/>
    <x v="0"/>
    <x v="1"/>
    <s v="Male"/>
    <x v="4"/>
    <n v="11.53"/>
    <n v="7"/>
    <n v="4.0354999999999999"/>
    <n v="84.745500000000007"/>
    <s v="1/28/2019"/>
    <d v="1899-12-30T17:35:00"/>
    <s v="Cash"/>
    <n v="80.709999999999994"/>
    <n v="4.7619047620000003"/>
    <n v="4.0354999999999999"/>
    <n v="8.1"/>
    <d v="2019-01-28T00:00:00"/>
    <x v="0"/>
    <x v="6"/>
  </r>
  <r>
    <s v="545-07-8534"/>
    <x v="1"/>
    <x v="1"/>
    <x v="1"/>
    <s v="Female"/>
    <x v="0"/>
    <n v="58.32"/>
    <n v="2"/>
    <n v="5.8319999999999999"/>
    <n v="122.47199999999999"/>
    <s v="2/14/2019"/>
    <d v="1899-12-30T12:42:00"/>
    <s v="Ewallet"/>
    <n v="116.64"/>
    <n v="4.7619047620000003"/>
    <n v="5.8319999999999999"/>
    <n v="6"/>
    <d v="2019-02-14T00:00:00"/>
    <x v="2"/>
    <x v="10"/>
  </r>
  <r>
    <s v="118-62-1812"/>
    <x v="1"/>
    <x v="1"/>
    <x v="0"/>
    <s v="Female"/>
    <x v="2"/>
    <n v="78.38"/>
    <n v="4"/>
    <n v="15.676"/>
    <n v="329.19600000000003"/>
    <s v="3/24/2019"/>
    <d v="1899-12-30T17:56:00"/>
    <s v="Cash"/>
    <n v="313.52"/>
    <n v="4.7619047620000003"/>
    <n v="15.676"/>
    <n v="7.9"/>
    <d v="2019-03-24T00:00:00"/>
    <x v="1"/>
    <x v="6"/>
  </r>
  <r>
    <s v="450-42-3339"/>
    <x v="1"/>
    <x v="1"/>
    <x v="1"/>
    <s v="Male"/>
    <x v="0"/>
    <n v="84.61"/>
    <n v="10"/>
    <n v="42.305"/>
    <n v="888.40499999999997"/>
    <d v="2019-09-02T00:00:00"/>
    <d v="1899-12-30T18:58:00"/>
    <s v="Credit card"/>
    <n v="846.1"/>
    <n v="4.7619047620000003"/>
    <n v="42.305"/>
    <n v="8.8000000000000007"/>
    <d v="2019-02-09T00:00:00"/>
    <x v="2"/>
    <x v="3"/>
  </r>
  <r>
    <s v="851-98-3555"/>
    <x v="2"/>
    <x v="2"/>
    <x v="1"/>
    <s v="Female"/>
    <x v="0"/>
    <n v="82.88"/>
    <n v="5"/>
    <n v="20.72"/>
    <n v="435.12"/>
    <s v="3/24/2019"/>
    <d v="1899-12-30T14:08:00"/>
    <s v="Credit card"/>
    <n v="414.4"/>
    <n v="4.7619047620000003"/>
    <n v="20.72"/>
    <n v="6.6"/>
    <d v="2019-03-24T00:00:00"/>
    <x v="1"/>
    <x v="4"/>
  </r>
  <r>
    <s v="186-71-5196"/>
    <x v="0"/>
    <x v="0"/>
    <x v="0"/>
    <s v="Female"/>
    <x v="4"/>
    <n v="79.540000000000006"/>
    <n v="2"/>
    <n v="7.9539999999999997"/>
    <n v="167.03399999999999"/>
    <s v="3/27/2019"/>
    <d v="1899-12-30T16:30:00"/>
    <s v="Ewallet"/>
    <n v="159.08000000000001"/>
    <n v="4.7619047620000003"/>
    <n v="7.9539999999999997"/>
    <n v="6.2"/>
    <d v="2019-03-27T00:00:00"/>
    <x v="1"/>
    <x v="7"/>
  </r>
  <r>
    <s v="624-01-8356"/>
    <x v="2"/>
    <x v="2"/>
    <x v="1"/>
    <s v="Female"/>
    <x v="2"/>
    <n v="49.01"/>
    <n v="10"/>
    <n v="24.504999999999999"/>
    <n v="514.60500000000002"/>
    <s v="1/27/2019"/>
    <d v="1899-12-30T10:44:00"/>
    <s v="Credit card"/>
    <n v="490.1"/>
    <n v="4.7619047620000003"/>
    <n v="24.504999999999999"/>
    <n v="4.2"/>
    <d v="2019-01-27T00:00:00"/>
    <x v="0"/>
    <x v="1"/>
  </r>
  <r>
    <s v="313-66-9943"/>
    <x v="2"/>
    <x v="2"/>
    <x v="0"/>
    <s v="Female"/>
    <x v="4"/>
    <n v="29.15"/>
    <n v="3"/>
    <n v="4.3724999999999996"/>
    <n v="91.822500000000005"/>
    <s v="3/27/2019"/>
    <d v="1899-12-30T20:29:00"/>
    <s v="Credit card"/>
    <n v="87.45"/>
    <n v="4.7619047620000003"/>
    <n v="4.3724999999999996"/>
    <n v="7.3"/>
    <d v="2019-03-27T00:00:00"/>
    <x v="1"/>
    <x v="2"/>
  </r>
  <r>
    <s v="151-27-8496"/>
    <x v="1"/>
    <x v="1"/>
    <x v="1"/>
    <s v="Female"/>
    <x v="1"/>
    <n v="56.13"/>
    <n v="4"/>
    <n v="11.226000000000001"/>
    <n v="235.74600000000001"/>
    <s v="1/19/2019"/>
    <d v="1899-12-30T11:43:00"/>
    <s v="Ewallet"/>
    <n v="224.52"/>
    <n v="4.7619047620000003"/>
    <n v="11.226000000000001"/>
    <n v="8.6"/>
    <d v="2019-01-19T00:00:00"/>
    <x v="0"/>
    <x v="5"/>
  </r>
  <r>
    <s v="453-33-6436"/>
    <x v="0"/>
    <x v="0"/>
    <x v="1"/>
    <s v="Female"/>
    <x v="2"/>
    <n v="93.12"/>
    <n v="8"/>
    <n v="37.247999999999998"/>
    <n v="782.20799999999997"/>
    <d v="2019-07-02T00:00:00"/>
    <d v="1899-12-30T10:09:00"/>
    <s v="Cash"/>
    <n v="744.96"/>
    <n v="4.7619047620000003"/>
    <n v="37.247999999999998"/>
    <n v="6.8"/>
    <d v="2019-02-07T00:00:00"/>
    <x v="2"/>
    <x v="1"/>
  </r>
  <r>
    <s v="522-57-8364"/>
    <x v="0"/>
    <x v="0"/>
    <x v="0"/>
    <s v="Male"/>
    <x v="5"/>
    <n v="51.34"/>
    <n v="8"/>
    <n v="20.536000000000001"/>
    <n v="431.25599999999997"/>
    <s v="1/31/2019"/>
    <d v="1899-12-30T10:00:00"/>
    <s v="Ewallet"/>
    <n v="410.72"/>
    <n v="4.7619047620000003"/>
    <n v="20.536000000000001"/>
    <n v="7.6"/>
    <d v="2019-01-31T00:00:00"/>
    <x v="0"/>
    <x v="1"/>
  </r>
  <r>
    <s v="459-45-2396"/>
    <x v="0"/>
    <x v="0"/>
    <x v="0"/>
    <s v="Female"/>
    <x v="4"/>
    <n v="99.6"/>
    <n v="3"/>
    <n v="14.94"/>
    <n v="313.74"/>
    <s v="2/25/2019"/>
    <d v="1899-12-30T18:45:00"/>
    <s v="Cash"/>
    <n v="298.8"/>
    <n v="4.7619047620000003"/>
    <n v="14.94"/>
    <n v="5.8"/>
    <d v="2019-02-25T00:00:00"/>
    <x v="2"/>
    <x v="3"/>
  </r>
  <r>
    <s v="717-96-4189"/>
    <x v="1"/>
    <x v="1"/>
    <x v="1"/>
    <s v="Female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  <d v="2019-02-02T00:00:00"/>
    <x v="2"/>
    <x v="10"/>
  </r>
  <r>
    <s v="722-13-2115"/>
    <x v="1"/>
    <x v="1"/>
    <x v="0"/>
    <s v="Male"/>
    <x v="3"/>
    <n v="42.85"/>
    <n v="1"/>
    <n v="2.1425000000000001"/>
    <n v="44.9925"/>
    <s v="3/14/2019"/>
    <d v="1899-12-30T15:36:00"/>
    <s v="Credit card"/>
    <n v="42.85"/>
    <n v="4.7619047620000003"/>
    <n v="2.1425000000000001"/>
    <n v="9.3000000000000007"/>
    <d v="2019-03-14T00:00:00"/>
    <x v="1"/>
    <x v="9"/>
  </r>
  <r>
    <s v="749-81-8133"/>
    <x v="0"/>
    <x v="0"/>
    <x v="1"/>
    <s v="Female"/>
    <x v="5"/>
    <n v="94.67"/>
    <n v="4"/>
    <n v="18.934000000000001"/>
    <n v="397.61399999999998"/>
    <d v="2019-11-03T00:00:00"/>
    <d v="1899-12-30T12:04:00"/>
    <s v="Cash"/>
    <n v="378.68"/>
    <n v="4.7619047620000003"/>
    <n v="18.934000000000001"/>
    <n v="6.8"/>
    <d v="2019-03-11T00:00:00"/>
    <x v="1"/>
    <x v="10"/>
  </r>
  <r>
    <s v="777-67-2495"/>
    <x v="2"/>
    <x v="2"/>
    <x v="1"/>
    <s v="Male"/>
    <x v="2"/>
    <n v="68.97"/>
    <n v="3"/>
    <n v="10.345499999999999"/>
    <n v="217.25550000000001"/>
    <s v="2/22/2019"/>
    <d v="1899-12-30T11:26:00"/>
    <s v="Ewallet"/>
    <n v="206.91"/>
    <n v="4.7619047620000003"/>
    <n v="10.345499999999999"/>
    <n v="8.6999999999999993"/>
    <d v="2019-02-22T00:00:00"/>
    <x v="2"/>
    <x v="5"/>
  </r>
  <r>
    <s v="636-98-3364"/>
    <x v="2"/>
    <x v="2"/>
    <x v="0"/>
    <s v="Female"/>
    <x v="1"/>
    <n v="26.26"/>
    <n v="3"/>
    <n v="3.9390000000000001"/>
    <n v="82.718999999999994"/>
    <d v="2019-02-03T00:00:00"/>
    <d v="1899-12-30T12:36:00"/>
    <s v="Ewallet"/>
    <n v="78.78"/>
    <n v="4.7619047620000003"/>
    <n v="3.9390000000000001"/>
    <n v="6.3"/>
    <d v="2019-03-02T00:00:00"/>
    <x v="1"/>
    <x v="10"/>
  </r>
  <r>
    <s v="246-55-6923"/>
    <x v="1"/>
    <x v="1"/>
    <x v="0"/>
    <s v="Female"/>
    <x v="2"/>
    <n v="35.79"/>
    <n v="9"/>
    <n v="16.105499999999999"/>
    <n v="338.21550000000002"/>
    <d v="2019-10-03T00:00:00"/>
    <d v="1899-12-30T15:06:00"/>
    <s v="Credit card"/>
    <n v="322.11"/>
    <n v="4.7619047620000003"/>
    <n v="16.105499999999999"/>
    <n v="5.0999999999999996"/>
    <d v="2019-03-10T00:00:00"/>
    <x v="1"/>
    <x v="9"/>
  </r>
  <r>
    <s v="181-82-6255"/>
    <x v="2"/>
    <x v="2"/>
    <x v="1"/>
    <s v="Female"/>
    <x v="2"/>
    <n v="16.37"/>
    <n v="6"/>
    <n v="4.9109999999999996"/>
    <n v="103.131"/>
    <d v="2019-08-02T00:00:00"/>
    <d v="1899-12-30T10:58:00"/>
    <s v="Cash"/>
    <n v="98.22"/>
    <n v="4.7619047620000003"/>
    <n v="4.9109999999999996"/>
    <n v="7"/>
    <d v="2019-02-08T00:00:00"/>
    <x v="2"/>
    <x v="1"/>
  </r>
  <r>
    <s v="838-02-1821"/>
    <x v="1"/>
    <x v="1"/>
    <x v="0"/>
    <s v="Female"/>
    <x v="2"/>
    <n v="12.73"/>
    <n v="2"/>
    <n v="1.2729999999999999"/>
    <n v="26.733000000000001"/>
    <s v="2/22/2019"/>
    <d v="1899-12-30T12:10:00"/>
    <s v="Credit card"/>
    <n v="25.46"/>
    <n v="4.7619047620000003"/>
    <n v="1.2729999999999999"/>
    <n v="5.2"/>
    <d v="2019-02-22T00:00:00"/>
    <x v="2"/>
    <x v="10"/>
  </r>
  <r>
    <s v="887-42-0517"/>
    <x v="1"/>
    <x v="1"/>
    <x v="1"/>
    <s v="Female"/>
    <x v="3"/>
    <n v="83.14"/>
    <n v="7"/>
    <n v="29.099"/>
    <n v="611.07899999999995"/>
    <d v="2019-10-01T00:00:00"/>
    <d v="1899-12-30T10:31:00"/>
    <s v="Credit card"/>
    <n v="581.98"/>
    <n v="4.7619047620000003"/>
    <n v="29.099"/>
    <n v="6.6"/>
    <d v="2019-01-10T00:00:00"/>
    <x v="0"/>
    <x v="1"/>
  </r>
  <r>
    <s v="457-12-0244"/>
    <x v="1"/>
    <x v="1"/>
    <x v="0"/>
    <s v="Female"/>
    <x v="3"/>
    <n v="35.22"/>
    <n v="6"/>
    <n v="10.566000000000001"/>
    <n v="221.886"/>
    <s v="3/14/2019"/>
    <d v="1899-12-30T13:49:00"/>
    <s v="Ewallet"/>
    <n v="211.32"/>
    <n v="4.7619047620000003"/>
    <n v="10.566000000000001"/>
    <n v="6.5"/>
    <d v="2019-03-14T00:00:00"/>
    <x v="1"/>
    <x v="0"/>
  </r>
  <r>
    <s v="226-34-0034"/>
    <x v="2"/>
    <x v="2"/>
    <x v="1"/>
    <s v="Female"/>
    <x v="1"/>
    <n v="13.78"/>
    <n v="4"/>
    <n v="2.7559999999999998"/>
    <n v="57.875999999999998"/>
    <d v="2019-10-01T00:00:00"/>
    <d v="1899-12-30T11:10:00"/>
    <s v="Ewallet"/>
    <n v="55.12"/>
    <n v="4.7619047620000003"/>
    <n v="2.7559999999999998"/>
    <n v="9"/>
    <d v="2019-01-10T00:00:00"/>
    <x v="0"/>
    <x v="5"/>
  </r>
  <r>
    <s v="321-49-7382"/>
    <x v="2"/>
    <x v="2"/>
    <x v="0"/>
    <s v="Male"/>
    <x v="3"/>
    <n v="88.31"/>
    <n v="1"/>
    <n v="4.4154999999999998"/>
    <n v="92.725499999999997"/>
    <s v="2/15/2019"/>
    <d v="1899-12-30T17:38:00"/>
    <s v="Credit card"/>
    <n v="88.31"/>
    <n v="4.7619047620000003"/>
    <n v="4.4154999999999998"/>
    <n v="5.2"/>
    <d v="2019-02-15T00:00:00"/>
    <x v="2"/>
    <x v="6"/>
  </r>
  <r>
    <s v="397-25-8725"/>
    <x v="0"/>
    <x v="0"/>
    <x v="0"/>
    <s v="Female"/>
    <x v="0"/>
    <n v="39.619999999999997"/>
    <n v="9"/>
    <n v="17.829000000000001"/>
    <n v="374.40899999999999"/>
    <s v="1/13/2019"/>
    <d v="1899-12-30T17:54:00"/>
    <s v="Credit card"/>
    <n v="356.58"/>
    <n v="4.7619047620000003"/>
    <n v="17.829000000000001"/>
    <n v="6.8"/>
    <d v="2019-01-13T00:00:00"/>
    <x v="0"/>
    <x v="6"/>
  </r>
  <r>
    <s v="431-66-2305"/>
    <x v="2"/>
    <x v="2"/>
    <x v="1"/>
    <s v="Female"/>
    <x v="1"/>
    <n v="88.25"/>
    <n v="9"/>
    <n v="39.712499999999999"/>
    <n v="833.96249999999998"/>
    <s v="2/15/2019"/>
    <d v="1899-12-30T20:51:00"/>
    <s v="Credit card"/>
    <n v="794.25"/>
    <n v="4.7619047620000003"/>
    <n v="39.712499999999999"/>
    <n v="7.6"/>
    <d v="2019-02-15T00:00:00"/>
    <x v="2"/>
    <x v="2"/>
  </r>
  <r>
    <s v="825-94-5922"/>
    <x v="2"/>
    <x v="2"/>
    <x v="1"/>
    <s v="Male"/>
    <x v="3"/>
    <n v="25.31"/>
    <n v="2"/>
    <n v="2.5310000000000001"/>
    <n v="53.151000000000003"/>
    <d v="2019-02-03T00:00:00"/>
    <d v="1899-12-30T19:26:00"/>
    <s v="Ewallet"/>
    <n v="50.62"/>
    <n v="4.7619047620000003"/>
    <n v="2.5310000000000001"/>
    <n v="7.2"/>
    <d v="2019-03-02T00:00:00"/>
    <x v="1"/>
    <x v="8"/>
  </r>
  <r>
    <s v="641-62-7288"/>
    <x v="2"/>
    <x v="2"/>
    <x v="1"/>
    <s v="Male"/>
    <x v="2"/>
    <n v="99.92"/>
    <n v="6"/>
    <n v="29.975999999999999"/>
    <n v="629.49599999999998"/>
    <s v="3/24/2019"/>
    <d v="1899-12-30T13:33:00"/>
    <s v="Ewallet"/>
    <n v="599.52"/>
    <n v="4.7619047620000003"/>
    <n v="29.975999999999999"/>
    <n v="7.1"/>
    <d v="2019-03-24T00:00:00"/>
    <x v="1"/>
    <x v="0"/>
  </r>
  <r>
    <s v="756-93-1854"/>
    <x v="1"/>
    <x v="1"/>
    <x v="0"/>
    <s v="Female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  <d v="2019-02-02T00:00:00"/>
    <x v="2"/>
    <x v="4"/>
  </r>
  <r>
    <s v="243-55-8457"/>
    <x v="0"/>
    <x v="0"/>
    <x v="1"/>
    <s v="Female"/>
    <x v="4"/>
    <n v="74.44"/>
    <n v="10"/>
    <n v="37.22"/>
    <n v="781.62"/>
    <s v="2/27/2019"/>
    <d v="1899-12-30T11:40:00"/>
    <s v="Ewallet"/>
    <n v="744.4"/>
    <n v="4.7619047620000003"/>
    <n v="37.22"/>
    <n v="5.0999999999999996"/>
    <d v="2019-02-27T00:00:00"/>
    <x v="2"/>
    <x v="5"/>
  </r>
  <r>
    <s v="458-10-8612"/>
    <x v="1"/>
    <x v="1"/>
    <x v="1"/>
    <s v="Male"/>
    <x v="0"/>
    <n v="64.08"/>
    <n v="7"/>
    <n v="22.428000000000001"/>
    <n v="470.988"/>
    <s v="1/20/2019"/>
    <d v="1899-12-30T12:27:00"/>
    <s v="Ewallet"/>
    <n v="448.56"/>
    <n v="4.7619047620000003"/>
    <n v="22.428000000000001"/>
    <n v="7.6"/>
    <d v="2019-01-20T00:00:00"/>
    <x v="0"/>
    <x v="10"/>
  </r>
  <r>
    <s v="501-61-1753"/>
    <x v="2"/>
    <x v="2"/>
    <x v="1"/>
    <s v="Female"/>
    <x v="2"/>
    <n v="63.15"/>
    <n v="6"/>
    <n v="18.945"/>
    <n v="397.84500000000003"/>
    <d v="2019-03-01T00:00:00"/>
    <d v="1899-12-30T20:24:00"/>
    <s v="Ewallet"/>
    <n v="378.9"/>
    <n v="4.7619047620000003"/>
    <n v="18.945"/>
    <n v="9.8000000000000007"/>
    <d v="2019-01-03T00:00:00"/>
    <x v="0"/>
    <x v="2"/>
  </r>
  <r>
    <s v="235-06-8510"/>
    <x v="1"/>
    <x v="1"/>
    <x v="0"/>
    <s v="Male"/>
    <x v="2"/>
    <n v="85.72"/>
    <n v="3"/>
    <n v="12.858000000000001"/>
    <n v="270.01799999999997"/>
    <s v="1/24/2019"/>
    <d v="1899-12-30T20:59:00"/>
    <s v="Ewallet"/>
    <n v="257.16000000000003"/>
    <n v="4.7619047620000003"/>
    <n v="12.858000000000001"/>
    <n v="5.0999999999999996"/>
    <d v="2019-01-24T00:00:00"/>
    <x v="0"/>
    <x v="2"/>
  </r>
  <r>
    <s v="433-08-7822"/>
    <x v="1"/>
    <x v="1"/>
    <x v="1"/>
    <s v="Female"/>
    <x v="0"/>
    <n v="78.89"/>
    <n v="7"/>
    <n v="27.611499999999999"/>
    <n v="579.8415"/>
    <d v="2019-05-01T00:00:00"/>
    <d v="1899-12-30T19:48:00"/>
    <s v="Ewallet"/>
    <n v="552.23"/>
    <n v="4.7619047620000003"/>
    <n v="27.611499999999999"/>
    <n v="7.5"/>
    <d v="2019-01-05T00:00:00"/>
    <x v="0"/>
    <x v="8"/>
  </r>
  <r>
    <s v="361-85-2571"/>
    <x v="0"/>
    <x v="0"/>
    <x v="1"/>
    <s v="Female"/>
    <x v="3"/>
    <n v="89.48"/>
    <n v="5"/>
    <n v="22.37"/>
    <n v="469.77"/>
    <s v="3/30/2019"/>
    <d v="1899-12-30T10:18:00"/>
    <s v="Cash"/>
    <n v="447.4"/>
    <n v="4.7619047620000003"/>
    <n v="22.37"/>
    <n v="7.4"/>
    <d v="2019-03-30T00:00:00"/>
    <x v="1"/>
    <x v="1"/>
  </r>
  <r>
    <s v="131-70-8179"/>
    <x v="0"/>
    <x v="0"/>
    <x v="0"/>
    <s v="Female"/>
    <x v="0"/>
    <n v="92.09"/>
    <n v="3"/>
    <n v="13.813499999999999"/>
    <n v="290.08350000000002"/>
    <s v="2/17/2019"/>
    <d v="1899-12-30T16:27:00"/>
    <s v="Cash"/>
    <n v="276.27"/>
    <n v="4.7619047620000003"/>
    <n v="13.813499999999999"/>
    <n v="4.2"/>
    <d v="2019-02-17T00:00:00"/>
    <x v="2"/>
    <x v="7"/>
  </r>
  <r>
    <s v="500-02-2261"/>
    <x v="1"/>
    <x v="1"/>
    <x v="1"/>
    <s v="Female"/>
    <x v="4"/>
    <n v="57.29"/>
    <n v="6"/>
    <n v="17.187000000000001"/>
    <n v="360.92700000000002"/>
    <s v="3/21/2019"/>
    <d v="1899-12-30T17:04:00"/>
    <s v="Ewallet"/>
    <n v="343.74"/>
    <n v="4.7619047620000003"/>
    <n v="17.187000000000001"/>
    <n v="5.9"/>
    <d v="2019-03-21T00:00:00"/>
    <x v="1"/>
    <x v="6"/>
  </r>
  <r>
    <s v="720-72-2436"/>
    <x v="0"/>
    <x v="0"/>
    <x v="1"/>
    <s v="Male"/>
    <x v="4"/>
    <n v="66.52"/>
    <n v="4"/>
    <n v="13.304"/>
    <n v="279.38400000000001"/>
    <d v="2019-02-03T00:00:00"/>
    <d v="1899-12-30T18:14:00"/>
    <s v="Ewallet"/>
    <n v="266.08"/>
    <n v="4.7619047620000003"/>
    <n v="13.304"/>
    <n v="6.9"/>
    <d v="2019-03-02T00:00:00"/>
    <x v="1"/>
    <x v="3"/>
  </r>
  <r>
    <s v="702-83-5291"/>
    <x v="1"/>
    <x v="1"/>
    <x v="0"/>
    <s v="Male"/>
    <x v="5"/>
    <n v="99.82"/>
    <n v="9"/>
    <n v="44.918999999999997"/>
    <n v="943.29899999999998"/>
    <s v="3/27/2019"/>
    <d v="1899-12-30T10:43:00"/>
    <s v="Cash"/>
    <n v="898.38"/>
    <n v="4.7619047620000003"/>
    <n v="44.918999999999997"/>
    <n v="6.6"/>
    <d v="2019-03-27T00:00:00"/>
    <x v="1"/>
    <x v="1"/>
  </r>
  <r>
    <s v="809-69-9497"/>
    <x v="0"/>
    <x v="0"/>
    <x v="1"/>
    <s v="Female"/>
    <x v="2"/>
    <n v="45.68"/>
    <n v="10"/>
    <n v="22.84"/>
    <n v="479.64"/>
    <s v="1/19/2019"/>
    <d v="1899-12-30T19:30:00"/>
    <s v="Ewallet"/>
    <n v="456.8"/>
    <n v="4.7619047620000003"/>
    <n v="22.84"/>
    <n v="5.7"/>
    <d v="2019-01-19T00:00:00"/>
    <x v="0"/>
    <x v="8"/>
  </r>
  <r>
    <s v="449-16-6770"/>
    <x v="0"/>
    <x v="0"/>
    <x v="1"/>
    <s v="Male"/>
    <x v="0"/>
    <n v="50.79"/>
    <n v="5"/>
    <n v="12.6975"/>
    <n v="266.64749999999998"/>
    <s v="2/19/2019"/>
    <d v="1899-12-30T14:53:00"/>
    <s v="Credit card"/>
    <n v="253.95"/>
    <n v="4.7619047620000003"/>
    <n v="12.6975"/>
    <n v="5.3"/>
    <d v="2019-02-19T00:00:00"/>
    <x v="2"/>
    <x v="4"/>
  </r>
  <r>
    <s v="333-23-2632"/>
    <x v="0"/>
    <x v="0"/>
    <x v="0"/>
    <s v="Male"/>
    <x v="0"/>
    <n v="10.08"/>
    <n v="7"/>
    <n v="3.528"/>
    <n v="74.087999999999994"/>
    <s v="3/28/2019"/>
    <d v="1899-12-30T20:14:00"/>
    <s v="Cash"/>
    <n v="70.56"/>
    <n v="4.7619047620000003"/>
    <n v="3.528"/>
    <n v="4.2"/>
    <d v="2019-03-28T00:00:00"/>
    <x v="1"/>
    <x v="2"/>
  </r>
  <r>
    <s v="489-82-1237"/>
    <x v="0"/>
    <x v="0"/>
    <x v="1"/>
    <s v="Female"/>
    <x v="1"/>
    <n v="93.88"/>
    <n v="7"/>
    <n v="32.857999999999997"/>
    <n v="690.01800000000003"/>
    <d v="2019-05-01T00:00:00"/>
    <d v="1899-12-30T11:51:00"/>
    <s v="Credit card"/>
    <n v="657.16"/>
    <n v="4.7619047620000003"/>
    <n v="32.857999999999997"/>
    <n v="7.3"/>
    <d v="2019-01-05T00:00:00"/>
    <x v="0"/>
    <x v="5"/>
  </r>
  <r>
    <s v="859-97-6048"/>
    <x v="1"/>
    <x v="1"/>
    <x v="0"/>
    <s v="Male"/>
    <x v="1"/>
    <n v="84.25"/>
    <n v="2"/>
    <n v="8.4250000000000007"/>
    <n v="176.92500000000001"/>
    <s v="3/26/2019"/>
    <d v="1899-12-30T14:13:00"/>
    <s v="Credit card"/>
    <n v="168.5"/>
    <n v="4.7619047620000003"/>
    <n v="8.4250000000000007"/>
    <n v="5.3"/>
    <d v="2019-03-26T00:00:00"/>
    <x v="1"/>
    <x v="4"/>
  </r>
  <r>
    <s v="676-10-2200"/>
    <x v="2"/>
    <x v="2"/>
    <x v="0"/>
    <s v="Male"/>
    <x v="5"/>
    <n v="53.78"/>
    <n v="1"/>
    <n v="2.6890000000000001"/>
    <n v="56.469000000000001"/>
    <d v="2019-03-02T00:00:00"/>
    <d v="1899-12-30T20:13:00"/>
    <s v="Ewallet"/>
    <n v="53.78"/>
    <n v="4.7619047620000003"/>
    <n v="2.6890000000000001"/>
    <n v="4.7"/>
    <d v="2019-02-03T00:00:00"/>
    <x v="2"/>
    <x v="2"/>
  </r>
  <r>
    <s v="373-88-1424"/>
    <x v="1"/>
    <x v="1"/>
    <x v="0"/>
    <s v="Male"/>
    <x v="2"/>
    <n v="35.81"/>
    <n v="5"/>
    <n v="8.9525000000000006"/>
    <n v="188.0025"/>
    <d v="2019-06-02T00:00:00"/>
    <d v="1899-12-30T18:44:00"/>
    <s v="Ewallet"/>
    <n v="179.05"/>
    <n v="4.7619047620000003"/>
    <n v="8.9525000000000006"/>
    <n v="7.9"/>
    <d v="2019-02-06T00:00:00"/>
    <x v="2"/>
    <x v="3"/>
  </r>
  <r>
    <s v="365-16-4334"/>
    <x v="2"/>
    <x v="2"/>
    <x v="1"/>
    <s v="Female"/>
    <x v="4"/>
    <n v="26.43"/>
    <n v="8"/>
    <n v="10.571999999999999"/>
    <n v="222.012"/>
    <s v="2/24/2019"/>
    <d v="1899-12-30T14:26:00"/>
    <s v="Ewallet"/>
    <n v="211.44"/>
    <n v="4.7619047620000003"/>
    <n v="10.571999999999999"/>
    <n v="8.9"/>
    <d v="2019-02-24T00:00:00"/>
    <x v="2"/>
    <x v="4"/>
  </r>
  <r>
    <s v="503-21-4385"/>
    <x v="2"/>
    <x v="2"/>
    <x v="0"/>
    <s v="Male"/>
    <x v="0"/>
    <n v="39.909999999999997"/>
    <n v="3"/>
    <n v="5.9865000000000004"/>
    <n v="125.7165"/>
    <s v="2/21/2019"/>
    <d v="1899-12-30T12:40:00"/>
    <s v="Ewallet"/>
    <n v="119.73"/>
    <n v="4.7619047620000003"/>
    <n v="5.9865000000000004"/>
    <n v="9.3000000000000007"/>
    <d v="2019-02-21T00:00:00"/>
    <x v="2"/>
    <x v="10"/>
  </r>
  <r>
    <s v="305-89-2768"/>
    <x v="2"/>
    <x v="2"/>
    <x v="0"/>
    <s v="Female"/>
    <x v="2"/>
    <n v="21.9"/>
    <n v="3"/>
    <n v="3.2850000000000001"/>
    <n v="68.984999999999999"/>
    <d v="2019-09-01T00:00:00"/>
    <d v="1899-12-30T18:43:00"/>
    <s v="Ewallet"/>
    <n v="65.7"/>
    <n v="4.7619047620000003"/>
    <n v="3.2850000000000001"/>
    <n v="4.7"/>
    <d v="2019-01-09T00:00:00"/>
    <x v="0"/>
    <x v="3"/>
  </r>
  <r>
    <s v="574-80-1489"/>
    <x v="2"/>
    <x v="2"/>
    <x v="0"/>
    <s v="Female"/>
    <x v="4"/>
    <n v="62.85"/>
    <n v="4"/>
    <n v="12.57"/>
    <n v="263.97000000000003"/>
    <s v="2/25/2019"/>
    <d v="1899-12-30T13:22:00"/>
    <s v="Ewallet"/>
    <n v="251.4"/>
    <n v="4.7619047620000003"/>
    <n v="12.57"/>
    <n v="8.6999999999999993"/>
    <d v="2019-02-25T00:00:00"/>
    <x v="2"/>
    <x v="0"/>
  </r>
  <r>
    <s v="784-08-0310"/>
    <x v="1"/>
    <x v="1"/>
    <x v="0"/>
    <s v="Female"/>
    <x v="4"/>
    <n v="21.04"/>
    <n v="4"/>
    <n v="4.2080000000000002"/>
    <n v="88.367999999999995"/>
    <s v="1/13/2019"/>
    <d v="1899-12-30T13:58:00"/>
    <s v="Cash"/>
    <n v="84.16"/>
    <n v="4.7619047620000003"/>
    <n v="4.2080000000000002"/>
    <n v="7.6"/>
    <d v="2019-01-13T00:00:00"/>
    <x v="0"/>
    <x v="0"/>
  </r>
  <r>
    <s v="200-40-6154"/>
    <x v="2"/>
    <x v="2"/>
    <x v="0"/>
    <s v="Male"/>
    <x v="2"/>
    <n v="65.91"/>
    <n v="6"/>
    <n v="19.773"/>
    <n v="415.233"/>
    <d v="2019-09-02T00:00:00"/>
    <d v="1899-12-30T11:45:00"/>
    <s v="Cash"/>
    <n v="395.46"/>
    <n v="4.7619047620000003"/>
    <n v="19.773"/>
    <n v="5.7"/>
    <d v="2019-02-09T00:00:00"/>
    <x v="2"/>
    <x v="5"/>
  </r>
  <r>
    <s v="846-10-0341"/>
    <x v="0"/>
    <x v="0"/>
    <x v="1"/>
    <s v="Female"/>
    <x v="5"/>
    <n v="42.57"/>
    <n v="7"/>
    <n v="14.8995"/>
    <n v="312.8895"/>
    <d v="2019-06-01T00:00:00"/>
    <d v="1899-12-30T11:51:00"/>
    <s v="Cash"/>
    <n v="297.99"/>
    <n v="4.7619047620000003"/>
    <n v="14.8995"/>
    <n v="6.8"/>
    <d v="2019-01-06T00:00:00"/>
    <x v="0"/>
    <x v="5"/>
  </r>
  <r>
    <s v="577-34-7579"/>
    <x v="1"/>
    <x v="1"/>
    <x v="0"/>
    <s v="Male"/>
    <x v="4"/>
    <n v="50.49"/>
    <n v="9"/>
    <n v="22.720500000000001"/>
    <n v="477.13049999999998"/>
    <d v="2019-10-01T00:00:00"/>
    <d v="1899-12-30T17:16:00"/>
    <s v="Cash"/>
    <n v="454.41"/>
    <n v="4.7619047620000003"/>
    <n v="22.720500000000001"/>
    <n v="5.4"/>
    <d v="2019-01-10T00:00:00"/>
    <x v="0"/>
    <x v="6"/>
  </r>
  <r>
    <s v="430-02-3888"/>
    <x v="2"/>
    <x v="2"/>
    <x v="1"/>
    <s v="Male"/>
    <x v="1"/>
    <n v="46.02"/>
    <n v="6"/>
    <n v="13.805999999999999"/>
    <n v="289.92599999999999"/>
    <d v="2019-07-02T00:00:00"/>
    <d v="1899-12-30T15:55:00"/>
    <s v="Cash"/>
    <n v="276.12"/>
    <n v="4.7619047620000003"/>
    <n v="13.805999999999999"/>
    <n v="7.1"/>
    <d v="2019-02-07T00:00:00"/>
    <x v="2"/>
    <x v="9"/>
  </r>
  <r>
    <s v="867-47-1948"/>
    <x v="1"/>
    <x v="1"/>
    <x v="1"/>
    <s v="Female"/>
    <x v="2"/>
    <n v="15.8"/>
    <n v="10"/>
    <n v="7.9"/>
    <n v="165.9"/>
    <d v="2019-09-01T00:00:00"/>
    <d v="1899-12-30T12:07:00"/>
    <s v="Cash"/>
    <n v="158"/>
    <n v="4.7619047620000003"/>
    <n v="7.9"/>
    <n v="7.8"/>
    <d v="2019-01-09T00:00:00"/>
    <x v="0"/>
    <x v="10"/>
  </r>
  <r>
    <s v="384-59-6655"/>
    <x v="0"/>
    <x v="0"/>
    <x v="0"/>
    <s v="Female"/>
    <x v="4"/>
    <n v="98.66"/>
    <n v="9"/>
    <n v="44.396999999999998"/>
    <n v="932.33699999999999"/>
    <s v="2/19/2019"/>
    <d v="1899-12-30T15:07:00"/>
    <s v="Cash"/>
    <n v="887.94"/>
    <n v="4.7619047620000003"/>
    <n v="44.396999999999998"/>
    <n v="8.4"/>
    <d v="2019-02-19T00:00:00"/>
    <x v="2"/>
    <x v="9"/>
  </r>
  <r>
    <s v="256-58-3609"/>
    <x v="1"/>
    <x v="1"/>
    <x v="0"/>
    <s v="Male"/>
    <x v="5"/>
    <n v="91.98"/>
    <n v="1"/>
    <n v="4.5990000000000002"/>
    <n v="96.578999999999994"/>
    <s v="3/18/2019"/>
    <d v="1899-12-30T15:29:00"/>
    <s v="Cash"/>
    <n v="91.98"/>
    <n v="4.7619047620000003"/>
    <n v="4.5990000000000002"/>
    <n v="9.8000000000000007"/>
    <d v="2019-03-18T00:00:00"/>
    <x v="1"/>
    <x v="9"/>
  </r>
  <r>
    <s v="324-92-3863"/>
    <x v="0"/>
    <x v="0"/>
    <x v="0"/>
    <s v="Male"/>
    <x v="1"/>
    <n v="20.89"/>
    <n v="2"/>
    <n v="2.089"/>
    <n v="43.869"/>
    <d v="2019-05-02T00:00:00"/>
    <d v="1899-12-30T18:45:00"/>
    <s v="Cash"/>
    <n v="41.78"/>
    <n v="4.7619047620000003"/>
    <n v="2.089"/>
    <n v="9.8000000000000007"/>
    <d v="2019-02-05T00:00:00"/>
    <x v="2"/>
    <x v="3"/>
  </r>
  <r>
    <s v="593-08-5916"/>
    <x v="0"/>
    <x v="0"/>
    <x v="1"/>
    <s v="Female"/>
    <x v="5"/>
    <n v="15.5"/>
    <n v="1"/>
    <n v="0.77500000000000002"/>
    <n v="16.274999999999999"/>
    <s v="3/19/2019"/>
    <d v="1899-12-30T15:23:00"/>
    <s v="Credit card"/>
    <n v="15.5"/>
    <n v="4.7619047620000003"/>
    <n v="0.77500000000000002"/>
    <n v="7.4"/>
    <d v="2019-03-19T00:00:00"/>
    <x v="1"/>
    <x v="9"/>
  </r>
  <r>
    <s v="364-34-2972"/>
    <x v="1"/>
    <x v="1"/>
    <x v="0"/>
    <s v="Male"/>
    <x v="1"/>
    <n v="96.82"/>
    <n v="3"/>
    <n v="14.523"/>
    <n v="304.983"/>
    <s v="3/30/2019"/>
    <d v="1899-12-30T20:37:00"/>
    <s v="Cash"/>
    <n v="290.45999999999998"/>
    <n v="4.7619047620000003"/>
    <n v="14.523"/>
    <n v="6.7"/>
    <d v="2019-03-30T00:00:00"/>
    <x v="1"/>
    <x v="2"/>
  </r>
  <r>
    <s v="794-42-3736"/>
    <x v="2"/>
    <x v="2"/>
    <x v="1"/>
    <s v="Male"/>
    <x v="4"/>
    <n v="33.33"/>
    <n v="2"/>
    <n v="3.3330000000000002"/>
    <n v="69.992999999999995"/>
    <s v="1/26/2019"/>
    <d v="1899-12-30T14:41:00"/>
    <s v="Credit card"/>
    <n v="66.66"/>
    <n v="4.7619047620000003"/>
    <n v="3.3330000000000002"/>
    <n v="6.4"/>
    <d v="2019-01-26T00:00:00"/>
    <x v="0"/>
    <x v="4"/>
  </r>
  <r>
    <s v="172-42-8274"/>
    <x v="2"/>
    <x v="2"/>
    <x v="1"/>
    <s v="Female"/>
    <x v="1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n v="5.8"/>
    <d v="2019-03-02T00:00:00"/>
    <x v="1"/>
    <x v="3"/>
  </r>
  <r>
    <s v="558-60-5016"/>
    <x v="0"/>
    <x v="0"/>
    <x v="1"/>
    <s v="Female"/>
    <x v="2"/>
    <n v="33.299999999999997"/>
    <n v="9"/>
    <n v="14.984999999999999"/>
    <n v="314.685"/>
    <d v="2019-04-03T00:00:00"/>
    <d v="1899-12-30T15:27:00"/>
    <s v="Ewallet"/>
    <n v="299.7"/>
    <n v="4.7619047620000003"/>
    <n v="14.984999999999999"/>
    <n v="7.2"/>
    <d v="2019-03-04T00:00:00"/>
    <x v="1"/>
    <x v="9"/>
  </r>
  <r>
    <s v="195-06-0432"/>
    <x v="0"/>
    <x v="0"/>
    <x v="0"/>
    <s v="Male"/>
    <x v="2"/>
    <n v="81.010000000000005"/>
    <n v="3"/>
    <n v="12.1515"/>
    <n v="255.1815"/>
    <s v="1/13/2019"/>
    <d v="1899-12-30T12:55:00"/>
    <s v="Credit card"/>
    <n v="243.03"/>
    <n v="4.7619047620000003"/>
    <n v="12.1515"/>
    <n v="9.3000000000000007"/>
    <d v="2019-01-13T00:00:00"/>
    <x v="0"/>
    <x v="10"/>
  </r>
  <r>
    <s v="605-03-2706"/>
    <x v="0"/>
    <x v="0"/>
    <x v="1"/>
    <s v="Female"/>
    <x v="0"/>
    <n v="15.8"/>
    <n v="3"/>
    <n v="2.37"/>
    <n v="49.77"/>
    <s v="3/25/2019"/>
    <d v="1899-12-30T18:02:00"/>
    <s v="Cash"/>
    <n v="47.4"/>
    <n v="4.7619047620000003"/>
    <n v="2.37"/>
    <n v="9.5"/>
    <d v="2019-03-25T00:00:00"/>
    <x v="1"/>
    <x v="3"/>
  </r>
  <r>
    <s v="214-30-2776"/>
    <x v="2"/>
    <x v="2"/>
    <x v="0"/>
    <s v="Female"/>
    <x v="1"/>
    <n v="34.49"/>
    <n v="5"/>
    <n v="8.6225000000000005"/>
    <n v="181.07249999999999"/>
    <d v="2019-11-03T00:00:00"/>
    <d v="1899-12-30T19:44:00"/>
    <s v="Credit card"/>
    <n v="172.45"/>
    <n v="4.7619047620000003"/>
    <n v="8.6225000000000005"/>
    <n v="9"/>
    <d v="2019-03-11T00:00:00"/>
    <x v="1"/>
    <x v="8"/>
  </r>
  <r>
    <s v="746-04-1077"/>
    <x v="2"/>
    <x v="2"/>
    <x v="0"/>
    <s v="Female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d v="2019-01-01T00:00:00"/>
    <x v="0"/>
    <x v="5"/>
  </r>
  <r>
    <s v="448-34-8700"/>
    <x v="2"/>
    <x v="2"/>
    <x v="0"/>
    <s v="Male"/>
    <x v="2"/>
    <n v="36.909999999999997"/>
    <n v="7"/>
    <n v="12.9185"/>
    <n v="271.2885"/>
    <d v="2019-10-02T00:00:00"/>
    <d v="1899-12-30T13:51:00"/>
    <s v="Ewallet"/>
    <n v="258.37"/>
    <n v="4.7619047620000003"/>
    <n v="12.9185"/>
    <n v="6.7"/>
    <d v="2019-02-10T00:00:00"/>
    <x v="2"/>
    <x v="0"/>
  </r>
  <r>
    <s v="452-04-8808"/>
    <x v="2"/>
    <x v="2"/>
    <x v="1"/>
    <s v="Male"/>
    <x v="1"/>
    <n v="87.08"/>
    <n v="7"/>
    <n v="30.478000000000002"/>
    <n v="640.03800000000001"/>
    <s v="1/26/2019"/>
    <d v="1899-12-30T15:17:00"/>
    <s v="Cash"/>
    <n v="609.55999999999995"/>
    <n v="4.7619047620000003"/>
    <n v="30.478000000000002"/>
    <n v="5.5"/>
    <d v="2019-01-26T00:00:00"/>
    <x v="0"/>
    <x v="9"/>
  </r>
  <r>
    <s v="531-56-4728"/>
    <x v="0"/>
    <x v="0"/>
    <x v="1"/>
    <s v="Male"/>
    <x v="2"/>
    <n v="80.08"/>
    <n v="3"/>
    <n v="12.012"/>
    <n v="252.25200000000001"/>
    <d v="2019-11-02T00:00:00"/>
    <d v="1899-12-30T15:29:00"/>
    <s v="Cash"/>
    <n v="240.24"/>
    <n v="4.7619047620000003"/>
    <n v="12.012"/>
    <n v="5.4"/>
    <d v="2019-02-11T00:00:00"/>
    <x v="2"/>
    <x v="9"/>
  </r>
  <r>
    <s v="744-82-9138"/>
    <x v="1"/>
    <x v="1"/>
    <x v="1"/>
    <s v="Male"/>
    <x v="5"/>
    <n v="86.13"/>
    <n v="2"/>
    <n v="8.6129999999999995"/>
    <n v="180.87299999999999"/>
    <d v="2019-07-02T00:00:00"/>
    <d v="1899-12-30T17:59:00"/>
    <s v="Cash"/>
    <n v="172.26"/>
    <n v="4.7619047620000003"/>
    <n v="8.6129999999999995"/>
    <n v="8.1999999999999993"/>
    <d v="2019-02-07T00:00:00"/>
    <x v="2"/>
    <x v="6"/>
  </r>
  <r>
    <s v="883-69-1285"/>
    <x v="2"/>
    <x v="2"/>
    <x v="0"/>
    <s v="Male"/>
    <x v="5"/>
    <n v="49.92"/>
    <n v="2"/>
    <n v="4.992"/>
    <n v="104.83199999999999"/>
    <d v="2019-06-03T00:00:00"/>
    <d v="1899-12-30T11:55:00"/>
    <s v="Credit card"/>
    <n v="99.84"/>
    <n v="4.7619047620000003"/>
    <n v="4.992"/>
    <n v="7"/>
    <d v="2019-03-06T00:00:00"/>
    <x v="1"/>
    <x v="5"/>
  </r>
  <r>
    <s v="221-25-5073"/>
    <x v="0"/>
    <x v="0"/>
    <x v="1"/>
    <s v="Female"/>
    <x v="4"/>
    <n v="74.66"/>
    <n v="4"/>
    <n v="14.932"/>
    <n v="313.572"/>
    <d v="2019-04-03T00:00:00"/>
    <d v="1899-12-30T10:39:00"/>
    <s v="Cash"/>
    <n v="298.64"/>
    <n v="4.7619047620000003"/>
    <n v="14.932"/>
    <n v="8.5"/>
    <d v="2019-03-04T00:00:00"/>
    <x v="1"/>
    <x v="1"/>
  </r>
  <r>
    <s v="518-71-6847"/>
    <x v="2"/>
    <x v="2"/>
    <x v="0"/>
    <s v="Male"/>
    <x v="4"/>
    <n v="26.6"/>
    <n v="6"/>
    <n v="7.98"/>
    <n v="167.58"/>
    <s v="2/26/2019"/>
    <d v="1899-12-30T15:10:00"/>
    <s v="Ewallet"/>
    <n v="159.6"/>
    <n v="4.7619047620000003"/>
    <n v="7.98"/>
    <n v="4.9000000000000004"/>
    <d v="2019-02-26T00:00:00"/>
    <x v="2"/>
    <x v="9"/>
  </r>
  <r>
    <s v="156-20-0370"/>
    <x v="2"/>
    <x v="2"/>
    <x v="1"/>
    <s v="Female"/>
    <x v="1"/>
    <n v="25.45"/>
    <n v="1"/>
    <n v="1.2725"/>
    <n v="26.7225"/>
    <d v="2019-10-03T00:00:00"/>
    <d v="1899-12-30T18:10:00"/>
    <s v="Credit card"/>
    <n v="25.45"/>
    <n v="4.7619047620000003"/>
    <n v="1.2725"/>
    <n v="5.0999999999999996"/>
    <d v="2019-03-10T00:00:00"/>
    <x v="1"/>
    <x v="3"/>
  </r>
  <r>
    <s v="151-33-7434"/>
    <x v="2"/>
    <x v="2"/>
    <x v="1"/>
    <s v="Female"/>
    <x v="4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n v="6.5"/>
    <d v="2019-02-04T00:00:00"/>
    <x v="2"/>
    <x v="2"/>
  </r>
  <r>
    <s v="728-47-9078"/>
    <x v="1"/>
    <x v="1"/>
    <x v="0"/>
    <s v="Male"/>
    <x v="4"/>
    <n v="59.59"/>
    <n v="4"/>
    <n v="11.917999999999999"/>
    <n v="250.27799999999999"/>
    <s v="1/19/2019"/>
    <d v="1899-12-30T12:46:00"/>
    <s v="Cash"/>
    <n v="238.36"/>
    <n v="4.7619047620000003"/>
    <n v="11.917999999999999"/>
    <n v="9.8000000000000007"/>
    <d v="2019-01-19T00:00:00"/>
    <x v="0"/>
    <x v="10"/>
  </r>
  <r>
    <s v="809-46-1866"/>
    <x v="0"/>
    <x v="0"/>
    <x v="1"/>
    <s v="Male"/>
    <x v="0"/>
    <n v="58.15"/>
    <n v="4"/>
    <n v="11.63"/>
    <n v="244.23"/>
    <s v="1/23/2019"/>
    <d v="1899-12-30T17:44:00"/>
    <s v="Cash"/>
    <n v="232.6"/>
    <n v="4.7619047620000003"/>
    <n v="11.63"/>
    <n v="8.4"/>
    <d v="2019-01-23T00:00:00"/>
    <x v="0"/>
    <x v="6"/>
  </r>
  <r>
    <s v="139-32-4183"/>
    <x v="0"/>
    <x v="0"/>
    <x v="0"/>
    <s v="Female"/>
    <x v="3"/>
    <n v="97.48"/>
    <n v="9"/>
    <n v="43.866"/>
    <n v="921.18600000000004"/>
    <s v="3/14/2019"/>
    <d v="1899-12-30T14:19:00"/>
    <s v="Ewallet"/>
    <n v="877.32"/>
    <n v="4.7619047620000003"/>
    <n v="43.866"/>
    <n v="7.4"/>
    <d v="2019-03-14T00:00:00"/>
    <x v="1"/>
    <x v="4"/>
  </r>
  <r>
    <s v="148-41-7930"/>
    <x v="1"/>
    <x v="1"/>
    <x v="1"/>
    <s v="Male"/>
    <x v="0"/>
    <n v="99.96"/>
    <n v="7"/>
    <n v="34.985999999999997"/>
    <n v="734.70600000000002"/>
    <s v="1/23/2019"/>
    <d v="1899-12-30T10:33:00"/>
    <s v="Cash"/>
    <n v="699.72"/>
    <n v="4.7619047620000003"/>
    <n v="34.985999999999997"/>
    <n v="6.1"/>
    <d v="2019-01-23T00:00:00"/>
    <x v="0"/>
    <x v="1"/>
  </r>
  <r>
    <s v="189-40-5216"/>
    <x v="1"/>
    <x v="1"/>
    <x v="1"/>
    <s v="Male"/>
    <x v="1"/>
    <n v="96.37"/>
    <n v="7"/>
    <n v="33.729500000000002"/>
    <n v="708.31949999999995"/>
    <d v="2019-09-01T00:00:00"/>
    <d v="1899-12-30T11:40:00"/>
    <s v="Cash"/>
    <n v="674.59"/>
    <n v="4.7619047620000003"/>
    <n v="33.729500000000002"/>
    <n v="6"/>
    <d v="2019-01-09T00:00:00"/>
    <x v="0"/>
    <x v="5"/>
  </r>
  <r>
    <s v="374-38-5555"/>
    <x v="2"/>
    <x v="2"/>
    <x v="1"/>
    <s v="Female"/>
    <x v="5"/>
    <n v="63.71"/>
    <n v="5"/>
    <n v="15.9275"/>
    <n v="334.47750000000002"/>
    <d v="2019-07-02T00:00:00"/>
    <d v="1899-12-30T19:30:00"/>
    <s v="Ewallet"/>
    <n v="318.55"/>
    <n v="4.7619047620000003"/>
    <n v="15.9275"/>
    <n v="8.5"/>
    <d v="2019-02-07T00:00:00"/>
    <x v="2"/>
    <x v="8"/>
  </r>
  <r>
    <s v="764-44-8999"/>
    <x v="2"/>
    <x v="2"/>
    <x v="1"/>
    <s v="Female"/>
    <x v="0"/>
    <n v="14.76"/>
    <n v="2"/>
    <n v="1.476"/>
    <n v="30.995999999999999"/>
    <s v="2/18/2019"/>
    <d v="1899-12-30T14:42:00"/>
    <s v="Ewallet"/>
    <n v="29.52"/>
    <n v="4.7619047620000003"/>
    <n v="1.476"/>
    <n v="4.3"/>
    <d v="2019-02-18T00:00:00"/>
    <x v="2"/>
    <x v="4"/>
  </r>
  <r>
    <s v="552-44-5977"/>
    <x v="2"/>
    <x v="2"/>
    <x v="0"/>
    <s v="Male"/>
    <x v="0"/>
    <n v="62"/>
    <n v="8"/>
    <n v="24.8"/>
    <n v="520.79999999999995"/>
    <d v="2019-03-01T00:00:00"/>
    <d v="1899-12-30T19:08:00"/>
    <s v="Credit card"/>
    <n v="496"/>
    <n v="4.7619047620000003"/>
    <n v="24.8"/>
    <n v="6.2"/>
    <d v="2019-01-03T00:00:00"/>
    <x v="0"/>
    <x v="8"/>
  </r>
  <r>
    <s v="267-62-7380"/>
    <x v="1"/>
    <x v="1"/>
    <x v="0"/>
    <s v="Male"/>
    <x v="1"/>
    <n v="82.34"/>
    <n v="10"/>
    <n v="41.17"/>
    <n v="864.57"/>
    <s v="3/29/2019"/>
    <d v="1899-12-30T19:12:00"/>
    <s v="Ewallet"/>
    <n v="823.4"/>
    <n v="4.7619047620000003"/>
    <n v="41.17"/>
    <n v="4.3"/>
    <d v="2019-03-29T00:00:00"/>
    <x v="1"/>
    <x v="8"/>
  </r>
  <r>
    <s v="430-53-4718"/>
    <x v="2"/>
    <x v="2"/>
    <x v="0"/>
    <s v="Male"/>
    <x v="0"/>
    <n v="75.37"/>
    <n v="8"/>
    <n v="30.148"/>
    <n v="633.10799999999995"/>
    <s v="1/28/2019"/>
    <d v="1899-12-30T15:46:00"/>
    <s v="Credit card"/>
    <n v="602.96"/>
    <n v="4.7619047620000003"/>
    <n v="30.148"/>
    <n v="8.4"/>
    <d v="2019-01-28T00:00:00"/>
    <x v="0"/>
    <x v="9"/>
  </r>
  <r>
    <s v="886-18-2897"/>
    <x v="0"/>
    <x v="0"/>
    <x v="1"/>
    <s v="Female"/>
    <x v="4"/>
    <n v="56.56"/>
    <n v="5"/>
    <n v="14.14"/>
    <n v="296.94"/>
    <s v="3/22/2019"/>
    <d v="1899-12-30T19:06:00"/>
    <s v="Credit card"/>
    <n v="282.8"/>
    <n v="4.7619047620000003"/>
    <n v="14.14"/>
    <n v="4.5"/>
    <d v="2019-03-22T00:00:00"/>
    <x v="1"/>
    <x v="8"/>
  </r>
  <r>
    <s v="602-16-6955"/>
    <x v="2"/>
    <x v="2"/>
    <x v="1"/>
    <s v="Female"/>
    <x v="3"/>
    <n v="76.599999999999994"/>
    <n v="10"/>
    <n v="38.299999999999997"/>
    <n v="804.3"/>
    <s v="1/24/2019"/>
    <d v="1899-12-30T18:10:00"/>
    <s v="Ewallet"/>
    <n v="766"/>
    <n v="4.7619047620000003"/>
    <n v="38.299999999999997"/>
    <n v="6"/>
    <d v="2019-01-24T00:00:00"/>
    <x v="0"/>
    <x v="3"/>
  </r>
  <r>
    <s v="745-74-0715"/>
    <x v="0"/>
    <x v="0"/>
    <x v="1"/>
    <s v="Male"/>
    <x v="1"/>
    <n v="58.03"/>
    <n v="2"/>
    <n v="5.8029999999999999"/>
    <n v="121.863"/>
    <d v="2019-10-03T00:00:00"/>
    <d v="1899-12-30T20:46:00"/>
    <s v="Ewallet"/>
    <n v="116.06"/>
    <n v="4.7619047620000003"/>
    <n v="5.8029999999999999"/>
    <n v="8.8000000000000007"/>
    <d v="2019-03-10T00:00:00"/>
    <x v="1"/>
    <x v="2"/>
  </r>
  <r>
    <s v="690-01-6631"/>
    <x v="2"/>
    <x v="2"/>
    <x v="1"/>
    <s v="Male"/>
    <x v="5"/>
    <n v="17.489999999999998"/>
    <n v="10"/>
    <n v="8.7449999999999992"/>
    <n v="183.64500000000001"/>
    <s v="2/22/2019"/>
    <d v="1899-12-30T18:35:00"/>
    <s v="Ewallet"/>
    <n v="174.9"/>
    <n v="4.7619047620000003"/>
    <n v="8.7449999999999992"/>
    <n v="6.6"/>
    <d v="2019-02-22T00:00:00"/>
    <x v="2"/>
    <x v="3"/>
  </r>
  <r>
    <s v="652-49-6720"/>
    <x v="1"/>
    <x v="1"/>
    <x v="0"/>
    <s v="Female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d v="2019-02-18T00:00:00"/>
    <x v="2"/>
    <x v="5"/>
  </r>
  <r>
    <s v="233-67-5758"/>
    <x v="1"/>
    <x v="1"/>
    <x v="1"/>
    <s v="Male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d v="2019-01-29T00:00:00"/>
    <x v="0"/>
    <x v="0"/>
  </r>
  <r>
    <s v="303-96-2227"/>
    <x v="2"/>
    <x v="2"/>
    <x v="1"/>
    <s v="Female"/>
    <x v="2"/>
    <n v="97.38"/>
    <n v="10"/>
    <n v="48.69"/>
    <n v="1022.49"/>
    <d v="2019-02-03T00:00:00"/>
    <d v="1899-12-30T17:16:00"/>
    <s v="Ewallet"/>
    <n v="973.8"/>
    <n v="4.7619047620000003"/>
    <n v="48.69"/>
    <n v="4.4000000000000004"/>
    <d v="2019-03-02T00:00:00"/>
    <x v="1"/>
    <x v="6"/>
  </r>
  <r>
    <s v="727-02-1313"/>
    <x v="0"/>
    <x v="0"/>
    <x v="0"/>
    <s v="Male"/>
    <x v="4"/>
    <n v="31.84"/>
    <n v="1"/>
    <n v="1.5920000000000001"/>
    <n v="33.432000000000002"/>
    <d v="2019-09-02T00:00:00"/>
    <d v="1899-12-30T13:22:00"/>
    <s v="Cash"/>
    <n v="31.84"/>
    <n v="4.7619047620000003"/>
    <n v="1.5920000000000001"/>
    <n v="7.7"/>
    <d v="2019-02-09T00:00:00"/>
    <x v="2"/>
    <x v="0"/>
  </r>
  <r>
    <s v="347-56-2442"/>
    <x v="0"/>
    <x v="0"/>
    <x v="1"/>
    <s v="Male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d v="2019-02-22T00:00:00"/>
    <x v="2"/>
    <x v="9"/>
  </r>
  <r>
    <s v="849-09-3807"/>
    <x v="0"/>
    <x v="0"/>
    <x v="0"/>
    <s v="Female"/>
    <x v="5"/>
    <n v="88.34"/>
    <n v="7"/>
    <n v="30.919"/>
    <n v="649.29899999999998"/>
    <d v="2019-02-18T00:00:00"/>
    <d v="1899-12-30T13:28:00"/>
    <s v="Cash"/>
    <n v="618.38"/>
    <n v="4.7619047620000003"/>
    <n v="30.919"/>
    <n v="6.6"/>
    <d v="2019-02-18T00:00:00"/>
    <x v="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s v="Yangon"/>
    <x v="0"/>
    <x v="0"/>
    <x v="0"/>
    <n v="74.69"/>
    <n v="7"/>
    <n v="26.141500000000001"/>
    <n v="548.97149999999999"/>
    <d v="2019-05-01T00:00:00"/>
    <d v="1899-12-30T13:08:00"/>
    <x v="0"/>
    <n v="522.83000000000004"/>
    <n v="4.7619047620000003"/>
    <x v="0"/>
    <n v="9.1"/>
    <d v="2019-01-05T00:00:00"/>
    <n v="1"/>
    <n v="13"/>
    <x v="0"/>
  </r>
  <r>
    <s v="226-31-3081"/>
    <x v="1"/>
    <s v="Naypyitaw"/>
    <x v="1"/>
    <x v="0"/>
    <x v="1"/>
    <n v="15.28"/>
    <n v="5"/>
    <n v="3.82"/>
    <n v="80.22"/>
    <d v="2019-08-03T00:00:00"/>
    <d v="1899-12-30T10:29:00"/>
    <x v="1"/>
    <n v="76.400000000000006"/>
    <n v="4.7619047620000003"/>
    <x v="1"/>
    <n v="9.6"/>
    <d v="2019-03-08T00:00:00"/>
    <n v="3"/>
    <n v="10"/>
    <x v="1"/>
  </r>
  <r>
    <s v="631-41-3108"/>
    <x v="0"/>
    <s v="Yangon"/>
    <x v="1"/>
    <x v="1"/>
    <x v="2"/>
    <n v="46.33"/>
    <n v="7"/>
    <n v="16.215499999999999"/>
    <n v="340.52550000000002"/>
    <d v="2019-03-03T00:00:00"/>
    <d v="1899-12-30T13:23:00"/>
    <x v="2"/>
    <n v="324.31"/>
    <n v="4.7619047620000003"/>
    <x v="2"/>
    <n v="7.4"/>
    <d v="2019-03-03T00:00:00"/>
    <n v="3"/>
    <n v="13"/>
    <x v="2"/>
  </r>
  <r>
    <s v="123-19-1176"/>
    <x v="0"/>
    <s v="Yangon"/>
    <x v="0"/>
    <x v="1"/>
    <x v="0"/>
    <n v="58.22"/>
    <n v="8"/>
    <n v="23.288"/>
    <n v="489.048"/>
    <d v="2019-01-27T00:00:00"/>
    <d v="1899-12-30T20:33:00"/>
    <x v="0"/>
    <n v="465.76"/>
    <n v="4.7619047620000003"/>
    <x v="3"/>
    <n v="8.4"/>
    <d v="2019-01-27T00:00:00"/>
    <n v="1"/>
    <n v="20"/>
    <x v="3"/>
  </r>
  <r>
    <s v="373-73-7910"/>
    <x v="0"/>
    <s v="Yangon"/>
    <x v="1"/>
    <x v="1"/>
    <x v="3"/>
    <n v="86.31"/>
    <n v="7"/>
    <n v="30.208500000000001"/>
    <n v="634.37850000000003"/>
    <d v="2019-08-02T00:00:00"/>
    <d v="1899-12-30T10:37:00"/>
    <x v="0"/>
    <n v="604.16999999999996"/>
    <n v="4.7619047620000003"/>
    <x v="4"/>
    <n v="5.3"/>
    <d v="2019-02-08T00:00:00"/>
    <n v="2"/>
    <n v="10"/>
    <x v="1"/>
  </r>
  <r>
    <s v="699-14-3026"/>
    <x v="1"/>
    <s v="Naypyitaw"/>
    <x v="1"/>
    <x v="1"/>
    <x v="1"/>
    <n v="85.39"/>
    <n v="7"/>
    <n v="29.886500000000002"/>
    <n v="627.61649999999997"/>
    <d v="2019-03-25T00:00:00"/>
    <d v="1899-12-30T18:30:00"/>
    <x v="0"/>
    <n v="597.73"/>
    <n v="4.7619047620000003"/>
    <x v="5"/>
    <n v="4.0999999999999996"/>
    <d v="2019-03-25T00:00:00"/>
    <n v="3"/>
    <n v="18"/>
    <x v="4"/>
  </r>
  <r>
    <s v="355-53-5943"/>
    <x v="0"/>
    <s v="Yangon"/>
    <x v="0"/>
    <x v="0"/>
    <x v="1"/>
    <n v="68.84"/>
    <n v="6"/>
    <n v="20.652000000000001"/>
    <n v="433.69200000000001"/>
    <d v="2019-02-25T00:00:00"/>
    <d v="1899-12-30T14:36:00"/>
    <x v="0"/>
    <n v="413.04"/>
    <n v="4.7619047620000003"/>
    <x v="6"/>
    <n v="5.8"/>
    <d v="2019-02-25T00:00:00"/>
    <n v="2"/>
    <n v="14"/>
    <x v="4"/>
  </r>
  <r>
    <s v="315-22-5665"/>
    <x v="1"/>
    <s v="Naypyitaw"/>
    <x v="1"/>
    <x v="0"/>
    <x v="2"/>
    <n v="73.56"/>
    <n v="10"/>
    <n v="36.78"/>
    <n v="772.38"/>
    <d v="2019-02-24T00:00:00"/>
    <d v="1899-12-30T11:38:00"/>
    <x v="0"/>
    <n v="735.6"/>
    <n v="4.7619047620000003"/>
    <x v="7"/>
    <n v="8"/>
    <d v="2019-02-24T00:00:00"/>
    <n v="2"/>
    <n v="11"/>
    <x v="5"/>
  </r>
  <r>
    <s v="665-32-9167"/>
    <x v="0"/>
    <s v="Yangon"/>
    <x v="0"/>
    <x v="0"/>
    <x v="0"/>
    <n v="36.26"/>
    <n v="2"/>
    <n v="3.6259999999999999"/>
    <n v="76.146000000000001"/>
    <d v="2019-10-01T00:00:00"/>
    <d v="1899-12-30T17:15:00"/>
    <x v="2"/>
    <n v="72.52"/>
    <n v="4.7619047620000003"/>
    <x v="8"/>
    <n v="7.2"/>
    <d v="2019-01-10T00:00:00"/>
    <n v="1"/>
    <n v="17"/>
    <x v="6"/>
  </r>
  <r>
    <s v="692-92-5582"/>
    <x v="2"/>
    <s v="Mandalay"/>
    <x v="0"/>
    <x v="0"/>
    <x v="4"/>
    <n v="54.84"/>
    <n v="3"/>
    <n v="8.2260000000000009"/>
    <n v="172.74600000000001"/>
    <d v="2019-01-20T00:00:00"/>
    <d v="1899-12-30T13:27:00"/>
    <x v="2"/>
    <n v="164.52"/>
    <n v="4.7619047620000003"/>
    <x v="9"/>
    <n v="5.9"/>
    <d v="2019-01-20T00:00:00"/>
    <n v="1"/>
    <n v="13"/>
    <x v="7"/>
  </r>
  <r>
    <s v="351-62-0822"/>
    <x v="2"/>
    <s v="Mandalay"/>
    <x v="0"/>
    <x v="0"/>
    <x v="5"/>
    <n v="14.48"/>
    <n v="4"/>
    <n v="2.8959999999999999"/>
    <n v="60.816000000000003"/>
    <d v="2019-02-06T00:00:00"/>
    <d v="1899-12-30T18:07:00"/>
    <x v="0"/>
    <n v="57.92"/>
    <n v="4.7619047620000003"/>
    <x v="10"/>
    <n v="4.5"/>
    <d v="2019-06-02T00:00:00"/>
    <n v="6"/>
    <n v="18"/>
    <x v="8"/>
  </r>
  <r>
    <s v="529-56-3974"/>
    <x v="2"/>
    <s v="Mandalay"/>
    <x v="0"/>
    <x v="1"/>
    <x v="1"/>
    <n v="25.51"/>
    <n v="4"/>
    <n v="5.1020000000000003"/>
    <n v="107.142"/>
    <d v="2019-09-03T00:00:00"/>
    <d v="1899-12-30T17:03:00"/>
    <x v="1"/>
    <n v="102.04"/>
    <n v="4.7619047620000003"/>
    <x v="11"/>
    <n v="6.8"/>
    <d v="2019-03-09T00:00:00"/>
    <n v="3"/>
    <n v="17"/>
    <x v="9"/>
  </r>
  <r>
    <s v="365-64-0515"/>
    <x v="0"/>
    <s v="Yangon"/>
    <x v="1"/>
    <x v="0"/>
    <x v="1"/>
    <n v="46.95"/>
    <n v="5"/>
    <n v="11.737500000000001"/>
    <n v="246.48750000000001"/>
    <d v="2019-12-02T00:00:00"/>
    <d v="1899-12-30T10:25:00"/>
    <x v="0"/>
    <n v="234.75"/>
    <n v="4.7619047620000003"/>
    <x v="12"/>
    <n v="7.1"/>
    <d v="2019-02-12T00:00:00"/>
    <n v="2"/>
    <n v="10"/>
    <x v="10"/>
  </r>
  <r>
    <s v="252-56-2699"/>
    <x v="0"/>
    <s v="Yangon"/>
    <x v="1"/>
    <x v="1"/>
    <x v="4"/>
    <n v="43.19"/>
    <n v="10"/>
    <n v="21.594999999999999"/>
    <n v="453.495"/>
    <d v="2019-07-02T00:00:00"/>
    <d v="1899-12-30T16:48:00"/>
    <x v="0"/>
    <n v="431.9"/>
    <n v="4.7619047620000003"/>
    <x v="13"/>
    <n v="8.1999999999999993"/>
    <d v="2019-02-07T00:00:00"/>
    <n v="2"/>
    <n v="16"/>
    <x v="11"/>
  </r>
  <r>
    <s v="829-34-3910"/>
    <x v="0"/>
    <s v="Yangon"/>
    <x v="1"/>
    <x v="0"/>
    <x v="0"/>
    <n v="71.38"/>
    <n v="10"/>
    <n v="35.69"/>
    <n v="749.49"/>
    <s v="3/29/2019"/>
    <d v="1899-12-30T19:21:00"/>
    <x v="1"/>
    <n v="713.8"/>
    <n v="4.7619047620000003"/>
    <x v="14"/>
    <n v="5.7"/>
    <d v="2019-03-29T00:00:00"/>
    <n v="3"/>
    <n v="19"/>
    <x v="12"/>
  </r>
  <r>
    <s v="299-46-1805"/>
    <x v="2"/>
    <s v="Mandalay"/>
    <x v="0"/>
    <x v="0"/>
    <x v="3"/>
    <n v="93.72"/>
    <n v="6"/>
    <n v="28.116"/>
    <n v="590.43600000000004"/>
    <s v="1/15/2019"/>
    <d v="1899-12-30T16:19:00"/>
    <x v="1"/>
    <n v="562.32000000000005"/>
    <n v="4.7619047620000003"/>
    <x v="15"/>
    <n v="4.5"/>
    <d v="2019-01-15T00:00:00"/>
    <n v="1"/>
    <n v="16"/>
    <x v="13"/>
  </r>
  <r>
    <s v="656-95-9349"/>
    <x v="0"/>
    <s v="Yangon"/>
    <x v="0"/>
    <x v="0"/>
    <x v="0"/>
    <n v="68.930000000000007"/>
    <n v="7"/>
    <n v="24.125499999999999"/>
    <n v="506.63549999999998"/>
    <d v="2019-11-03T00:00:00"/>
    <d v="1899-12-30T11:03:00"/>
    <x v="2"/>
    <n v="482.51"/>
    <n v="4.7619047620000003"/>
    <x v="16"/>
    <n v="4.5999999999999996"/>
    <d v="2019-03-11T00:00:00"/>
    <n v="3"/>
    <n v="11"/>
    <x v="14"/>
  </r>
  <r>
    <s v="765-26-6951"/>
    <x v="0"/>
    <s v="Yangon"/>
    <x v="1"/>
    <x v="1"/>
    <x v="3"/>
    <n v="72.61"/>
    <n v="6"/>
    <n v="21.783000000000001"/>
    <n v="457.44299999999998"/>
    <d v="2019-01-01T00:00:00"/>
    <d v="1899-12-30T10:39:00"/>
    <x v="2"/>
    <n v="435.66"/>
    <n v="4.7619047620000003"/>
    <x v="17"/>
    <n v="6.9"/>
    <d v="2019-01-01T00:00:00"/>
    <n v="1"/>
    <n v="10"/>
    <x v="15"/>
  </r>
  <r>
    <s v="329-62-1586"/>
    <x v="0"/>
    <s v="Yangon"/>
    <x v="1"/>
    <x v="1"/>
    <x v="4"/>
    <n v="54.67"/>
    <n v="3"/>
    <n v="8.2004999999999999"/>
    <n v="172.2105"/>
    <s v="1/21/2019"/>
    <d v="1899-12-30T18:00:00"/>
    <x v="2"/>
    <n v="164.01"/>
    <n v="4.7619047620000003"/>
    <x v="18"/>
    <n v="8.6"/>
    <d v="2019-01-21T00:00:00"/>
    <n v="1"/>
    <n v="18"/>
    <x v="16"/>
  </r>
  <r>
    <s v="319-50-3348"/>
    <x v="2"/>
    <s v="Mandalay"/>
    <x v="1"/>
    <x v="0"/>
    <x v="2"/>
    <n v="40.299999999999997"/>
    <n v="2"/>
    <n v="4.03"/>
    <n v="84.63"/>
    <d v="2019-11-03T00:00:00"/>
    <d v="1899-12-30T15:30:00"/>
    <x v="0"/>
    <n v="80.599999999999994"/>
    <n v="4.7619047620000003"/>
    <x v="19"/>
    <n v="4.4000000000000004"/>
    <d v="2019-03-11T00:00:00"/>
    <n v="3"/>
    <n v="15"/>
    <x v="14"/>
  </r>
  <r>
    <s v="300-71-4605"/>
    <x v="1"/>
    <s v="Naypyitaw"/>
    <x v="0"/>
    <x v="1"/>
    <x v="1"/>
    <n v="86.04"/>
    <n v="5"/>
    <n v="21.51"/>
    <n v="451.71"/>
    <s v="2/25/2019"/>
    <d v="1899-12-30T11:24:00"/>
    <x v="0"/>
    <n v="430.2"/>
    <n v="4.7619047620000003"/>
    <x v="20"/>
    <n v="4.8"/>
    <d v="2019-02-25T00:00:00"/>
    <n v="2"/>
    <n v="11"/>
    <x v="4"/>
  </r>
  <r>
    <s v="371-85-5789"/>
    <x v="2"/>
    <s v="Mandalay"/>
    <x v="1"/>
    <x v="1"/>
    <x v="0"/>
    <n v="87.98"/>
    <n v="3"/>
    <n v="13.196999999999999"/>
    <n v="277.137"/>
    <d v="2019-05-03T00:00:00"/>
    <d v="1899-12-30T10:40:00"/>
    <x v="0"/>
    <n v="263.94"/>
    <n v="4.7619047620000003"/>
    <x v="21"/>
    <n v="5.0999999999999996"/>
    <d v="2019-03-05T00:00:00"/>
    <n v="3"/>
    <n v="10"/>
    <x v="0"/>
  </r>
  <r>
    <s v="273-16-6619"/>
    <x v="2"/>
    <s v="Mandalay"/>
    <x v="1"/>
    <x v="1"/>
    <x v="2"/>
    <n v="33.200000000000003"/>
    <n v="2"/>
    <n v="3.32"/>
    <n v="69.72"/>
    <s v="3/15/2019"/>
    <d v="1899-12-30T12:20:00"/>
    <x v="2"/>
    <n v="66.400000000000006"/>
    <n v="4.7619047620000003"/>
    <x v="22"/>
    <n v="4.4000000000000004"/>
    <d v="2019-03-15T00:00:00"/>
    <n v="3"/>
    <n v="12"/>
    <x v="13"/>
  </r>
  <r>
    <s v="636-48-8204"/>
    <x v="0"/>
    <s v="Yangon"/>
    <x v="1"/>
    <x v="1"/>
    <x v="1"/>
    <n v="34.56"/>
    <n v="5"/>
    <n v="8.64"/>
    <n v="181.44"/>
    <s v="2/17/2019"/>
    <d v="1899-12-30T11:15:00"/>
    <x v="0"/>
    <n v="172.8"/>
    <n v="4.7619047620000003"/>
    <x v="23"/>
    <n v="9.9"/>
    <d v="2019-02-17T00:00:00"/>
    <n v="2"/>
    <n v="11"/>
    <x v="17"/>
  </r>
  <r>
    <s v="549-59-1358"/>
    <x v="0"/>
    <s v="Yangon"/>
    <x v="0"/>
    <x v="1"/>
    <x v="3"/>
    <n v="88.63"/>
    <n v="3"/>
    <n v="13.294499999999999"/>
    <n v="279.18450000000001"/>
    <d v="2019-02-03T00:00:00"/>
    <d v="1899-12-30T17:36:00"/>
    <x v="0"/>
    <n v="265.89"/>
    <n v="4.7619047620000003"/>
    <x v="24"/>
    <n v="6"/>
    <d v="2019-03-02T00:00:00"/>
    <n v="3"/>
    <n v="17"/>
    <x v="8"/>
  </r>
  <r>
    <s v="227-03-5010"/>
    <x v="0"/>
    <s v="Yangon"/>
    <x v="0"/>
    <x v="0"/>
    <x v="2"/>
    <n v="52.59"/>
    <n v="8"/>
    <n v="21.036000000000001"/>
    <n v="441.75599999999997"/>
    <s v="3/22/2019"/>
    <d v="1899-12-30T19:20:00"/>
    <x v="2"/>
    <n v="420.72"/>
    <n v="4.7619047620000003"/>
    <x v="25"/>
    <n v="8.5"/>
    <d v="2019-03-22T00:00:00"/>
    <n v="3"/>
    <n v="19"/>
    <x v="18"/>
  </r>
  <r>
    <s v="649-29-6775"/>
    <x v="2"/>
    <s v="Mandalay"/>
    <x v="1"/>
    <x v="1"/>
    <x v="5"/>
    <n v="33.520000000000003"/>
    <n v="1"/>
    <n v="1.6759999999999999"/>
    <n v="35.195999999999998"/>
    <d v="2019-08-02T00:00:00"/>
    <d v="1899-12-30T15:31:00"/>
    <x v="1"/>
    <n v="33.520000000000003"/>
    <n v="4.7619047620000003"/>
    <x v="26"/>
    <n v="6.7"/>
    <d v="2019-02-08T00:00:00"/>
    <n v="2"/>
    <n v="15"/>
    <x v="1"/>
  </r>
  <r>
    <s v="189-17-4241"/>
    <x v="0"/>
    <s v="Yangon"/>
    <x v="1"/>
    <x v="0"/>
    <x v="5"/>
    <n v="87.67"/>
    <n v="2"/>
    <n v="8.7669999999999995"/>
    <n v="184.107"/>
    <d v="2019-10-03T00:00:00"/>
    <d v="1899-12-30T12:17:00"/>
    <x v="2"/>
    <n v="175.34"/>
    <n v="4.7619047620000003"/>
    <x v="27"/>
    <n v="7.7"/>
    <d v="2019-03-10T00:00:00"/>
    <n v="3"/>
    <n v="12"/>
    <x v="6"/>
  </r>
  <r>
    <s v="145-94-9061"/>
    <x v="2"/>
    <s v="Mandalay"/>
    <x v="1"/>
    <x v="0"/>
    <x v="4"/>
    <n v="88.36"/>
    <n v="5"/>
    <n v="22.09"/>
    <n v="463.89"/>
    <s v="1/25/2019"/>
    <d v="1899-12-30T19:48:00"/>
    <x v="1"/>
    <n v="441.8"/>
    <n v="4.7619047620000003"/>
    <x v="28"/>
    <n v="9.6"/>
    <d v="2019-01-25T00:00:00"/>
    <n v="1"/>
    <n v="19"/>
    <x v="4"/>
  </r>
  <r>
    <s v="848-62-7243"/>
    <x v="0"/>
    <s v="Yangon"/>
    <x v="1"/>
    <x v="1"/>
    <x v="0"/>
    <n v="24.89"/>
    <n v="9"/>
    <n v="11.2005"/>
    <n v="235.2105"/>
    <s v="3/15/2019"/>
    <d v="1899-12-30T15:36:00"/>
    <x v="1"/>
    <n v="224.01"/>
    <n v="4.7619047620000003"/>
    <x v="29"/>
    <n v="7.4"/>
    <d v="2019-03-15T00:00:00"/>
    <n v="3"/>
    <n v="15"/>
    <x v="13"/>
  </r>
  <r>
    <s v="871-79-8483"/>
    <x v="2"/>
    <s v="Mandalay"/>
    <x v="1"/>
    <x v="1"/>
    <x v="5"/>
    <n v="94.13"/>
    <n v="5"/>
    <n v="23.532499999999999"/>
    <n v="494.1825"/>
    <s v="2/25/2019"/>
    <d v="1899-12-30T19:39:00"/>
    <x v="2"/>
    <n v="470.65"/>
    <n v="4.7619047620000003"/>
    <x v="30"/>
    <n v="4.8"/>
    <d v="2019-02-25T00:00:00"/>
    <n v="2"/>
    <n v="19"/>
    <x v="4"/>
  </r>
  <r>
    <s v="149-71-6266"/>
    <x v="2"/>
    <s v="Mandalay"/>
    <x v="0"/>
    <x v="1"/>
    <x v="3"/>
    <n v="78.069999999999993"/>
    <n v="9"/>
    <n v="35.131500000000003"/>
    <n v="737.76149999999996"/>
    <s v="1/28/2019"/>
    <d v="1899-12-30T12:43:00"/>
    <x v="1"/>
    <n v="702.63"/>
    <n v="4.7619047620000003"/>
    <x v="31"/>
    <n v="4.5"/>
    <d v="2019-01-28T00:00:00"/>
    <n v="1"/>
    <n v="12"/>
    <x v="19"/>
  </r>
  <r>
    <s v="640-49-2076"/>
    <x v="2"/>
    <s v="Mandalay"/>
    <x v="1"/>
    <x v="1"/>
    <x v="3"/>
    <n v="83.78"/>
    <n v="8"/>
    <n v="33.512"/>
    <n v="703.75199999999995"/>
    <d v="2019-10-01T00:00:00"/>
    <d v="1899-12-30T14:49:00"/>
    <x v="1"/>
    <n v="670.24"/>
    <n v="4.7619047620000003"/>
    <x v="32"/>
    <n v="5.0999999999999996"/>
    <d v="2019-01-10T00:00:00"/>
    <n v="1"/>
    <n v="14"/>
    <x v="6"/>
  </r>
  <r>
    <s v="595-11-5460"/>
    <x v="0"/>
    <s v="Yangon"/>
    <x v="1"/>
    <x v="1"/>
    <x v="0"/>
    <n v="96.58"/>
    <n v="2"/>
    <n v="9.6579999999999995"/>
    <n v="202.81800000000001"/>
    <s v="3/15/2019"/>
    <d v="1899-12-30T10:12:00"/>
    <x v="2"/>
    <n v="193.16"/>
    <n v="4.7619047620000003"/>
    <x v="33"/>
    <n v="5.0999999999999996"/>
    <d v="2019-03-15T00:00:00"/>
    <n v="3"/>
    <n v="10"/>
    <x v="13"/>
  </r>
  <r>
    <s v="183-56-6882"/>
    <x v="1"/>
    <s v="Naypyitaw"/>
    <x v="0"/>
    <x v="0"/>
    <x v="4"/>
    <n v="99.42"/>
    <n v="4"/>
    <n v="19.884"/>
    <n v="417.56400000000002"/>
    <d v="2019-06-02T00:00:00"/>
    <d v="1899-12-30T10:42:00"/>
    <x v="0"/>
    <n v="397.68"/>
    <n v="4.7619047620000003"/>
    <x v="34"/>
    <n v="7.5"/>
    <d v="2019-02-06T00:00:00"/>
    <n v="2"/>
    <n v="10"/>
    <x v="20"/>
  </r>
  <r>
    <s v="232-16-2483"/>
    <x v="1"/>
    <s v="Naypyitaw"/>
    <x v="0"/>
    <x v="0"/>
    <x v="3"/>
    <n v="68.12"/>
    <n v="1"/>
    <n v="3.4060000000000001"/>
    <n v="71.525999999999996"/>
    <d v="2019-07-01T00:00:00"/>
    <d v="1899-12-30T12:28:00"/>
    <x v="0"/>
    <n v="68.12"/>
    <n v="4.7619047620000003"/>
    <x v="35"/>
    <n v="6.8"/>
    <d v="2019-01-07T00:00:00"/>
    <n v="1"/>
    <n v="12"/>
    <x v="11"/>
  </r>
  <r>
    <s v="129-29-8530"/>
    <x v="0"/>
    <s v="Yangon"/>
    <x v="0"/>
    <x v="1"/>
    <x v="3"/>
    <n v="62.62"/>
    <n v="5"/>
    <n v="15.654999999999999"/>
    <n v="328.755"/>
    <d v="2019-10-03T00:00:00"/>
    <d v="1899-12-30T19:15:00"/>
    <x v="0"/>
    <n v="313.10000000000002"/>
    <n v="4.7619047620000003"/>
    <x v="36"/>
    <n v="7"/>
    <d v="2019-03-10T00:00:00"/>
    <n v="3"/>
    <n v="19"/>
    <x v="6"/>
  </r>
  <r>
    <s v="272-65-1806"/>
    <x v="0"/>
    <s v="Yangon"/>
    <x v="1"/>
    <x v="0"/>
    <x v="1"/>
    <n v="60.88"/>
    <n v="9"/>
    <n v="27.396000000000001"/>
    <n v="575.31600000000003"/>
    <s v="1/15/2019"/>
    <d v="1899-12-30T17:17:00"/>
    <x v="0"/>
    <n v="547.91999999999996"/>
    <n v="4.7619047620000003"/>
    <x v="37"/>
    <n v="4.7"/>
    <d v="2019-01-15T00:00:00"/>
    <n v="1"/>
    <n v="17"/>
    <x v="13"/>
  </r>
  <r>
    <s v="333-73-7901"/>
    <x v="1"/>
    <s v="Naypyitaw"/>
    <x v="1"/>
    <x v="0"/>
    <x v="0"/>
    <n v="54.92"/>
    <n v="8"/>
    <n v="21.968"/>
    <n v="461.32799999999997"/>
    <s v="3/23/2019"/>
    <d v="1899-12-30T13:24:00"/>
    <x v="0"/>
    <n v="439.36"/>
    <n v="4.7619047620000003"/>
    <x v="38"/>
    <n v="7.6"/>
    <d v="2019-03-23T00:00:00"/>
    <n v="3"/>
    <n v="13"/>
    <x v="21"/>
  </r>
  <r>
    <s v="777-82-7220"/>
    <x v="2"/>
    <s v="Mandalay"/>
    <x v="0"/>
    <x v="1"/>
    <x v="2"/>
    <n v="30.12"/>
    <n v="8"/>
    <n v="12.048"/>
    <n v="253.00800000000001"/>
    <d v="2019-03-03T00:00:00"/>
    <d v="1899-12-30T13:01:00"/>
    <x v="1"/>
    <n v="240.96"/>
    <n v="4.7619047620000003"/>
    <x v="39"/>
    <n v="7.7"/>
    <d v="2019-03-03T00:00:00"/>
    <n v="3"/>
    <n v="13"/>
    <x v="2"/>
  </r>
  <r>
    <s v="280-35-5823"/>
    <x v="2"/>
    <s v="Mandalay"/>
    <x v="0"/>
    <x v="0"/>
    <x v="2"/>
    <n v="86.72"/>
    <n v="1"/>
    <n v="4.3360000000000003"/>
    <n v="91.055999999999997"/>
    <s v="1/17/2019"/>
    <d v="1899-12-30T18:45:00"/>
    <x v="0"/>
    <n v="86.72"/>
    <n v="4.7619047620000003"/>
    <x v="40"/>
    <n v="7.9"/>
    <d v="2019-01-17T00:00:00"/>
    <n v="1"/>
    <n v="18"/>
    <x v="17"/>
  </r>
  <r>
    <s v="554-53-8700"/>
    <x v="1"/>
    <s v="Naypyitaw"/>
    <x v="0"/>
    <x v="1"/>
    <x v="2"/>
    <n v="56.11"/>
    <n v="2"/>
    <n v="5.6109999999999998"/>
    <n v="117.831"/>
    <d v="2019-02-02T00:00:00"/>
    <d v="1899-12-30T10:11:00"/>
    <x v="1"/>
    <n v="112.22"/>
    <n v="4.7619047620000003"/>
    <x v="41"/>
    <n v="6.3"/>
    <d v="2019-02-02T00:00:00"/>
    <n v="2"/>
    <n v="10"/>
    <x v="8"/>
  </r>
  <r>
    <s v="354-25-5821"/>
    <x v="2"/>
    <s v="Mandalay"/>
    <x v="0"/>
    <x v="0"/>
    <x v="3"/>
    <n v="69.12"/>
    <n v="6"/>
    <n v="20.736000000000001"/>
    <n v="435.45600000000002"/>
    <d v="2019-08-02T00:00:00"/>
    <d v="1899-12-30T13:03:00"/>
    <x v="1"/>
    <n v="414.72"/>
    <n v="4.7619047620000003"/>
    <x v="42"/>
    <n v="5.6"/>
    <d v="2019-02-08T00:00:00"/>
    <n v="2"/>
    <n v="13"/>
    <x v="1"/>
  </r>
  <r>
    <s v="228-96-1411"/>
    <x v="1"/>
    <s v="Naypyitaw"/>
    <x v="0"/>
    <x v="0"/>
    <x v="4"/>
    <n v="98.7"/>
    <n v="8"/>
    <n v="39.479999999999997"/>
    <n v="829.08"/>
    <d v="2019-04-03T00:00:00"/>
    <d v="1899-12-30T20:39:00"/>
    <x v="1"/>
    <n v="789.6"/>
    <n v="4.7619047620000003"/>
    <x v="43"/>
    <n v="7.6"/>
    <d v="2019-03-04T00:00:00"/>
    <n v="3"/>
    <n v="20"/>
    <x v="22"/>
  </r>
  <r>
    <s v="617-15-4209"/>
    <x v="1"/>
    <s v="Naypyitaw"/>
    <x v="0"/>
    <x v="1"/>
    <x v="0"/>
    <n v="15.37"/>
    <n v="2"/>
    <n v="1.5369999999999999"/>
    <n v="32.277000000000001"/>
    <s v="3/16/2019"/>
    <d v="1899-12-30T19:47:00"/>
    <x v="1"/>
    <n v="30.74"/>
    <n v="4.7619047620000003"/>
    <x v="44"/>
    <n v="7.2"/>
    <d v="2019-03-16T00:00:00"/>
    <n v="3"/>
    <n v="19"/>
    <x v="23"/>
  </r>
  <r>
    <s v="132-32-9879"/>
    <x v="2"/>
    <s v="Mandalay"/>
    <x v="0"/>
    <x v="0"/>
    <x v="1"/>
    <n v="93.96"/>
    <n v="4"/>
    <n v="18.792000000000002"/>
    <n v="394.63200000000001"/>
    <d v="2019-09-03T00:00:00"/>
    <d v="1899-12-30T18:00:00"/>
    <x v="1"/>
    <n v="375.84"/>
    <n v="4.7619047620000003"/>
    <x v="45"/>
    <n v="9.5"/>
    <d v="2019-03-09T00:00:00"/>
    <n v="3"/>
    <n v="18"/>
    <x v="9"/>
  </r>
  <r>
    <s v="370-41-7321"/>
    <x v="2"/>
    <s v="Mandalay"/>
    <x v="0"/>
    <x v="1"/>
    <x v="0"/>
    <n v="56.69"/>
    <n v="9"/>
    <n v="25.5105"/>
    <n v="535.72050000000002"/>
    <s v="2/27/2019"/>
    <d v="1899-12-30T17:24:00"/>
    <x v="2"/>
    <n v="510.21"/>
    <n v="4.7619047620000003"/>
    <x v="46"/>
    <n v="8.4"/>
    <d v="2019-02-27T00:00:00"/>
    <n v="2"/>
    <n v="17"/>
    <x v="3"/>
  </r>
  <r>
    <s v="727-46-3608"/>
    <x v="2"/>
    <s v="Mandalay"/>
    <x v="0"/>
    <x v="0"/>
    <x v="4"/>
    <n v="20.010000000000002"/>
    <n v="9"/>
    <n v="9.0045000000000002"/>
    <n v="189.09450000000001"/>
    <d v="2019-06-02T00:00:00"/>
    <d v="1899-12-30T15:47:00"/>
    <x v="0"/>
    <n v="180.09"/>
    <n v="4.7619047620000003"/>
    <x v="47"/>
    <n v="4.0999999999999996"/>
    <d v="2019-02-06T00:00:00"/>
    <n v="2"/>
    <n v="15"/>
    <x v="20"/>
  </r>
  <r>
    <s v="669-54-1719"/>
    <x v="2"/>
    <s v="Mandalay"/>
    <x v="0"/>
    <x v="1"/>
    <x v="1"/>
    <n v="18.93"/>
    <n v="6"/>
    <n v="5.6790000000000003"/>
    <n v="119.259"/>
    <d v="2019-10-02T00:00:00"/>
    <d v="1899-12-30T12:45:00"/>
    <x v="2"/>
    <n v="113.58"/>
    <n v="4.7619047620000003"/>
    <x v="48"/>
    <n v="8.1"/>
    <d v="2019-02-10T00:00:00"/>
    <n v="2"/>
    <n v="12"/>
    <x v="6"/>
  </r>
  <r>
    <s v="574-22-5561"/>
    <x v="1"/>
    <s v="Naypyitaw"/>
    <x v="0"/>
    <x v="0"/>
    <x v="5"/>
    <n v="82.63"/>
    <n v="10"/>
    <n v="41.314999999999998"/>
    <n v="867.61500000000001"/>
    <s v="3/19/2019"/>
    <d v="1899-12-30T17:08:00"/>
    <x v="0"/>
    <n v="826.3"/>
    <n v="4.7619047620000003"/>
    <x v="49"/>
    <n v="7.9"/>
    <d v="2019-03-19T00:00:00"/>
    <n v="3"/>
    <n v="17"/>
    <x v="24"/>
  </r>
  <r>
    <s v="326-78-5178"/>
    <x v="1"/>
    <s v="Naypyitaw"/>
    <x v="0"/>
    <x v="1"/>
    <x v="4"/>
    <n v="91.4"/>
    <n v="7"/>
    <n v="31.99"/>
    <n v="671.79"/>
    <d v="2019-03-02T00:00:00"/>
    <d v="1899-12-30T10:19:00"/>
    <x v="1"/>
    <n v="639.79999999999995"/>
    <n v="4.7619047620000003"/>
    <x v="50"/>
    <n v="9.5"/>
    <d v="2019-02-03T00:00:00"/>
    <n v="2"/>
    <n v="10"/>
    <x v="2"/>
  </r>
  <r>
    <s v="162-48-8011"/>
    <x v="0"/>
    <s v="Yangon"/>
    <x v="0"/>
    <x v="0"/>
    <x v="4"/>
    <n v="44.59"/>
    <n v="5"/>
    <n v="11.147500000000001"/>
    <n v="234.0975"/>
    <d v="2019-10-02T00:00:00"/>
    <d v="1899-12-30T15:10:00"/>
    <x v="1"/>
    <n v="222.95"/>
    <n v="4.7619047620000003"/>
    <x v="51"/>
    <n v="8.5"/>
    <d v="2019-02-10T00:00:00"/>
    <n v="2"/>
    <n v="15"/>
    <x v="6"/>
  </r>
  <r>
    <s v="616-24-2851"/>
    <x v="2"/>
    <s v="Mandalay"/>
    <x v="0"/>
    <x v="0"/>
    <x v="5"/>
    <n v="17.87"/>
    <n v="4"/>
    <n v="3.5739999999999998"/>
    <n v="75.054000000000002"/>
    <s v="3/22/2019"/>
    <d v="1899-12-30T14:42:00"/>
    <x v="0"/>
    <n v="71.48"/>
    <n v="4.7619047620000003"/>
    <x v="52"/>
    <n v="6.5"/>
    <d v="2019-03-22T00:00:00"/>
    <n v="3"/>
    <n v="14"/>
    <x v="18"/>
  </r>
  <r>
    <s v="778-71-5554"/>
    <x v="1"/>
    <s v="Naypyitaw"/>
    <x v="0"/>
    <x v="1"/>
    <x v="5"/>
    <n v="15.43"/>
    <n v="1"/>
    <n v="0.77149999999999996"/>
    <n v="16.201499999999999"/>
    <s v="1/25/2019"/>
    <d v="1899-12-30T15:46:00"/>
    <x v="2"/>
    <n v="15.43"/>
    <n v="4.7619047620000003"/>
    <x v="53"/>
    <n v="6.1"/>
    <d v="2019-01-25T00:00:00"/>
    <n v="1"/>
    <n v="15"/>
    <x v="4"/>
  </r>
  <r>
    <s v="242-55-6721"/>
    <x v="2"/>
    <s v="Mandalay"/>
    <x v="1"/>
    <x v="1"/>
    <x v="2"/>
    <n v="16.16"/>
    <n v="2"/>
    <n v="1.6160000000000001"/>
    <n v="33.936"/>
    <d v="2019-07-03T00:00:00"/>
    <d v="1899-12-30T11:49:00"/>
    <x v="0"/>
    <n v="32.32"/>
    <n v="4.7619047620000003"/>
    <x v="54"/>
    <n v="6.5"/>
    <d v="2019-03-07T00:00:00"/>
    <n v="3"/>
    <n v="11"/>
    <x v="11"/>
  </r>
  <r>
    <s v="399-46-5918"/>
    <x v="1"/>
    <s v="Naypyitaw"/>
    <x v="1"/>
    <x v="0"/>
    <x v="1"/>
    <n v="85.98"/>
    <n v="8"/>
    <n v="34.392000000000003"/>
    <n v="722.23199999999997"/>
    <s v="2/28/2019"/>
    <d v="1899-12-30T19:01:00"/>
    <x v="1"/>
    <n v="687.84"/>
    <n v="4.7619047620000003"/>
    <x v="55"/>
    <n v="8.1999999999999993"/>
    <d v="2019-02-28T00:00:00"/>
    <n v="2"/>
    <n v="19"/>
    <x v="19"/>
  </r>
  <r>
    <s v="106-35-6779"/>
    <x v="0"/>
    <s v="Yangon"/>
    <x v="0"/>
    <x v="1"/>
    <x v="2"/>
    <n v="44.34"/>
    <n v="2"/>
    <n v="4.4340000000000002"/>
    <n v="93.114000000000004"/>
    <s v="3/27/2019"/>
    <d v="1899-12-30T11:26:00"/>
    <x v="1"/>
    <n v="88.68"/>
    <n v="4.7619047620000003"/>
    <x v="56"/>
    <n v="5.8"/>
    <d v="2019-03-27T00:00:00"/>
    <n v="3"/>
    <n v="11"/>
    <x v="3"/>
  </r>
  <r>
    <s v="635-40-6220"/>
    <x v="0"/>
    <s v="Yangon"/>
    <x v="1"/>
    <x v="1"/>
    <x v="0"/>
    <n v="89.6"/>
    <n v="8"/>
    <n v="35.840000000000003"/>
    <n v="752.64"/>
    <d v="2019-07-02T00:00:00"/>
    <d v="1899-12-30T11:28:00"/>
    <x v="0"/>
    <n v="716.8"/>
    <n v="4.7619047620000003"/>
    <x v="57"/>
    <n v="6.6"/>
    <d v="2019-02-07T00:00:00"/>
    <n v="2"/>
    <n v="11"/>
    <x v="11"/>
  </r>
  <r>
    <s v="817-48-8732"/>
    <x v="0"/>
    <s v="Yangon"/>
    <x v="0"/>
    <x v="0"/>
    <x v="2"/>
    <n v="72.349999999999994"/>
    <n v="10"/>
    <n v="36.174999999999997"/>
    <n v="759.67499999999995"/>
    <s v="1/20/2019"/>
    <d v="1899-12-30T15:55:00"/>
    <x v="1"/>
    <n v="723.5"/>
    <n v="4.7619047620000003"/>
    <x v="58"/>
    <n v="5.4"/>
    <d v="2019-01-20T00:00:00"/>
    <n v="1"/>
    <n v="15"/>
    <x v="7"/>
  </r>
  <r>
    <s v="120-06-4233"/>
    <x v="1"/>
    <s v="Naypyitaw"/>
    <x v="1"/>
    <x v="1"/>
    <x v="1"/>
    <n v="30.61"/>
    <n v="6"/>
    <n v="9.1829999999999998"/>
    <n v="192.84299999999999"/>
    <d v="2019-12-03T00:00:00"/>
    <d v="1899-12-30T20:36:00"/>
    <x v="1"/>
    <n v="183.66"/>
    <n v="4.7619047620000003"/>
    <x v="59"/>
    <n v="9.3000000000000007"/>
    <d v="2019-03-12T00:00:00"/>
    <n v="3"/>
    <n v="20"/>
    <x v="10"/>
  </r>
  <r>
    <s v="285-68-5083"/>
    <x v="1"/>
    <s v="Naypyitaw"/>
    <x v="0"/>
    <x v="0"/>
    <x v="3"/>
    <n v="24.74"/>
    <n v="3"/>
    <n v="3.7109999999999999"/>
    <n v="77.930999999999997"/>
    <s v="2/15/2019"/>
    <d v="1899-12-30T17:47:00"/>
    <x v="2"/>
    <n v="74.22"/>
    <n v="4.7619047620000003"/>
    <x v="60"/>
    <n v="10"/>
    <d v="2019-02-15T00:00:00"/>
    <n v="2"/>
    <n v="17"/>
    <x v="13"/>
  </r>
  <r>
    <s v="803-83-5989"/>
    <x v="1"/>
    <s v="Naypyitaw"/>
    <x v="1"/>
    <x v="1"/>
    <x v="2"/>
    <n v="55.73"/>
    <n v="6"/>
    <n v="16.719000000000001"/>
    <n v="351.09899999999999"/>
    <s v="2/24/2019"/>
    <d v="1899-12-30T10:55:00"/>
    <x v="0"/>
    <n v="334.38"/>
    <n v="4.7619047620000003"/>
    <x v="61"/>
    <n v="7"/>
    <d v="2019-02-24T00:00:00"/>
    <n v="2"/>
    <n v="10"/>
    <x v="5"/>
  </r>
  <r>
    <s v="347-34-2234"/>
    <x v="2"/>
    <s v="Mandalay"/>
    <x v="0"/>
    <x v="0"/>
    <x v="3"/>
    <n v="55.07"/>
    <n v="9"/>
    <n v="24.781500000000001"/>
    <n v="520.41150000000005"/>
    <d v="2019-03-02T00:00:00"/>
    <d v="1899-12-30T13:40:00"/>
    <x v="0"/>
    <n v="495.63"/>
    <n v="4.7619047620000003"/>
    <x v="62"/>
    <n v="10"/>
    <d v="2019-02-03T00:00:00"/>
    <n v="2"/>
    <n v="13"/>
    <x v="2"/>
  </r>
  <r>
    <s v="199-75-8169"/>
    <x v="0"/>
    <s v="Yangon"/>
    <x v="0"/>
    <x v="1"/>
    <x v="3"/>
    <n v="15.81"/>
    <n v="10"/>
    <n v="7.9050000000000002"/>
    <n v="166.005"/>
    <d v="2019-06-03T00:00:00"/>
    <d v="1899-12-30T12:27:00"/>
    <x v="2"/>
    <n v="158.1"/>
    <n v="4.7619047620000003"/>
    <x v="63"/>
    <n v="8.6"/>
    <d v="2019-03-06T00:00:00"/>
    <n v="3"/>
    <n v="12"/>
    <x v="20"/>
  </r>
  <r>
    <s v="853-23-2453"/>
    <x v="2"/>
    <s v="Mandalay"/>
    <x v="0"/>
    <x v="1"/>
    <x v="0"/>
    <n v="75.739999999999995"/>
    <n v="4"/>
    <n v="15.148"/>
    <n v="318.108"/>
    <s v="2/14/2019"/>
    <d v="1899-12-30T14:35:00"/>
    <x v="1"/>
    <n v="302.95999999999998"/>
    <n v="4.7619047620000003"/>
    <x v="64"/>
    <n v="7.6"/>
    <d v="2019-02-14T00:00:00"/>
    <n v="2"/>
    <n v="14"/>
    <x v="25"/>
  </r>
  <r>
    <s v="877-22-3308"/>
    <x v="0"/>
    <s v="Yangon"/>
    <x v="0"/>
    <x v="1"/>
    <x v="0"/>
    <n v="15.87"/>
    <n v="10"/>
    <n v="7.9349999999999996"/>
    <n v="166.63499999999999"/>
    <s v="3/13/2019"/>
    <d v="1899-12-30T16:40:00"/>
    <x v="1"/>
    <n v="158.69999999999999"/>
    <n v="4.7619047620000003"/>
    <x v="65"/>
    <n v="5.8"/>
    <d v="2019-03-13T00:00:00"/>
    <n v="3"/>
    <n v="16"/>
    <x v="26"/>
  </r>
  <r>
    <s v="838-78-4295"/>
    <x v="1"/>
    <s v="Naypyitaw"/>
    <x v="1"/>
    <x v="0"/>
    <x v="0"/>
    <n v="33.47"/>
    <n v="2"/>
    <n v="3.347"/>
    <n v="70.287000000000006"/>
    <d v="2019-10-02T00:00:00"/>
    <d v="1899-12-30T15:43:00"/>
    <x v="0"/>
    <n v="66.94"/>
    <n v="4.7619047620000003"/>
    <x v="66"/>
    <n v="6.7"/>
    <d v="2019-02-10T00:00:00"/>
    <n v="2"/>
    <n v="15"/>
    <x v="6"/>
  </r>
  <r>
    <s v="109-28-2512"/>
    <x v="2"/>
    <s v="Mandalay"/>
    <x v="0"/>
    <x v="0"/>
    <x v="5"/>
    <n v="97.61"/>
    <n v="6"/>
    <n v="29.283000000000001"/>
    <n v="614.94299999999998"/>
    <d v="2019-07-01T00:00:00"/>
    <d v="1899-12-30T15:01:00"/>
    <x v="0"/>
    <n v="585.66"/>
    <n v="4.7619047620000003"/>
    <x v="67"/>
    <n v="9.9"/>
    <d v="2019-01-07T00:00:00"/>
    <n v="1"/>
    <n v="15"/>
    <x v="11"/>
  </r>
  <r>
    <s v="232-11-3025"/>
    <x v="0"/>
    <s v="Yangon"/>
    <x v="1"/>
    <x v="1"/>
    <x v="3"/>
    <n v="78.77"/>
    <n v="10"/>
    <n v="39.384999999999998"/>
    <n v="827.08500000000004"/>
    <s v="1/24/2019"/>
    <d v="1899-12-30T10:04:00"/>
    <x v="1"/>
    <n v="787.7"/>
    <n v="4.7619047620000003"/>
    <x v="68"/>
    <n v="6.4"/>
    <d v="2019-01-24T00:00:00"/>
    <n v="1"/>
    <n v="10"/>
    <x v="5"/>
  </r>
  <r>
    <s v="382-03-4532"/>
    <x v="0"/>
    <s v="Yangon"/>
    <x v="0"/>
    <x v="0"/>
    <x v="0"/>
    <n v="18.329999999999998"/>
    <n v="1"/>
    <n v="0.91649999999999998"/>
    <n v="19.246500000000001"/>
    <d v="2019-02-02T00:00:00"/>
    <d v="1899-12-30T18:50:00"/>
    <x v="1"/>
    <n v="18.329999999999998"/>
    <n v="4.7619047620000003"/>
    <x v="69"/>
    <n v="4.3"/>
    <d v="2019-02-02T00:00:00"/>
    <n v="2"/>
    <n v="18"/>
    <x v="8"/>
  </r>
  <r>
    <s v="393-65-2792"/>
    <x v="1"/>
    <s v="Naypyitaw"/>
    <x v="1"/>
    <x v="1"/>
    <x v="4"/>
    <n v="89.48"/>
    <n v="10"/>
    <n v="44.74"/>
    <n v="939.54"/>
    <d v="2019-06-01T00:00:00"/>
    <d v="1899-12-30T12:46:00"/>
    <x v="2"/>
    <n v="894.8"/>
    <n v="4.7619047620000003"/>
    <x v="70"/>
    <n v="9.6"/>
    <d v="2019-01-06T00:00:00"/>
    <n v="1"/>
    <n v="12"/>
    <x v="20"/>
  </r>
  <r>
    <s v="796-12-2025"/>
    <x v="1"/>
    <s v="Naypyitaw"/>
    <x v="1"/>
    <x v="1"/>
    <x v="5"/>
    <n v="62.12"/>
    <n v="10"/>
    <n v="31.06"/>
    <n v="652.26"/>
    <d v="2019-11-02T00:00:00"/>
    <d v="1899-12-30T16:19:00"/>
    <x v="1"/>
    <n v="621.20000000000005"/>
    <n v="4.7619047620000003"/>
    <x v="71"/>
    <n v="5.9"/>
    <d v="2019-02-11T00:00:00"/>
    <n v="2"/>
    <n v="16"/>
    <x v="14"/>
  </r>
  <r>
    <s v="510-95-6347"/>
    <x v="2"/>
    <s v="Mandalay"/>
    <x v="0"/>
    <x v="0"/>
    <x v="4"/>
    <n v="48.52"/>
    <n v="3"/>
    <n v="7.2779999999999996"/>
    <n v="152.83799999999999"/>
    <d v="2019-05-03T00:00:00"/>
    <d v="1899-12-30T18:17:00"/>
    <x v="0"/>
    <n v="145.56"/>
    <n v="4.7619047620000003"/>
    <x v="72"/>
    <n v="4"/>
    <d v="2019-03-05T00:00:00"/>
    <n v="3"/>
    <n v="18"/>
    <x v="0"/>
  </r>
  <r>
    <s v="841-35-6630"/>
    <x v="1"/>
    <s v="Naypyitaw"/>
    <x v="1"/>
    <x v="0"/>
    <x v="1"/>
    <n v="75.91"/>
    <n v="6"/>
    <n v="22.773"/>
    <n v="478.233"/>
    <d v="2019-09-03T00:00:00"/>
    <d v="1899-12-30T18:21:00"/>
    <x v="1"/>
    <n v="455.46"/>
    <n v="4.7619047620000003"/>
    <x v="73"/>
    <n v="8.6999999999999993"/>
    <d v="2019-03-09T00:00:00"/>
    <n v="3"/>
    <n v="18"/>
    <x v="9"/>
  </r>
  <r>
    <s v="287-21-9091"/>
    <x v="0"/>
    <s v="Yangon"/>
    <x v="1"/>
    <x v="1"/>
    <x v="2"/>
    <n v="74.67"/>
    <n v="9"/>
    <n v="33.601500000000001"/>
    <n v="705.63149999999996"/>
    <s v="1/22/2019"/>
    <d v="1899-12-30T10:55:00"/>
    <x v="0"/>
    <n v="672.03"/>
    <n v="4.7619047620000003"/>
    <x v="74"/>
    <n v="9.4"/>
    <d v="2019-01-22T00:00:00"/>
    <n v="1"/>
    <n v="10"/>
    <x v="18"/>
  </r>
  <r>
    <s v="732-94-0499"/>
    <x v="1"/>
    <s v="Naypyitaw"/>
    <x v="1"/>
    <x v="0"/>
    <x v="1"/>
    <n v="41.65"/>
    <n v="10"/>
    <n v="20.824999999999999"/>
    <n v="437.32499999999999"/>
    <s v="1/13/2019"/>
    <d v="1899-12-30T17:04:00"/>
    <x v="2"/>
    <n v="416.5"/>
    <n v="4.7619047620000003"/>
    <x v="75"/>
    <n v="5.4"/>
    <d v="2019-01-13T00:00:00"/>
    <n v="1"/>
    <n v="17"/>
    <x v="26"/>
  </r>
  <r>
    <s v="263-10-3913"/>
    <x v="1"/>
    <s v="Naypyitaw"/>
    <x v="0"/>
    <x v="1"/>
    <x v="5"/>
    <n v="49.04"/>
    <n v="9"/>
    <n v="22.068000000000001"/>
    <n v="463.428"/>
    <d v="2019-09-01T00:00:00"/>
    <d v="1899-12-30T14:20:00"/>
    <x v="2"/>
    <n v="441.36"/>
    <n v="4.7619047620000003"/>
    <x v="76"/>
    <n v="8.6"/>
    <d v="2019-01-09T00:00:00"/>
    <n v="1"/>
    <n v="14"/>
    <x v="9"/>
  </r>
  <r>
    <s v="381-20-0914"/>
    <x v="0"/>
    <s v="Yangon"/>
    <x v="0"/>
    <x v="0"/>
    <x v="5"/>
    <n v="20.010000000000002"/>
    <n v="9"/>
    <n v="9.0045000000000002"/>
    <n v="189.09450000000001"/>
    <d v="2019-12-01T00:00:00"/>
    <d v="1899-12-30T15:48:00"/>
    <x v="2"/>
    <n v="180.09"/>
    <n v="4.7619047620000003"/>
    <x v="47"/>
    <n v="5.7"/>
    <d v="2019-01-12T00:00:00"/>
    <n v="1"/>
    <n v="15"/>
    <x v="10"/>
  </r>
  <r>
    <s v="829-49-1914"/>
    <x v="1"/>
    <s v="Naypyitaw"/>
    <x v="0"/>
    <x v="0"/>
    <x v="4"/>
    <n v="78.31"/>
    <n v="10"/>
    <n v="39.155000000000001"/>
    <n v="822.255"/>
    <d v="2019-05-03T00:00:00"/>
    <d v="1899-12-30T16:24:00"/>
    <x v="0"/>
    <n v="783.1"/>
    <n v="4.7619047620000003"/>
    <x v="77"/>
    <n v="6.6"/>
    <d v="2019-03-05T00:00:00"/>
    <n v="3"/>
    <n v="16"/>
    <x v="0"/>
  </r>
  <r>
    <s v="756-01-7507"/>
    <x v="1"/>
    <s v="Naypyitaw"/>
    <x v="1"/>
    <x v="0"/>
    <x v="0"/>
    <n v="20.38"/>
    <n v="5"/>
    <n v="5.0949999999999998"/>
    <n v="106.995"/>
    <s v="1/22/2019"/>
    <d v="1899-12-30T18:56:00"/>
    <x v="1"/>
    <n v="101.9"/>
    <n v="4.7619047620000003"/>
    <x v="78"/>
    <n v="6"/>
    <d v="2019-01-22T00:00:00"/>
    <n v="1"/>
    <n v="18"/>
    <x v="18"/>
  </r>
  <r>
    <s v="870-72-4431"/>
    <x v="1"/>
    <s v="Naypyitaw"/>
    <x v="1"/>
    <x v="0"/>
    <x v="0"/>
    <n v="99.19"/>
    <n v="6"/>
    <n v="29.757000000000001"/>
    <n v="624.89700000000005"/>
    <s v="1/21/2019"/>
    <d v="1899-12-30T14:42:00"/>
    <x v="2"/>
    <n v="595.14"/>
    <n v="4.7619047620000003"/>
    <x v="79"/>
    <n v="5.5"/>
    <d v="2019-01-21T00:00:00"/>
    <n v="1"/>
    <n v="14"/>
    <x v="16"/>
  </r>
  <r>
    <s v="847-38-7188"/>
    <x v="2"/>
    <s v="Mandalay"/>
    <x v="1"/>
    <x v="0"/>
    <x v="4"/>
    <n v="96.68"/>
    <n v="3"/>
    <n v="14.502000000000001"/>
    <n v="304.54199999999997"/>
    <s v="1/26/2019"/>
    <d v="1899-12-30T19:56:00"/>
    <x v="0"/>
    <n v="290.04000000000002"/>
    <n v="4.7619047620000003"/>
    <x v="80"/>
    <n v="6.4"/>
    <d v="2019-01-26T00:00:00"/>
    <n v="1"/>
    <n v="19"/>
    <x v="27"/>
  </r>
  <r>
    <s v="480-63-2856"/>
    <x v="1"/>
    <s v="Naypyitaw"/>
    <x v="1"/>
    <x v="1"/>
    <x v="4"/>
    <n v="19.25"/>
    <n v="8"/>
    <n v="7.7"/>
    <n v="161.69999999999999"/>
    <s v="1/23/2019"/>
    <d v="1899-12-30T18:37:00"/>
    <x v="0"/>
    <n v="154"/>
    <n v="4.7619047620000003"/>
    <x v="81"/>
    <n v="6.6"/>
    <d v="2019-01-23T00:00:00"/>
    <n v="1"/>
    <n v="18"/>
    <x v="21"/>
  </r>
  <r>
    <s v="787-56-0757"/>
    <x v="1"/>
    <s v="Naypyitaw"/>
    <x v="0"/>
    <x v="0"/>
    <x v="4"/>
    <n v="80.36"/>
    <n v="4"/>
    <n v="16.071999999999999"/>
    <n v="337.512"/>
    <s v="2/23/2019"/>
    <d v="1899-12-30T18:45:00"/>
    <x v="2"/>
    <n v="321.44"/>
    <n v="4.7619047620000003"/>
    <x v="82"/>
    <n v="8.3000000000000007"/>
    <d v="2019-02-23T00:00:00"/>
    <n v="2"/>
    <n v="18"/>
    <x v="21"/>
  </r>
  <r>
    <s v="360-39-5055"/>
    <x v="1"/>
    <s v="Naypyitaw"/>
    <x v="0"/>
    <x v="1"/>
    <x v="3"/>
    <n v="48.91"/>
    <n v="5"/>
    <n v="12.227499999999999"/>
    <n v="256.77749999999997"/>
    <d v="2019-09-03T00:00:00"/>
    <d v="1899-12-30T10:17:00"/>
    <x v="1"/>
    <n v="244.55"/>
    <n v="4.7619047620000003"/>
    <x v="83"/>
    <n v="6.6"/>
    <d v="2019-03-09T00:00:00"/>
    <n v="3"/>
    <n v="10"/>
    <x v="9"/>
  </r>
  <r>
    <s v="730-50-9884"/>
    <x v="1"/>
    <s v="Naypyitaw"/>
    <x v="1"/>
    <x v="0"/>
    <x v="3"/>
    <n v="83.06"/>
    <n v="7"/>
    <n v="29.071000000000002"/>
    <n v="610.49099999999999"/>
    <d v="2019-05-03T00:00:00"/>
    <d v="1899-12-30T14:31:00"/>
    <x v="0"/>
    <n v="581.41999999999996"/>
    <n v="4.7619047620000003"/>
    <x v="84"/>
    <n v="4"/>
    <d v="2019-03-05T00:00:00"/>
    <n v="3"/>
    <n v="14"/>
    <x v="0"/>
  </r>
  <r>
    <s v="362-58-8315"/>
    <x v="1"/>
    <s v="Naypyitaw"/>
    <x v="1"/>
    <x v="1"/>
    <x v="5"/>
    <n v="76.52"/>
    <n v="5"/>
    <n v="19.13"/>
    <n v="401.73"/>
    <s v="3/25/2019"/>
    <d v="1899-12-30T10:23:00"/>
    <x v="1"/>
    <n v="382.6"/>
    <n v="4.7619047620000003"/>
    <x v="85"/>
    <n v="9.9"/>
    <d v="2019-03-25T00:00:00"/>
    <n v="3"/>
    <n v="10"/>
    <x v="4"/>
  </r>
  <r>
    <s v="633-44-8566"/>
    <x v="0"/>
    <s v="Yangon"/>
    <x v="0"/>
    <x v="1"/>
    <x v="4"/>
    <n v="49.38"/>
    <n v="7"/>
    <n v="17.283000000000001"/>
    <n v="362.94299999999998"/>
    <s v="3/27/2019"/>
    <d v="1899-12-30T20:35:00"/>
    <x v="2"/>
    <n v="345.66"/>
    <n v="4.7619047620000003"/>
    <x v="86"/>
    <n v="7.3"/>
    <d v="2019-03-27T00:00:00"/>
    <n v="3"/>
    <n v="20"/>
    <x v="3"/>
  </r>
  <r>
    <s v="504-35-8843"/>
    <x v="0"/>
    <s v="Yangon"/>
    <x v="1"/>
    <x v="1"/>
    <x v="3"/>
    <n v="42.47"/>
    <n v="1"/>
    <n v="2.1234999999999999"/>
    <n v="44.593499999999999"/>
    <d v="2019-02-01T00:00:00"/>
    <d v="1899-12-30T16:57:00"/>
    <x v="1"/>
    <n v="42.47"/>
    <n v="4.7619047620000003"/>
    <x v="87"/>
    <n v="5.7"/>
    <d v="2019-01-02T00:00:00"/>
    <n v="1"/>
    <n v="16"/>
    <x v="8"/>
  </r>
  <r>
    <s v="318-68-5053"/>
    <x v="2"/>
    <s v="Mandalay"/>
    <x v="1"/>
    <x v="0"/>
    <x v="0"/>
    <n v="76.989999999999995"/>
    <n v="6"/>
    <n v="23.097000000000001"/>
    <n v="485.03699999999998"/>
    <s v="2/27/2019"/>
    <d v="1899-12-30T17:55:00"/>
    <x v="1"/>
    <n v="461.94"/>
    <n v="4.7619047620000003"/>
    <x v="88"/>
    <n v="6.1"/>
    <d v="2019-02-27T00:00:00"/>
    <n v="2"/>
    <n v="17"/>
    <x v="3"/>
  </r>
  <r>
    <s v="565-80-5980"/>
    <x v="1"/>
    <s v="Naypyitaw"/>
    <x v="0"/>
    <x v="0"/>
    <x v="2"/>
    <n v="47.38"/>
    <n v="4"/>
    <n v="9.4760000000000009"/>
    <n v="198.99600000000001"/>
    <s v="1/23/2019"/>
    <d v="1899-12-30T10:25:00"/>
    <x v="1"/>
    <n v="189.52"/>
    <n v="4.7619047620000003"/>
    <x v="89"/>
    <n v="7.1"/>
    <d v="2019-01-23T00:00:00"/>
    <n v="1"/>
    <n v="10"/>
    <x v="21"/>
  </r>
  <r>
    <s v="225-32-0908"/>
    <x v="1"/>
    <s v="Naypyitaw"/>
    <x v="1"/>
    <x v="0"/>
    <x v="3"/>
    <n v="44.86"/>
    <n v="10"/>
    <n v="22.43"/>
    <n v="471.03"/>
    <s v="1/26/2019"/>
    <d v="1899-12-30T19:54:00"/>
    <x v="0"/>
    <n v="448.6"/>
    <n v="4.7619047620000003"/>
    <x v="90"/>
    <n v="8.1999999999999993"/>
    <d v="2019-01-26T00:00:00"/>
    <n v="1"/>
    <n v="19"/>
    <x v="27"/>
  </r>
  <r>
    <s v="873-51-0671"/>
    <x v="0"/>
    <s v="Yangon"/>
    <x v="0"/>
    <x v="0"/>
    <x v="3"/>
    <n v="21.98"/>
    <n v="7"/>
    <n v="7.6929999999999996"/>
    <n v="161.553"/>
    <d v="2019-10-01T00:00:00"/>
    <d v="1899-12-30T16:42:00"/>
    <x v="0"/>
    <n v="153.86000000000001"/>
    <n v="4.7619047620000003"/>
    <x v="91"/>
    <n v="5.0999999999999996"/>
    <d v="2019-01-10T00:00:00"/>
    <n v="1"/>
    <n v="16"/>
    <x v="6"/>
  </r>
  <r>
    <s v="152-08-9985"/>
    <x v="2"/>
    <s v="Mandalay"/>
    <x v="0"/>
    <x v="1"/>
    <x v="0"/>
    <n v="64.36"/>
    <n v="9"/>
    <n v="28.962"/>
    <n v="608.202"/>
    <d v="2019-12-03T00:00:00"/>
    <d v="1899-12-30T12:09:00"/>
    <x v="2"/>
    <n v="579.24"/>
    <n v="4.7619047620000003"/>
    <x v="92"/>
    <n v="8.6"/>
    <d v="2019-03-12T00:00:00"/>
    <n v="3"/>
    <n v="12"/>
    <x v="10"/>
  </r>
  <r>
    <s v="512-91-0811"/>
    <x v="1"/>
    <s v="Naypyitaw"/>
    <x v="1"/>
    <x v="1"/>
    <x v="0"/>
    <n v="89.75"/>
    <n v="1"/>
    <n v="4.4874999999999998"/>
    <n v="94.237499999999997"/>
    <d v="2019-06-02T00:00:00"/>
    <d v="1899-12-30T20:05:00"/>
    <x v="2"/>
    <n v="89.75"/>
    <n v="4.7619047620000003"/>
    <x v="93"/>
    <n v="6.6"/>
    <d v="2019-02-06T00:00:00"/>
    <n v="2"/>
    <n v="20"/>
    <x v="20"/>
  </r>
  <r>
    <s v="594-34-4444"/>
    <x v="0"/>
    <s v="Yangon"/>
    <x v="1"/>
    <x v="1"/>
    <x v="1"/>
    <n v="97.16"/>
    <n v="1"/>
    <n v="4.8579999999999997"/>
    <n v="102.018"/>
    <d v="2019-08-03T00:00:00"/>
    <d v="1899-12-30T20:38:00"/>
    <x v="0"/>
    <n v="97.16"/>
    <n v="4.7619047620000003"/>
    <x v="94"/>
    <n v="7.2"/>
    <d v="2019-03-08T00:00:00"/>
    <n v="3"/>
    <n v="20"/>
    <x v="1"/>
  </r>
  <r>
    <s v="766-85-7061"/>
    <x v="2"/>
    <s v="Mandalay"/>
    <x v="1"/>
    <x v="1"/>
    <x v="0"/>
    <n v="87.87"/>
    <n v="10"/>
    <n v="43.935000000000002"/>
    <n v="922.63499999999999"/>
    <s v="3/29/2019"/>
    <d v="1899-12-30T10:25:00"/>
    <x v="0"/>
    <n v="878.7"/>
    <n v="4.7619047620000003"/>
    <x v="95"/>
    <n v="5.0999999999999996"/>
    <d v="2019-03-29T00:00:00"/>
    <n v="3"/>
    <n v="10"/>
    <x v="12"/>
  </r>
  <r>
    <s v="871-39-9221"/>
    <x v="1"/>
    <s v="Naypyitaw"/>
    <x v="1"/>
    <x v="0"/>
    <x v="1"/>
    <n v="12.45"/>
    <n v="6"/>
    <n v="3.7349999999999999"/>
    <n v="78.435000000000002"/>
    <d v="2019-09-02T00:00:00"/>
    <d v="1899-12-30T13:11:00"/>
    <x v="1"/>
    <n v="74.7"/>
    <n v="4.7619047620000003"/>
    <x v="96"/>
    <n v="4.0999999999999996"/>
    <d v="2019-02-09T00:00:00"/>
    <n v="2"/>
    <n v="13"/>
    <x v="9"/>
  </r>
  <r>
    <s v="865-92-6136"/>
    <x v="0"/>
    <s v="Yangon"/>
    <x v="1"/>
    <x v="1"/>
    <x v="4"/>
    <n v="52.75"/>
    <n v="3"/>
    <n v="7.9124999999999996"/>
    <n v="166.16249999999999"/>
    <s v="3/23/2019"/>
    <d v="1899-12-30T10:16:00"/>
    <x v="0"/>
    <n v="158.25"/>
    <n v="4.7619047620000003"/>
    <x v="97"/>
    <n v="9.3000000000000007"/>
    <d v="2019-03-23T00:00:00"/>
    <n v="3"/>
    <n v="10"/>
    <x v="21"/>
  </r>
  <r>
    <s v="733-01-9107"/>
    <x v="2"/>
    <s v="Mandalay"/>
    <x v="1"/>
    <x v="1"/>
    <x v="2"/>
    <n v="82.7"/>
    <n v="6"/>
    <n v="24.81"/>
    <n v="521.01"/>
    <d v="2019-05-03T00:00:00"/>
    <d v="1899-12-30T18:14:00"/>
    <x v="1"/>
    <n v="496.2"/>
    <n v="4.7619047620000003"/>
    <x v="98"/>
    <n v="7.4"/>
    <d v="2019-03-05T00:00:00"/>
    <n v="3"/>
    <n v="18"/>
    <x v="0"/>
  </r>
  <r>
    <s v="163-56-7055"/>
    <x v="1"/>
    <s v="Naypyitaw"/>
    <x v="0"/>
    <x v="1"/>
    <x v="5"/>
    <n v="48.71"/>
    <n v="1"/>
    <n v="2.4355000000000002"/>
    <n v="51.145499999999998"/>
    <s v="3/26/2019"/>
    <d v="1899-12-30T19:20:00"/>
    <x v="1"/>
    <n v="48.71"/>
    <n v="4.7619047620000003"/>
    <x v="99"/>
    <n v="4.0999999999999996"/>
    <d v="2019-03-26T00:00:00"/>
    <n v="3"/>
    <n v="19"/>
    <x v="27"/>
  </r>
  <r>
    <s v="189-98-2939"/>
    <x v="1"/>
    <s v="Naypyitaw"/>
    <x v="1"/>
    <x v="1"/>
    <x v="5"/>
    <n v="78.55"/>
    <n v="9"/>
    <n v="35.347499999999997"/>
    <n v="742.29750000000001"/>
    <d v="2019-01-03T00:00:00"/>
    <d v="1899-12-30T13:22:00"/>
    <x v="1"/>
    <n v="706.95"/>
    <n v="4.7619047620000003"/>
    <x v="100"/>
    <n v="7.2"/>
    <d v="2019-03-01T00:00:00"/>
    <n v="3"/>
    <n v="13"/>
    <x v="15"/>
  </r>
  <r>
    <s v="551-21-3069"/>
    <x v="1"/>
    <s v="Naypyitaw"/>
    <x v="1"/>
    <x v="0"/>
    <x v="1"/>
    <n v="23.07"/>
    <n v="9"/>
    <n v="10.381500000000001"/>
    <n v="218.01150000000001"/>
    <d v="2019-01-02T00:00:00"/>
    <d v="1899-12-30T11:27:00"/>
    <x v="1"/>
    <n v="207.63"/>
    <n v="4.7619047620000003"/>
    <x v="101"/>
    <n v="4.9000000000000004"/>
    <d v="2019-02-01T00:00:00"/>
    <n v="2"/>
    <n v="11"/>
    <x v="15"/>
  </r>
  <r>
    <s v="212-62-1842"/>
    <x v="0"/>
    <s v="Yangon"/>
    <x v="1"/>
    <x v="1"/>
    <x v="4"/>
    <n v="58.26"/>
    <n v="6"/>
    <n v="17.478000000000002"/>
    <n v="367.03800000000001"/>
    <s v="3/28/2019"/>
    <d v="1899-12-30T16:44:00"/>
    <x v="1"/>
    <n v="349.56"/>
    <n v="4.7619047620000003"/>
    <x v="102"/>
    <n v="9.9"/>
    <d v="2019-03-28T00:00:00"/>
    <n v="3"/>
    <n v="16"/>
    <x v="19"/>
  </r>
  <r>
    <s v="716-39-1409"/>
    <x v="2"/>
    <s v="Mandalay"/>
    <x v="1"/>
    <x v="1"/>
    <x v="0"/>
    <n v="30.35"/>
    <n v="7"/>
    <n v="10.6225"/>
    <n v="223.07249999999999"/>
    <s v="3/19/2019"/>
    <d v="1899-12-30T18:19:00"/>
    <x v="1"/>
    <n v="212.45"/>
    <n v="4.7619047620000003"/>
    <x v="103"/>
    <n v="8"/>
    <d v="2019-03-19T00:00:00"/>
    <n v="3"/>
    <n v="18"/>
    <x v="24"/>
  </r>
  <r>
    <s v="704-48-3927"/>
    <x v="0"/>
    <s v="Yangon"/>
    <x v="0"/>
    <x v="1"/>
    <x v="1"/>
    <n v="88.67"/>
    <n v="10"/>
    <n v="44.335000000000001"/>
    <n v="931.03499999999997"/>
    <d v="2019-12-01T00:00:00"/>
    <d v="1899-12-30T14:50:00"/>
    <x v="0"/>
    <n v="886.7"/>
    <n v="4.7619047620000003"/>
    <x v="104"/>
    <n v="7.3"/>
    <d v="2019-01-12T00:00:00"/>
    <n v="1"/>
    <n v="14"/>
    <x v="10"/>
  </r>
  <r>
    <s v="628-34-3388"/>
    <x v="1"/>
    <s v="Naypyitaw"/>
    <x v="1"/>
    <x v="1"/>
    <x v="5"/>
    <n v="27.38"/>
    <n v="6"/>
    <n v="8.2140000000000004"/>
    <n v="172.494"/>
    <d v="2019-05-01T00:00:00"/>
    <d v="1899-12-30T20:54:00"/>
    <x v="2"/>
    <n v="164.28"/>
    <n v="4.7619047620000003"/>
    <x v="105"/>
    <n v="7.9"/>
    <d v="2019-01-05T00:00:00"/>
    <n v="1"/>
    <n v="20"/>
    <x v="0"/>
  </r>
  <r>
    <s v="630-74-5166"/>
    <x v="0"/>
    <s v="Yangon"/>
    <x v="1"/>
    <x v="1"/>
    <x v="3"/>
    <n v="62.13"/>
    <n v="6"/>
    <n v="18.638999999999999"/>
    <n v="391.41899999999998"/>
    <s v="3/22/2019"/>
    <d v="1899-12-30T20:19:00"/>
    <x v="1"/>
    <n v="372.78"/>
    <n v="4.7619047620000003"/>
    <x v="106"/>
    <n v="7.4"/>
    <d v="2019-03-22T00:00:00"/>
    <n v="3"/>
    <n v="20"/>
    <x v="18"/>
  </r>
  <r>
    <s v="588-01-7461"/>
    <x v="1"/>
    <s v="Naypyitaw"/>
    <x v="1"/>
    <x v="0"/>
    <x v="4"/>
    <n v="33.979999999999997"/>
    <n v="9"/>
    <n v="15.291"/>
    <n v="321.11099999999999"/>
    <s v="3/24/2019"/>
    <d v="1899-12-30T10:43:00"/>
    <x v="1"/>
    <n v="305.82"/>
    <n v="4.7619047620000003"/>
    <x v="107"/>
    <n v="4.2"/>
    <d v="2019-03-24T00:00:00"/>
    <n v="3"/>
    <n v="10"/>
    <x v="5"/>
  </r>
  <r>
    <s v="861-77-0145"/>
    <x v="1"/>
    <s v="Naypyitaw"/>
    <x v="0"/>
    <x v="1"/>
    <x v="1"/>
    <n v="81.97"/>
    <n v="10"/>
    <n v="40.984999999999999"/>
    <n v="860.68499999999995"/>
    <d v="2019-03-03T00:00:00"/>
    <d v="1899-12-30T14:30:00"/>
    <x v="1"/>
    <n v="819.7"/>
    <n v="4.7619047620000003"/>
    <x v="108"/>
    <n v="9.1999999999999993"/>
    <d v="2019-03-03T00:00:00"/>
    <n v="3"/>
    <n v="14"/>
    <x v="2"/>
  </r>
  <r>
    <s v="479-26-8945"/>
    <x v="2"/>
    <s v="Mandalay"/>
    <x v="0"/>
    <x v="0"/>
    <x v="3"/>
    <n v="16.489999999999998"/>
    <n v="2"/>
    <n v="1.649"/>
    <n v="34.628999999999998"/>
    <d v="2019-05-02T00:00:00"/>
    <d v="1899-12-30T11:32:00"/>
    <x v="0"/>
    <n v="32.979999999999997"/>
    <n v="4.7619047620000003"/>
    <x v="109"/>
    <n v="4.5999999999999996"/>
    <d v="2019-02-05T00:00:00"/>
    <n v="2"/>
    <n v="11"/>
    <x v="0"/>
  </r>
  <r>
    <s v="210-67-5886"/>
    <x v="1"/>
    <s v="Naypyitaw"/>
    <x v="0"/>
    <x v="0"/>
    <x v="0"/>
    <n v="98.21"/>
    <n v="3"/>
    <n v="14.7315"/>
    <n v="309.36149999999998"/>
    <d v="2019-05-02T00:00:00"/>
    <d v="1899-12-30T10:41:00"/>
    <x v="2"/>
    <n v="294.63"/>
    <n v="4.7619047620000003"/>
    <x v="110"/>
    <n v="7.8"/>
    <d v="2019-02-05T00:00:00"/>
    <n v="2"/>
    <n v="10"/>
    <x v="0"/>
  </r>
  <r>
    <s v="227-78-1148"/>
    <x v="2"/>
    <s v="Mandalay"/>
    <x v="1"/>
    <x v="0"/>
    <x v="5"/>
    <n v="72.84"/>
    <n v="7"/>
    <n v="25.494"/>
    <n v="535.37400000000002"/>
    <s v="2/15/2019"/>
    <d v="1899-12-30T12:44:00"/>
    <x v="1"/>
    <n v="509.88"/>
    <n v="4.7619047620000003"/>
    <x v="111"/>
    <n v="8.4"/>
    <d v="2019-02-15T00:00:00"/>
    <n v="2"/>
    <n v="12"/>
    <x v="13"/>
  </r>
  <r>
    <s v="645-44-1170"/>
    <x v="0"/>
    <s v="Yangon"/>
    <x v="0"/>
    <x v="1"/>
    <x v="2"/>
    <n v="58.07"/>
    <n v="9"/>
    <n v="26.131499999999999"/>
    <n v="548.76149999999996"/>
    <s v="1/19/2019"/>
    <d v="1899-12-30T20:07:00"/>
    <x v="0"/>
    <n v="522.63"/>
    <n v="4.7619047620000003"/>
    <x v="112"/>
    <n v="4.3"/>
    <d v="2019-01-19T00:00:00"/>
    <n v="1"/>
    <n v="20"/>
    <x v="24"/>
  </r>
  <r>
    <s v="237-01-6122"/>
    <x v="1"/>
    <s v="Naypyitaw"/>
    <x v="0"/>
    <x v="0"/>
    <x v="2"/>
    <n v="80.790000000000006"/>
    <n v="9"/>
    <n v="36.355499999999999"/>
    <n v="763.46550000000002"/>
    <d v="2019-01-02T00:00:00"/>
    <d v="1899-12-30T20:31:00"/>
    <x v="2"/>
    <n v="727.11"/>
    <n v="4.7619047620000003"/>
    <x v="113"/>
    <n v="9.5"/>
    <d v="2019-02-01T00:00:00"/>
    <n v="2"/>
    <n v="20"/>
    <x v="15"/>
  </r>
  <r>
    <s v="225-98-1496"/>
    <x v="1"/>
    <s v="Naypyitaw"/>
    <x v="1"/>
    <x v="0"/>
    <x v="5"/>
    <n v="27.02"/>
    <n v="3"/>
    <n v="4.0529999999999999"/>
    <n v="85.113"/>
    <d v="2019-02-03T00:00:00"/>
    <d v="1899-12-30T13:01:00"/>
    <x v="2"/>
    <n v="81.06"/>
    <n v="4.7619047620000003"/>
    <x v="114"/>
    <n v="7.1"/>
    <d v="2019-03-02T00:00:00"/>
    <n v="3"/>
    <n v="13"/>
    <x v="8"/>
  </r>
  <r>
    <s v="291-32-1427"/>
    <x v="2"/>
    <s v="Mandalay"/>
    <x v="0"/>
    <x v="1"/>
    <x v="5"/>
    <n v="21.94"/>
    <n v="5"/>
    <n v="5.4850000000000003"/>
    <n v="115.185"/>
    <d v="2019-05-03T00:00:00"/>
    <d v="1899-12-30T12:29:00"/>
    <x v="0"/>
    <n v="109.7"/>
    <n v="4.7619047620000003"/>
    <x v="115"/>
    <n v="5.3"/>
    <d v="2019-03-05T00:00:00"/>
    <n v="3"/>
    <n v="12"/>
    <x v="0"/>
  </r>
  <r>
    <s v="659-65-8956"/>
    <x v="2"/>
    <s v="Mandalay"/>
    <x v="0"/>
    <x v="1"/>
    <x v="5"/>
    <n v="51.36"/>
    <n v="1"/>
    <n v="2.5680000000000001"/>
    <n v="53.927999999999997"/>
    <s v="1/16/2019"/>
    <d v="1899-12-30T15:26:00"/>
    <x v="0"/>
    <n v="51.36"/>
    <n v="4.7619047620000003"/>
    <x v="116"/>
    <n v="5.2"/>
    <d v="2019-01-16T00:00:00"/>
    <n v="1"/>
    <n v="15"/>
    <x v="23"/>
  </r>
  <r>
    <s v="642-32-2990"/>
    <x v="0"/>
    <s v="Yangon"/>
    <x v="1"/>
    <x v="0"/>
    <x v="4"/>
    <n v="10.96"/>
    <n v="10"/>
    <n v="5.48"/>
    <n v="115.08"/>
    <d v="2019-02-02T00:00:00"/>
    <d v="1899-12-30T20:48:00"/>
    <x v="0"/>
    <n v="109.6"/>
    <n v="4.7619047620000003"/>
    <x v="117"/>
    <n v="6"/>
    <d v="2019-02-02T00:00:00"/>
    <n v="2"/>
    <n v="20"/>
    <x v="8"/>
  </r>
  <r>
    <s v="378-24-2715"/>
    <x v="2"/>
    <s v="Mandalay"/>
    <x v="1"/>
    <x v="1"/>
    <x v="2"/>
    <n v="53.44"/>
    <n v="2"/>
    <n v="5.3440000000000003"/>
    <n v="112.224"/>
    <s v="1/20/2019"/>
    <d v="1899-12-30T20:38:00"/>
    <x v="0"/>
    <n v="106.88"/>
    <n v="4.7619047620000003"/>
    <x v="118"/>
    <n v="4.0999999999999996"/>
    <d v="2019-01-20T00:00:00"/>
    <n v="1"/>
    <n v="20"/>
    <x v="7"/>
  </r>
  <r>
    <s v="638-60-7125"/>
    <x v="0"/>
    <s v="Yangon"/>
    <x v="1"/>
    <x v="0"/>
    <x v="1"/>
    <n v="99.56"/>
    <n v="8"/>
    <n v="39.823999999999998"/>
    <n v="836.30399999999997"/>
    <s v="2/14/2019"/>
    <d v="1899-12-30T17:03:00"/>
    <x v="2"/>
    <n v="796.48"/>
    <n v="4.7619047620000003"/>
    <x v="119"/>
    <n v="5.2"/>
    <d v="2019-02-14T00:00:00"/>
    <n v="2"/>
    <n v="17"/>
    <x v="25"/>
  </r>
  <r>
    <s v="659-36-1684"/>
    <x v="1"/>
    <s v="Naypyitaw"/>
    <x v="0"/>
    <x v="1"/>
    <x v="3"/>
    <n v="57.12"/>
    <n v="7"/>
    <n v="19.992000000000001"/>
    <n v="419.83199999999999"/>
    <d v="2019-12-01T00:00:00"/>
    <d v="1899-12-30T12:02:00"/>
    <x v="2"/>
    <n v="399.84"/>
    <n v="4.7619047620000003"/>
    <x v="120"/>
    <n v="6.5"/>
    <d v="2019-01-12T00:00:00"/>
    <n v="1"/>
    <n v="12"/>
    <x v="10"/>
  </r>
  <r>
    <s v="219-22-9386"/>
    <x v="2"/>
    <s v="Mandalay"/>
    <x v="0"/>
    <x v="1"/>
    <x v="3"/>
    <n v="99.96"/>
    <n v="9"/>
    <n v="44.981999999999999"/>
    <n v="944.62199999999996"/>
    <d v="2019-09-03T00:00:00"/>
    <d v="1899-12-30T17:26:00"/>
    <x v="2"/>
    <n v="899.64"/>
    <n v="4.7619047620000003"/>
    <x v="121"/>
    <n v="4.2"/>
    <d v="2019-03-09T00:00:00"/>
    <n v="3"/>
    <n v="17"/>
    <x v="9"/>
  </r>
  <r>
    <s v="336-78-2147"/>
    <x v="1"/>
    <s v="Naypyitaw"/>
    <x v="0"/>
    <x v="1"/>
    <x v="2"/>
    <n v="63.91"/>
    <n v="8"/>
    <n v="25.564"/>
    <n v="536.84400000000005"/>
    <s v="3/13/2019"/>
    <d v="1899-12-30T19:52:00"/>
    <x v="2"/>
    <n v="511.28"/>
    <n v="4.7619047620000003"/>
    <x v="122"/>
    <n v="4.5999999999999996"/>
    <d v="2019-03-13T00:00:00"/>
    <n v="3"/>
    <n v="19"/>
    <x v="26"/>
  </r>
  <r>
    <s v="268-27-6179"/>
    <x v="2"/>
    <s v="Mandalay"/>
    <x v="0"/>
    <x v="0"/>
    <x v="5"/>
    <n v="56.47"/>
    <n v="8"/>
    <n v="22.588000000000001"/>
    <n v="474.34800000000001"/>
    <d v="2019-09-03T00:00:00"/>
    <d v="1899-12-30T14:57:00"/>
    <x v="0"/>
    <n v="451.76"/>
    <n v="4.7619047620000003"/>
    <x v="123"/>
    <n v="7.3"/>
    <d v="2019-03-09T00:00:00"/>
    <n v="3"/>
    <n v="14"/>
    <x v="9"/>
  </r>
  <r>
    <s v="668-90-8900"/>
    <x v="0"/>
    <s v="Yangon"/>
    <x v="1"/>
    <x v="0"/>
    <x v="2"/>
    <n v="93.69"/>
    <n v="7"/>
    <n v="32.791499999999999"/>
    <n v="688.62149999999997"/>
    <d v="2019-10-03T00:00:00"/>
    <d v="1899-12-30T18:44:00"/>
    <x v="2"/>
    <n v="655.83"/>
    <n v="4.7619047620000003"/>
    <x v="124"/>
    <n v="4.5"/>
    <d v="2019-03-10T00:00:00"/>
    <n v="3"/>
    <n v="18"/>
    <x v="6"/>
  </r>
  <r>
    <s v="870-54-3162"/>
    <x v="0"/>
    <s v="Yangon"/>
    <x v="1"/>
    <x v="0"/>
    <x v="3"/>
    <n v="32.25"/>
    <n v="5"/>
    <n v="8.0625"/>
    <n v="169.3125"/>
    <s v="1/27/2019"/>
    <d v="1899-12-30T13:26:00"/>
    <x v="1"/>
    <n v="161.25"/>
    <n v="4.7619047620000003"/>
    <x v="125"/>
    <n v="9"/>
    <d v="2019-01-27T00:00:00"/>
    <n v="1"/>
    <n v="13"/>
    <x v="3"/>
  </r>
  <r>
    <s v="189-08-9157"/>
    <x v="1"/>
    <s v="Naypyitaw"/>
    <x v="1"/>
    <x v="0"/>
    <x v="5"/>
    <n v="31.73"/>
    <n v="9"/>
    <n v="14.278499999999999"/>
    <n v="299.8485"/>
    <d v="2019-08-01T00:00:00"/>
    <d v="1899-12-30T16:17:00"/>
    <x v="2"/>
    <n v="285.57"/>
    <n v="4.7619047620000003"/>
    <x v="126"/>
    <n v="5.9"/>
    <d v="2019-01-08T00:00:00"/>
    <n v="1"/>
    <n v="16"/>
    <x v="1"/>
  </r>
  <r>
    <s v="663-86-9076"/>
    <x v="1"/>
    <s v="Naypyitaw"/>
    <x v="0"/>
    <x v="0"/>
    <x v="4"/>
    <n v="68.540000000000006"/>
    <n v="8"/>
    <n v="27.416"/>
    <n v="575.73599999999999"/>
    <d v="2019-08-01T00:00:00"/>
    <d v="1899-12-30T15:57:00"/>
    <x v="0"/>
    <n v="548.32000000000005"/>
    <n v="4.7619047620000003"/>
    <x v="127"/>
    <n v="8.5"/>
    <d v="2019-01-08T00:00:00"/>
    <n v="1"/>
    <n v="15"/>
    <x v="1"/>
  </r>
  <r>
    <s v="549-84-7482"/>
    <x v="2"/>
    <s v="Mandalay"/>
    <x v="1"/>
    <x v="0"/>
    <x v="3"/>
    <n v="90.28"/>
    <n v="9"/>
    <n v="40.625999999999998"/>
    <n v="853.14599999999996"/>
    <d v="2019-08-02T00:00:00"/>
    <d v="1899-12-30T11:15:00"/>
    <x v="0"/>
    <n v="812.52"/>
    <n v="4.7619047620000003"/>
    <x v="128"/>
    <n v="7.2"/>
    <d v="2019-02-08T00:00:00"/>
    <n v="2"/>
    <n v="11"/>
    <x v="1"/>
  </r>
  <r>
    <s v="191-10-6171"/>
    <x v="2"/>
    <s v="Mandalay"/>
    <x v="1"/>
    <x v="0"/>
    <x v="5"/>
    <n v="39.619999999999997"/>
    <n v="7"/>
    <n v="13.867000000000001"/>
    <n v="291.20699999999999"/>
    <s v="1/25/2019"/>
    <d v="1899-12-30T13:18:00"/>
    <x v="1"/>
    <n v="277.33999999999997"/>
    <n v="4.7619047620000003"/>
    <x v="129"/>
    <n v="7.5"/>
    <d v="2019-01-25T00:00:00"/>
    <n v="1"/>
    <n v="13"/>
    <x v="4"/>
  </r>
  <r>
    <s v="802-70-5316"/>
    <x v="0"/>
    <s v="Yangon"/>
    <x v="0"/>
    <x v="0"/>
    <x v="3"/>
    <n v="92.13"/>
    <n v="6"/>
    <n v="27.638999999999999"/>
    <n v="580.41899999999998"/>
    <d v="2019-06-03T00:00:00"/>
    <d v="1899-12-30T20:34:00"/>
    <x v="1"/>
    <n v="552.78"/>
    <n v="4.7619047620000003"/>
    <x v="130"/>
    <n v="8.3000000000000007"/>
    <d v="2019-03-06T00:00:00"/>
    <n v="3"/>
    <n v="20"/>
    <x v="20"/>
  </r>
  <r>
    <s v="695-51-0018"/>
    <x v="2"/>
    <s v="Mandalay"/>
    <x v="1"/>
    <x v="0"/>
    <x v="3"/>
    <n v="34.840000000000003"/>
    <n v="4"/>
    <n v="6.968"/>
    <n v="146.328"/>
    <d v="2019-10-02T00:00:00"/>
    <d v="1899-12-30T18:36:00"/>
    <x v="1"/>
    <n v="139.36000000000001"/>
    <n v="4.7619047620000003"/>
    <x v="131"/>
    <n v="7.4"/>
    <d v="2019-02-10T00:00:00"/>
    <n v="2"/>
    <n v="18"/>
    <x v="6"/>
  </r>
  <r>
    <s v="590-83-4591"/>
    <x v="2"/>
    <s v="Mandalay"/>
    <x v="0"/>
    <x v="1"/>
    <x v="1"/>
    <n v="87.45"/>
    <n v="6"/>
    <n v="26.234999999999999"/>
    <n v="550.93499999999995"/>
    <s v="2/17/2019"/>
    <d v="1899-12-30T14:40:00"/>
    <x v="2"/>
    <n v="524.70000000000005"/>
    <n v="4.7619047620000003"/>
    <x v="132"/>
    <n v="8.8000000000000007"/>
    <d v="2019-02-17T00:00:00"/>
    <n v="2"/>
    <n v="14"/>
    <x v="17"/>
  </r>
  <r>
    <s v="483-71-1164"/>
    <x v="1"/>
    <s v="Naypyitaw"/>
    <x v="1"/>
    <x v="0"/>
    <x v="0"/>
    <n v="81.3"/>
    <n v="6"/>
    <n v="24.39"/>
    <n v="512.19000000000005"/>
    <d v="2019-08-03T00:00:00"/>
    <d v="1899-12-30T16:43:00"/>
    <x v="0"/>
    <n v="487.8"/>
    <n v="4.7619047620000003"/>
    <x v="133"/>
    <n v="5.3"/>
    <d v="2019-03-08T00:00:00"/>
    <n v="3"/>
    <n v="16"/>
    <x v="1"/>
  </r>
  <r>
    <s v="597-78-7908"/>
    <x v="1"/>
    <s v="Naypyitaw"/>
    <x v="1"/>
    <x v="1"/>
    <x v="5"/>
    <n v="90.22"/>
    <n v="3"/>
    <n v="13.532999999999999"/>
    <n v="284.19299999999998"/>
    <s v="2/18/2019"/>
    <d v="1899-12-30T19:39:00"/>
    <x v="1"/>
    <n v="270.66000000000003"/>
    <n v="4.7619047620000003"/>
    <x v="134"/>
    <n v="6.2"/>
    <d v="2019-02-18T00:00:00"/>
    <n v="2"/>
    <n v="19"/>
    <x v="28"/>
  </r>
  <r>
    <s v="700-81-1757"/>
    <x v="0"/>
    <s v="Yangon"/>
    <x v="1"/>
    <x v="0"/>
    <x v="1"/>
    <n v="26.31"/>
    <n v="5"/>
    <n v="6.5774999999999997"/>
    <n v="138.1275"/>
    <s v="1/18/2019"/>
    <d v="1899-12-30T20:59:00"/>
    <x v="2"/>
    <n v="131.55000000000001"/>
    <n v="4.7619047620000003"/>
    <x v="135"/>
    <n v="8.8000000000000007"/>
    <d v="2019-01-18T00:00:00"/>
    <n v="1"/>
    <n v="20"/>
    <x v="28"/>
  </r>
  <r>
    <s v="354-39-5160"/>
    <x v="0"/>
    <s v="Yangon"/>
    <x v="0"/>
    <x v="0"/>
    <x v="2"/>
    <n v="34.42"/>
    <n v="6"/>
    <n v="10.326000000000001"/>
    <n v="216.846"/>
    <s v="2/18/2019"/>
    <d v="1899-12-30T15:39:00"/>
    <x v="1"/>
    <n v="206.52"/>
    <n v="4.7619047620000003"/>
    <x v="136"/>
    <n v="9.8000000000000007"/>
    <d v="2019-02-18T00:00:00"/>
    <n v="2"/>
    <n v="15"/>
    <x v="28"/>
  </r>
  <r>
    <s v="241-72-9525"/>
    <x v="2"/>
    <s v="Mandalay"/>
    <x v="1"/>
    <x v="1"/>
    <x v="3"/>
    <n v="51.91"/>
    <n v="10"/>
    <n v="25.954999999999998"/>
    <n v="545.05499999999995"/>
    <s v="2/16/2019"/>
    <d v="1899-12-30T12:21:00"/>
    <x v="1"/>
    <n v="519.1"/>
    <n v="4.7619047620000003"/>
    <x v="137"/>
    <n v="8.1999999999999993"/>
    <d v="2019-02-16T00:00:00"/>
    <n v="2"/>
    <n v="12"/>
    <x v="23"/>
  </r>
  <r>
    <s v="575-30-8091"/>
    <x v="0"/>
    <s v="Yangon"/>
    <x v="1"/>
    <x v="1"/>
    <x v="3"/>
    <n v="72.5"/>
    <n v="8"/>
    <n v="29"/>
    <n v="609"/>
    <s v="3/16/2019"/>
    <d v="1899-12-30T19:25:00"/>
    <x v="0"/>
    <n v="580"/>
    <n v="4.7619047620000003"/>
    <x v="138"/>
    <n v="9.1999999999999993"/>
    <d v="2019-03-16T00:00:00"/>
    <n v="3"/>
    <n v="19"/>
    <x v="23"/>
  </r>
  <r>
    <s v="731-81-9469"/>
    <x v="1"/>
    <s v="Naypyitaw"/>
    <x v="0"/>
    <x v="0"/>
    <x v="3"/>
    <n v="89.8"/>
    <n v="10"/>
    <n v="44.9"/>
    <n v="942.9"/>
    <s v="1/23/2019"/>
    <d v="1899-12-30T13:00:00"/>
    <x v="2"/>
    <n v="898"/>
    <n v="4.7619047620000003"/>
    <x v="139"/>
    <n v="5.4"/>
    <d v="2019-01-23T00:00:00"/>
    <n v="1"/>
    <n v="13"/>
    <x v="21"/>
  </r>
  <r>
    <s v="280-17-4359"/>
    <x v="1"/>
    <s v="Naypyitaw"/>
    <x v="0"/>
    <x v="1"/>
    <x v="0"/>
    <n v="90.5"/>
    <n v="10"/>
    <n v="45.25"/>
    <n v="950.25"/>
    <s v="1/25/2019"/>
    <d v="1899-12-30T13:48:00"/>
    <x v="1"/>
    <n v="905"/>
    <n v="4.7619047620000003"/>
    <x v="140"/>
    <n v="8.1"/>
    <d v="2019-01-25T00:00:00"/>
    <n v="1"/>
    <n v="13"/>
    <x v="4"/>
  </r>
  <r>
    <s v="338-65-2210"/>
    <x v="1"/>
    <s v="Naypyitaw"/>
    <x v="0"/>
    <x v="0"/>
    <x v="0"/>
    <n v="68.599999999999994"/>
    <n v="10"/>
    <n v="34.299999999999997"/>
    <n v="720.3"/>
    <d v="2019-05-02T00:00:00"/>
    <d v="1899-12-30T19:57:00"/>
    <x v="1"/>
    <n v="686"/>
    <n v="4.7619047620000003"/>
    <x v="141"/>
    <n v="9.1"/>
    <d v="2019-02-05T00:00:00"/>
    <n v="2"/>
    <n v="19"/>
    <x v="0"/>
  </r>
  <r>
    <s v="488-25-4221"/>
    <x v="1"/>
    <s v="Naypyitaw"/>
    <x v="0"/>
    <x v="0"/>
    <x v="4"/>
    <n v="30.41"/>
    <n v="1"/>
    <n v="1.5205"/>
    <n v="31.930499999999999"/>
    <s v="2/22/2019"/>
    <d v="1899-12-30T10:36:00"/>
    <x v="2"/>
    <n v="30.41"/>
    <n v="4.7619047620000003"/>
    <x v="142"/>
    <n v="8.4"/>
    <d v="2019-02-22T00:00:00"/>
    <n v="2"/>
    <n v="10"/>
    <x v="18"/>
  </r>
  <r>
    <s v="239-10-7476"/>
    <x v="0"/>
    <s v="Yangon"/>
    <x v="1"/>
    <x v="0"/>
    <x v="2"/>
    <n v="77.95"/>
    <n v="6"/>
    <n v="23.385000000000002"/>
    <n v="491.08499999999998"/>
    <s v="1/21/2019"/>
    <d v="1899-12-30T16:37:00"/>
    <x v="0"/>
    <n v="467.7"/>
    <n v="4.7619047620000003"/>
    <x v="143"/>
    <n v="8"/>
    <d v="2019-01-21T00:00:00"/>
    <n v="1"/>
    <n v="16"/>
    <x v="16"/>
  </r>
  <r>
    <s v="458-41-1477"/>
    <x v="1"/>
    <s v="Naypyitaw"/>
    <x v="1"/>
    <x v="0"/>
    <x v="0"/>
    <n v="46.26"/>
    <n v="6"/>
    <n v="13.878"/>
    <n v="291.43799999999999"/>
    <d v="2019-08-03T00:00:00"/>
    <d v="1899-12-30T17:11:00"/>
    <x v="2"/>
    <n v="277.56"/>
    <n v="4.7619047620000003"/>
    <x v="144"/>
    <n v="9.5"/>
    <d v="2019-03-08T00:00:00"/>
    <n v="3"/>
    <n v="17"/>
    <x v="1"/>
  </r>
  <r>
    <s v="685-64-1609"/>
    <x v="0"/>
    <s v="Yangon"/>
    <x v="0"/>
    <x v="0"/>
    <x v="5"/>
    <n v="30.14"/>
    <n v="10"/>
    <n v="15.07"/>
    <n v="316.47000000000003"/>
    <d v="2019-10-02T00:00:00"/>
    <d v="1899-12-30T12:28:00"/>
    <x v="0"/>
    <n v="301.39999999999998"/>
    <n v="4.7619047620000003"/>
    <x v="145"/>
    <n v="9.1999999999999993"/>
    <d v="2019-02-10T00:00:00"/>
    <n v="2"/>
    <n v="12"/>
    <x v="6"/>
  </r>
  <r>
    <s v="568-90-5112"/>
    <x v="1"/>
    <s v="Naypyitaw"/>
    <x v="1"/>
    <x v="1"/>
    <x v="0"/>
    <n v="66.14"/>
    <n v="4"/>
    <n v="13.228"/>
    <n v="277.78800000000001"/>
    <s v="3/19/2019"/>
    <d v="1899-12-30T12:46:00"/>
    <x v="2"/>
    <n v="264.56"/>
    <n v="4.7619047620000003"/>
    <x v="146"/>
    <n v="5.6"/>
    <d v="2019-03-19T00:00:00"/>
    <n v="3"/>
    <n v="12"/>
    <x v="24"/>
  </r>
  <r>
    <s v="262-47-2794"/>
    <x v="2"/>
    <s v="Mandalay"/>
    <x v="0"/>
    <x v="1"/>
    <x v="2"/>
    <n v="71.86"/>
    <n v="8"/>
    <n v="28.744"/>
    <n v="603.62400000000002"/>
    <d v="2019-06-03T00:00:00"/>
    <d v="1899-12-30T15:07:00"/>
    <x v="2"/>
    <n v="574.88"/>
    <n v="4.7619047620000003"/>
    <x v="147"/>
    <n v="6.2"/>
    <d v="2019-03-06T00:00:00"/>
    <n v="3"/>
    <n v="15"/>
    <x v="20"/>
  </r>
  <r>
    <s v="238-49-0436"/>
    <x v="0"/>
    <s v="Yangon"/>
    <x v="1"/>
    <x v="1"/>
    <x v="0"/>
    <n v="32.46"/>
    <n v="8"/>
    <n v="12.984"/>
    <n v="272.66399999999999"/>
    <s v="3/27/2019"/>
    <d v="1899-12-30T13:48:00"/>
    <x v="2"/>
    <n v="259.68"/>
    <n v="4.7619047620000003"/>
    <x v="148"/>
    <n v="4.9000000000000004"/>
    <d v="2019-03-27T00:00:00"/>
    <n v="3"/>
    <n v="13"/>
    <x v="3"/>
  </r>
  <r>
    <s v="608-96-3517"/>
    <x v="2"/>
    <s v="Mandalay"/>
    <x v="0"/>
    <x v="0"/>
    <x v="5"/>
    <n v="91.54"/>
    <n v="4"/>
    <n v="18.308"/>
    <n v="384.46800000000002"/>
    <s v="3/23/2019"/>
    <d v="1899-12-30T19:20:00"/>
    <x v="2"/>
    <n v="366.16"/>
    <n v="4.7619047620000003"/>
    <x v="149"/>
    <n v="4.8"/>
    <d v="2019-03-23T00:00:00"/>
    <n v="3"/>
    <n v="19"/>
    <x v="21"/>
  </r>
  <r>
    <s v="584-86-7256"/>
    <x v="1"/>
    <s v="Naypyitaw"/>
    <x v="0"/>
    <x v="1"/>
    <x v="3"/>
    <n v="34.56"/>
    <n v="7"/>
    <n v="12.096"/>
    <n v="254.01599999999999"/>
    <d v="2019-11-03T00:00:00"/>
    <d v="1899-12-30T16:07:00"/>
    <x v="2"/>
    <n v="241.92"/>
    <n v="4.7619047620000003"/>
    <x v="150"/>
    <n v="7.3"/>
    <d v="2019-03-11T00:00:00"/>
    <n v="3"/>
    <n v="16"/>
    <x v="14"/>
  </r>
  <r>
    <s v="746-94-0204"/>
    <x v="0"/>
    <s v="Yangon"/>
    <x v="1"/>
    <x v="1"/>
    <x v="5"/>
    <n v="83.24"/>
    <n v="9"/>
    <n v="37.457999999999998"/>
    <n v="786.61800000000005"/>
    <s v="1/29/2019"/>
    <d v="1899-12-30T11:56:00"/>
    <x v="2"/>
    <n v="749.16"/>
    <n v="4.7619047620000003"/>
    <x v="151"/>
    <n v="7.4"/>
    <d v="2019-01-29T00:00:00"/>
    <n v="1"/>
    <n v="11"/>
    <x v="12"/>
  </r>
  <r>
    <s v="214-17-6927"/>
    <x v="1"/>
    <s v="Naypyitaw"/>
    <x v="1"/>
    <x v="0"/>
    <x v="4"/>
    <n v="16.48"/>
    <n v="6"/>
    <n v="4.944"/>
    <n v="103.824"/>
    <d v="2019-07-02T00:00:00"/>
    <d v="1899-12-30T18:23:00"/>
    <x v="0"/>
    <n v="98.88"/>
    <n v="4.7619047620000003"/>
    <x v="152"/>
    <n v="9.9"/>
    <d v="2019-02-07T00:00:00"/>
    <n v="2"/>
    <n v="18"/>
    <x v="11"/>
  </r>
  <r>
    <s v="400-89-4171"/>
    <x v="1"/>
    <s v="Naypyitaw"/>
    <x v="1"/>
    <x v="0"/>
    <x v="3"/>
    <n v="80.97"/>
    <n v="8"/>
    <n v="32.387999999999998"/>
    <n v="680.14800000000002"/>
    <s v="1/28/2019"/>
    <d v="1899-12-30T13:05:00"/>
    <x v="1"/>
    <n v="647.76"/>
    <n v="4.7619047620000003"/>
    <x v="153"/>
    <n v="9.3000000000000007"/>
    <d v="2019-01-28T00:00:00"/>
    <n v="1"/>
    <n v="13"/>
    <x v="19"/>
  </r>
  <r>
    <s v="782-95-9291"/>
    <x v="0"/>
    <s v="Yangon"/>
    <x v="0"/>
    <x v="1"/>
    <x v="4"/>
    <n v="92.29"/>
    <n v="5"/>
    <n v="23.072500000000002"/>
    <n v="484.52249999999998"/>
    <s v="2/20/2019"/>
    <d v="1899-12-30T15:55:00"/>
    <x v="2"/>
    <n v="461.45"/>
    <n v="4.7619047620000003"/>
    <x v="154"/>
    <n v="9"/>
    <d v="2019-02-20T00:00:00"/>
    <n v="2"/>
    <n v="15"/>
    <x v="7"/>
  </r>
  <r>
    <s v="279-74-2924"/>
    <x v="2"/>
    <s v="Mandalay"/>
    <x v="0"/>
    <x v="1"/>
    <x v="1"/>
    <n v="72.17"/>
    <n v="1"/>
    <n v="3.6084999999999998"/>
    <n v="75.778499999999994"/>
    <d v="2019-04-01T00:00:00"/>
    <d v="1899-12-30T19:40:00"/>
    <x v="1"/>
    <n v="72.17"/>
    <n v="4.7619047620000003"/>
    <x v="155"/>
    <n v="6.1"/>
    <d v="2019-01-04T00:00:00"/>
    <n v="1"/>
    <n v="19"/>
    <x v="22"/>
  </r>
  <r>
    <s v="307-85-2293"/>
    <x v="2"/>
    <s v="Mandalay"/>
    <x v="1"/>
    <x v="1"/>
    <x v="2"/>
    <n v="50.28"/>
    <n v="5"/>
    <n v="12.57"/>
    <n v="263.97000000000003"/>
    <d v="2019-07-03T00:00:00"/>
    <d v="1899-12-30T13:58:00"/>
    <x v="0"/>
    <n v="251.4"/>
    <n v="4.7619047620000003"/>
    <x v="156"/>
    <n v="9.6999999999999993"/>
    <d v="2019-03-07T00:00:00"/>
    <n v="3"/>
    <n v="13"/>
    <x v="11"/>
  </r>
  <r>
    <s v="743-04-1105"/>
    <x v="2"/>
    <s v="Mandalay"/>
    <x v="0"/>
    <x v="1"/>
    <x v="0"/>
    <n v="97.22"/>
    <n v="9"/>
    <n v="43.749000000000002"/>
    <n v="918.72900000000004"/>
    <s v="3/30/2019"/>
    <d v="1899-12-30T14:43:00"/>
    <x v="0"/>
    <n v="874.98"/>
    <n v="4.7619047620000003"/>
    <x v="157"/>
    <n v="6"/>
    <d v="2019-03-30T00:00:00"/>
    <n v="3"/>
    <n v="14"/>
    <x v="29"/>
  </r>
  <r>
    <s v="423-57-2993"/>
    <x v="2"/>
    <s v="Mandalay"/>
    <x v="1"/>
    <x v="1"/>
    <x v="3"/>
    <n v="93.39"/>
    <n v="6"/>
    <n v="28.016999999999999"/>
    <n v="588.35699999999997"/>
    <s v="3/27/2019"/>
    <d v="1899-12-30T19:18:00"/>
    <x v="0"/>
    <n v="560.34"/>
    <n v="4.7619047620000003"/>
    <x v="158"/>
    <n v="10"/>
    <d v="2019-03-27T00:00:00"/>
    <n v="3"/>
    <n v="19"/>
    <x v="3"/>
  </r>
  <r>
    <s v="894-41-5205"/>
    <x v="1"/>
    <s v="Naypyitaw"/>
    <x v="1"/>
    <x v="0"/>
    <x v="4"/>
    <n v="43.18"/>
    <n v="8"/>
    <n v="17.271999999999998"/>
    <n v="362.71199999999999"/>
    <s v="1/19/2019"/>
    <d v="1899-12-30T19:39:00"/>
    <x v="2"/>
    <n v="345.44"/>
    <n v="4.7619047620000003"/>
    <x v="159"/>
    <n v="8.3000000000000007"/>
    <d v="2019-01-19T00:00:00"/>
    <n v="1"/>
    <n v="19"/>
    <x v="24"/>
  </r>
  <r>
    <s v="275-28-0149"/>
    <x v="0"/>
    <s v="Yangon"/>
    <x v="1"/>
    <x v="1"/>
    <x v="3"/>
    <n v="63.69"/>
    <n v="1"/>
    <n v="3.1844999999999999"/>
    <n v="66.874499999999998"/>
    <s v="2/25/2019"/>
    <d v="1899-12-30T16:21:00"/>
    <x v="1"/>
    <n v="63.69"/>
    <n v="4.7619047620000003"/>
    <x v="160"/>
    <n v="6"/>
    <d v="2019-02-25T00:00:00"/>
    <n v="2"/>
    <n v="16"/>
    <x v="4"/>
  </r>
  <r>
    <s v="101-17-6199"/>
    <x v="0"/>
    <s v="Yangon"/>
    <x v="1"/>
    <x v="1"/>
    <x v="4"/>
    <n v="45.79"/>
    <n v="7"/>
    <n v="16.026499999999999"/>
    <n v="336.55650000000003"/>
    <s v="3/13/2019"/>
    <d v="1899-12-30T19:44:00"/>
    <x v="2"/>
    <n v="320.52999999999997"/>
    <n v="4.7619047620000003"/>
    <x v="161"/>
    <n v="7"/>
    <d v="2019-03-13T00:00:00"/>
    <n v="3"/>
    <n v="19"/>
    <x v="26"/>
  </r>
  <r>
    <s v="423-80-0988"/>
    <x v="1"/>
    <s v="Naypyitaw"/>
    <x v="1"/>
    <x v="1"/>
    <x v="3"/>
    <n v="76.400000000000006"/>
    <n v="2"/>
    <n v="7.64"/>
    <n v="160.44"/>
    <s v="1/30/2019"/>
    <d v="1899-12-30T19:42:00"/>
    <x v="0"/>
    <n v="152.80000000000001"/>
    <n v="4.7619047620000003"/>
    <x v="162"/>
    <n v="6.5"/>
    <d v="2019-01-30T00:00:00"/>
    <n v="1"/>
    <n v="19"/>
    <x v="29"/>
  </r>
  <r>
    <s v="548-46-9322"/>
    <x v="2"/>
    <s v="Mandalay"/>
    <x v="1"/>
    <x v="1"/>
    <x v="4"/>
    <n v="39.9"/>
    <n v="10"/>
    <n v="19.95"/>
    <n v="418.95"/>
    <s v="2/20/2019"/>
    <d v="1899-12-30T15:24:00"/>
    <x v="2"/>
    <n v="399"/>
    <n v="4.7619047620000003"/>
    <x v="163"/>
    <n v="5.9"/>
    <d v="2019-02-20T00:00:00"/>
    <n v="2"/>
    <n v="15"/>
    <x v="7"/>
  </r>
  <r>
    <s v="505-02-0892"/>
    <x v="2"/>
    <s v="Mandalay"/>
    <x v="0"/>
    <x v="1"/>
    <x v="0"/>
    <n v="42.57"/>
    <n v="8"/>
    <n v="17.027999999999999"/>
    <n v="357.58800000000002"/>
    <s v="2/25/2019"/>
    <d v="1899-12-30T14:12:00"/>
    <x v="0"/>
    <n v="340.56"/>
    <n v="4.7619047620000003"/>
    <x v="164"/>
    <n v="5.6"/>
    <d v="2019-02-25T00:00:00"/>
    <n v="2"/>
    <n v="14"/>
    <x v="4"/>
  </r>
  <r>
    <s v="234-65-2137"/>
    <x v="1"/>
    <s v="Naypyitaw"/>
    <x v="1"/>
    <x v="1"/>
    <x v="2"/>
    <n v="95.58"/>
    <n v="10"/>
    <n v="47.79"/>
    <n v="1003.59"/>
    <s v="1/16/2019"/>
    <d v="1899-12-30T13:32:00"/>
    <x v="1"/>
    <n v="955.8"/>
    <n v="4.7619047620000003"/>
    <x v="165"/>
    <n v="4.8"/>
    <d v="2019-01-16T00:00:00"/>
    <n v="1"/>
    <n v="13"/>
    <x v="23"/>
  </r>
  <r>
    <s v="687-47-8271"/>
    <x v="0"/>
    <s v="Yangon"/>
    <x v="1"/>
    <x v="1"/>
    <x v="5"/>
    <n v="98.98"/>
    <n v="10"/>
    <n v="49.49"/>
    <n v="1039.29"/>
    <d v="2019-08-02T00:00:00"/>
    <d v="1899-12-30T16:20:00"/>
    <x v="2"/>
    <n v="989.8"/>
    <n v="4.7619047620000003"/>
    <x v="166"/>
    <n v="8.6999999999999993"/>
    <d v="2019-02-08T00:00:00"/>
    <n v="2"/>
    <n v="16"/>
    <x v="1"/>
  </r>
  <r>
    <s v="796-32-9050"/>
    <x v="0"/>
    <s v="Yangon"/>
    <x v="1"/>
    <x v="1"/>
    <x v="4"/>
    <n v="51.28"/>
    <n v="6"/>
    <n v="15.384"/>
    <n v="323.06400000000002"/>
    <s v="1/19/2019"/>
    <d v="1899-12-30T16:31:00"/>
    <x v="1"/>
    <n v="307.68"/>
    <n v="4.7619047620000003"/>
    <x v="167"/>
    <n v="6.5"/>
    <d v="2019-01-19T00:00:00"/>
    <n v="1"/>
    <n v="16"/>
    <x v="24"/>
  </r>
  <r>
    <s v="105-31-1824"/>
    <x v="0"/>
    <s v="Yangon"/>
    <x v="0"/>
    <x v="1"/>
    <x v="3"/>
    <n v="69.52"/>
    <n v="7"/>
    <n v="24.332000000000001"/>
    <n v="510.97199999999998"/>
    <d v="2019-01-02T00:00:00"/>
    <d v="1899-12-30T15:10:00"/>
    <x v="2"/>
    <n v="486.64"/>
    <n v="4.7619047620000003"/>
    <x v="168"/>
    <n v="8.5"/>
    <d v="2019-02-01T00:00:00"/>
    <n v="2"/>
    <n v="15"/>
    <x v="15"/>
  </r>
  <r>
    <s v="249-42-3782"/>
    <x v="0"/>
    <s v="Yangon"/>
    <x v="1"/>
    <x v="1"/>
    <x v="0"/>
    <n v="70.010000000000005"/>
    <n v="5"/>
    <n v="17.502500000000001"/>
    <n v="367.55250000000001"/>
    <d v="2019-03-01T00:00:00"/>
    <d v="1899-12-30T11:36:00"/>
    <x v="0"/>
    <n v="350.05"/>
    <n v="4.7619047620000003"/>
    <x v="169"/>
    <n v="5.5"/>
    <d v="2019-01-03T00:00:00"/>
    <n v="1"/>
    <n v="11"/>
    <x v="2"/>
  </r>
  <r>
    <s v="316-55-4634"/>
    <x v="2"/>
    <s v="Mandalay"/>
    <x v="0"/>
    <x v="1"/>
    <x v="4"/>
    <n v="80.05"/>
    <n v="5"/>
    <n v="20.012499999999999"/>
    <n v="420.26249999999999"/>
    <s v="1/26/2019"/>
    <d v="1899-12-30T12:45:00"/>
    <x v="2"/>
    <n v="400.25"/>
    <n v="4.7619047620000003"/>
    <x v="170"/>
    <n v="9.4"/>
    <d v="2019-01-26T00:00:00"/>
    <n v="1"/>
    <n v="12"/>
    <x v="27"/>
  </r>
  <r>
    <s v="733-33-4967"/>
    <x v="1"/>
    <s v="Naypyitaw"/>
    <x v="1"/>
    <x v="1"/>
    <x v="1"/>
    <n v="20.85"/>
    <n v="8"/>
    <n v="8.34"/>
    <n v="175.14"/>
    <d v="2019-03-03T00:00:00"/>
    <d v="1899-12-30T19:17:00"/>
    <x v="1"/>
    <n v="166.8"/>
    <n v="4.7619047620000003"/>
    <x v="171"/>
    <n v="6.3"/>
    <d v="2019-03-03T00:00:00"/>
    <n v="3"/>
    <n v="19"/>
    <x v="2"/>
  </r>
  <r>
    <s v="608-27-6295"/>
    <x v="2"/>
    <s v="Mandalay"/>
    <x v="0"/>
    <x v="1"/>
    <x v="1"/>
    <n v="52.89"/>
    <n v="6"/>
    <n v="15.867000000000001"/>
    <n v="333.20699999999999"/>
    <s v="1/19/2019"/>
    <d v="1899-12-30T17:34:00"/>
    <x v="2"/>
    <n v="317.33999999999997"/>
    <n v="4.7619047620000003"/>
    <x v="172"/>
    <n v="9.8000000000000007"/>
    <d v="2019-01-19T00:00:00"/>
    <n v="1"/>
    <n v="17"/>
    <x v="24"/>
  </r>
  <r>
    <s v="414-12-7047"/>
    <x v="2"/>
    <s v="Mandalay"/>
    <x v="1"/>
    <x v="1"/>
    <x v="4"/>
    <n v="19.79"/>
    <n v="8"/>
    <n v="7.9160000000000004"/>
    <n v="166.23599999999999"/>
    <s v="1/18/2019"/>
    <d v="1899-12-30T12:04:00"/>
    <x v="0"/>
    <n v="158.32"/>
    <n v="4.7619047620000003"/>
    <x v="173"/>
    <n v="8.6999999999999993"/>
    <d v="2019-01-18T00:00:00"/>
    <n v="1"/>
    <n v="12"/>
    <x v="28"/>
  </r>
  <r>
    <s v="827-26-2100"/>
    <x v="0"/>
    <s v="Yangon"/>
    <x v="0"/>
    <x v="1"/>
    <x v="2"/>
    <n v="33.840000000000003"/>
    <n v="9"/>
    <n v="15.228"/>
    <n v="319.78800000000001"/>
    <s v="3/21/2019"/>
    <d v="1899-12-30T16:21:00"/>
    <x v="0"/>
    <n v="304.56"/>
    <n v="4.7619047620000003"/>
    <x v="174"/>
    <n v="8.8000000000000007"/>
    <d v="2019-03-21T00:00:00"/>
    <n v="3"/>
    <n v="16"/>
    <x v="16"/>
  </r>
  <r>
    <s v="175-54-2529"/>
    <x v="0"/>
    <s v="Yangon"/>
    <x v="0"/>
    <x v="1"/>
    <x v="4"/>
    <n v="22.17"/>
    <n v="8"/>
    <n v="8.8680000000000003"/>
    <n v="186.22800000000001"/>
    <d v="2019-03-03T00:00:00"/>
    <d v="1899-12-30T17:01:00"/>
    <x v="2"/>
    <n v="177.36"/>
    <n v="4.7619047620000003"/>
    <x v="175"/>
    <n v="9.6"/>
    <d v="2019-03-03T00:00:00"/>
    <n v="3"/>
    <n v="17"/>
    <x v="2"/>
  </r>
  <r>
    <s v="139-52-2867"/>
    <x v="1"/>
    <s v="Naypyitaw"/>
    <x v="1"/>
    <x v="0"/>
    <x v="5"/>
    <n v="22.51"/>
    <n v="7"/>
    <n v="7.8784999999999998"/>
    <n v="165.4485"/>
    <s v="2/13/2019"/>
    <d v="1899-12-30T10:50:00"/>
    <x v="2"/>
    <n v="157.57"/>
    <n v="4.7619047620000003"/>
    <x v="176"/>
    <n v="4.8"/>
    <d v="2019-02-13T00:00:00"/>
    <n v="2"/>
    <n v="10"/>
    <x v="26"/>
  </r>
  <r>
    <s v="407-63-8975"/>
    <x v="0"/>
    <s v="Yangon"/>
    <x v="1"/>
    <x v="1"/>
    <x v="4"/>
    <n v="73.88"/>
    <n v="6"/>
    <n v="22.164000000000001"/>
    <n v="465.44400000000002"/>
    <s v="3/23/2019"/>
    <d v="1899-12-30T19:16:00"/>
    <x v="0"/>
    <n v="443.28"/>
    <n v="4.7619047620000003"/>
    <x v="177"/>
    <n v="4.4000000000000004"/>
    <d v="2019-03-23T00:00:00"/>
    <n v="3"/>
    <n v="19"/>
    <x v="21"/>
  </r>
  <r>
    <s v="342-65-4817"/>
    <x v="1"/>
    <s v="Naypyitaw"/>
    <x v="0"/>
    <x v="1"/>
    <x v="0"/>
    <n v="86.8"/>
    <n v="3"/>
    <n v="13.02"/>
    <n v="273.42"/>
    <s v="1/28/2019"/>
    <d v="1899-12-30T16:47:00"/>
    <x v="0"/>
    <n v="260.39999999999998"/>
    <n v="4.7619047620000003"/>
    <x v="178"/>
    <n v="9.9"/>
    <d v="2019-01-28T00:00:00"/>
    <n v="1"/>
    <n v="16"/>
    <x v="19"/>
  </r>
  <r>
    <s v="130-98-8941"/>
    <x v="1"/>
    <s v="Naypyitaw"/>
    <x v="1"/>
    <x v="1"/>
    <x v="5"/>
    <n v="64.260000000000005"/>
    <n v="7"/>
    <n v="22.491"/>
    <n v="472.31099999999998"/>
    <d v="2019-09-02T00:00:00"/>
    <d v="1899-12-30T10:00:00"/>
    <x v="1"/>
    <n v="449.82"/>
    <n v="4.7619047620000003"/>
    <x v="179"/>
    <n v="5.7"/>
    <d v="2019-02-09T00:00:00"/>
    <n v="2"/>
    <n v="10"/>
    <x v="9"/>
  </r>
  <r>
    <s v="434-83-9547"/>
    <x v="1"/>
    <s v="Naypyitaw"/>
    <x v="0"/>
    <x v="1"/>
    <x v="4"/>
    <n v="38.47"/>
    <n v="8"/>
    <n v="15.388"/>
    <n v="323.14800000000002"/>
    <s v="1/23/2019"/>
    <d v="1899-12-30T11:51:00"/>
    <x v="1"/>
    <n v="307.76"/>
    <n v="4.7619047620000003"/>
    <x v="180"/>
    <n v="7.7"/>
    <d v="2019-01-23T00:00:00"/>
    <n v="1"/>
    <n v="11"/>
    <x v="21"/>
  </r>
  <r>
    <s v="851-28-6367"/>
    <x v="0"/>
    <s v="Yangon"/>
    <x v="0"/>
    <x v="1"/>
    <x v="3"/>
    <n v="15.5"/>
    <n v="10"/>
    <n v="7.75"/>
    <n v="162.75"/>
    <s v="3/23/2019"/>
    <d v="1899-12-30T10:55:00"/>
    <x v="0"/>
    <n v="155"/>
    <n v="4.7619047620000003"/>
    <x v="181"/>
    <n v="8"/>
    <d v="2019-03-23T00:00:00"/>
    <n v="3"/>
    <n v="10"/>
    <x v="21"/>
  </r>
  <r>
    <s v="824-88-3614"/>
    <x v="1"/>
    <s v="Naypyitaw"/>
    <x v="1"/>
    <x v="1"/>
    <x v="0"/>
    <n v="34.31"/>
    <n v="8"/>
    <n v="13.724"/>
    <n v="288.20400000000001"/>
    <s v="1/25/2019"/>
    <d v="1899-12-30T15:00:00"/>
    <x v="0"/>
    <n v="274.48"/>
    <n v="4.7619047620000003"/>
    <x v="182"/>
    <n v="5.7"/>
    <d v="2019-01-25T00:00:00"/>
    <n v="1"/>
    <n v="15"/>
    <x v="4"/>
  </r>
  <r>
    <s v="586-25-0848"/>
    <x v="0"/>
    <s v="Yangon"/>
    <x v="1"/>
    <x v="0"/>
    <x v="3"/>
    <n v="12.34"/>
    <n v="7"/>
    <n v="4.319"/>
    <n v="90.698999999999998"/>
    <d v="2019-04-03T00:00:00"/>
    <d v="1899-12-30T11:19:00"/>
    <x v="2"/>
    <n v="86.38"/>
    <n v="4.7619047620000003"/>
    <x v="183"/>
    <n v="6.7"/>
    <d v="2019-03-04T00:00:00"/>
    <n v="3"/>
    <n v="11"/>
    <x v="22"/>
  </r>
  <r>
    <s v="895-66-0685"/>
    <x v="2"/>
    <s v="Mandalay"/>
    <x v="0"/>
    <x v="1"/>
    <x v="4"/>
    <n v="18.079999999999998"/>
    <n v="3"/>
    <n v="2.7120000000000002"/>
    <n v="56.951999999999998"/>
    <d v="2019-05-03T00:00:00"/>
    <d v="1899-12-30T19:46:00"/>
    <x v="0"/>
    <n v="54.24"/>
    <n v="4.7619047620000003"/>
    <x v="184"/>
    <n v="8"/>
    <d v="2019-03-05T00:00:00"/>
    <n v="3"/>
    <n v="19"/>
    <x v="0"/>
  </r>
  <r>
    <s v="305-14-0245"/>
    <x v="2"/>
    <s v="Mandalay"/>
    <x v="0"/>
    <x v="0"/>
    <x v="2"/>
    <n v="94.49"/>
    <n v="8"/>
    <n v="37.795999999999999"/>
    <n v="793.71600000000001"/>
    <d v="2019-03-03T00:00:00"/>
    <d v="1899-12-30T19:00:00"/>
    <x v="0"/>
    <n v="755.92"/>
    <n v="4.7619047620000003"/>
    <x v="185"/>
    <n v="7.5"/>
    <d v="2019-03-03T00:00:00"/>
    <n v="3"/>
    <n v="19"/>
    <x v="2"/>
  </r>
  <r>
    <s v="732-04-5373"/>
    <x v="2"/>
    <s v="Mandalay"/>
    <x v="0"/>
    <x v="1"/>
    <x v="2"/>
    <n v="46.47"/>
    <n v="4"/>
    <n v="9.2940000000000005"/>
    <n v="195.17400000000001"/>
    <d v="2019-08-02T00:00:00"/>
    <d v="1899-12-30T10:53:00"/>
    <x v="1"/>
    <n v="185.88"/>
    <n v="4.7619047620000003"/>
    <x v="186"/>
    <n v="7"/>
    <d v="2019-02-08T00:00:00"/>
    <n v="2"/>
    <n v="10"/>
    <x v="1"/>
  </r>
  <r>
    <s v="400-60-7251"/>
    <x v="0"/>
    <s v="Yangon"/>
    <x v="1"/>
    <x v="1"/>
    <x v="2"/>
    <n v="74.069999999999993"/>
    <n v="1"/>
    <n v="3.7035"/>
    <n v="77.773499999999999"/>
    <d v="2019-10-02T00:00:00"/>
    <d v="1899-12-30T12:50:00"/>
    <x v="0"/>
    <n v="74.069999999999993"/>
    <n v="4.7619047620000003"/>
    <x v="187"/>
    <n v="9.9"/>
    <d v="2019-02-10T00:00:00"/>
    <n v="2"/>
    <n v="12"/>
    <x v="6"/>
  </r>
  <r>
    <s v="593-65-1552"/>
    <x v="1"/>
    <s v="Naypyitaw"/>
    <x v="1"/>
    <x v="0"/>
    <x v="2"/>
    <n v="69.81"/>
    <n v="4"/>
    <n v="13.962"/>
    <n v="293.202"/>
    <s v="1/28/2019"/>
    <d v="1899-12-30T20:50:00"/>
    <x v="2"/>
    <n v="279.24"/>
    <n v="4.7619047620000003"/>
    <x v="188"/>
    <n v="5.9"/>
    <d v="2019-01-28T00:00:00"/>
    <n v="1"/>
    <n v="20"/>
    <x v="19"/>
  </r>
  <r>
    <s v="284-34-9626"/>
    <x v="2"/>
    <s v="Mandalay"/>
    <x v="1"/>
    <x v="0"/>
    <x v="2"/>
    <n v="77.040000000000006"/>
    <n v="3"/>
    <n v="11.555999999999999"/>
    <n v="242.67599999999999"/>
    <d v="2019-11-02T00:00:00"/>
    <d v="1899-12-30T10:39:00"/>
    <x v="2"/>
    <n v="231.12"/>
    <n v="4.7619047620000003"/>
    <x v="189"/>
    <n v="7.2"/>
    <d v="2019-02-11T00:00:00"/>
    <n v="2"/>
    <n v="10"/>
    <x v="14"/>
  </r>
  <r>
    <s v="437-58-8131"/>
    <x v="2"/>
    <s v="Mandalay"/>
    <x v="1"/>
    <x v="0"/>
    <x v="5"/>
    <n v="73.52"/>
    <n v="2"/>
    <n v="7.3520000000000003"/>
    <n v="154.392"/>
    <s v="1/15/2019"/>
    <d v="1899-12-30T13:41:00"/>
    <x v="0"/>
    <n v="147.04"/>
    <n v="4.7619047620000003"/>
    <x v="190"/>
    <n v="4.5999999999999996"/>
    <d v="2019-01-15T00:00:00"/>
    <n v="1"/>
    <n v="13"/>
    <x v="13"/>
  </r>
  <r>
    <s v="286-43-6208"/>
    <x v="1"/>
    <s v="Naypyitaw"/>
    <x v="1"/>
    <x v="0"/>
    <x v="4"/>
    <n v="87.8"/>
    <n v="9"/>
    <n v="39.51"/>
    <n v="829.71"/>
    <s v="3/16/2019"/>
    <d v="1899-12-30T19:08:00"/>
    <x v="1"/>
    <n v="790.2"/>
    <n v="4.7619047620000003"/>
    <x v="191"/>
    <n v="9.1999999999999993"/>
    <d v="2019-03-16T00:00:00"/>
    <n v="3"/>
    <n v="19"/>
    <x v="23"/>
  </r>
  <r>
    <s v="641-43-2399"/>
    <x v="2"/>
    <s v="Mandalay"/>
    <x v="1"/>
    <x v="1"/>
    <x v="2"/>
    <n v="25.55"/>
    <n v="4"/>
    <n v="5.1100000000000003"/>
    <n v="107.31"/>
    <s v="1/26/2019"/>
    <d v="1899-12-30T20:23:00"/>
    <x v="0"/>
    <n v="102.2"/>
    <n v="4.7619047620000003"/>
    <x v="192"/>
    <n v="5.7"/>
    <d v="2019-01-26T00:00:00"/>
    <n v="1"/>
    <n v="20"/>
    <x v="27"/>
  </r>
  <r>
    <s v="831-07-6050"/>
    <x v="0"/>
    <s v="Yangon"/>
    <x v="1"/>
    <x v="1"/>
    <x v="1"/>
    <n v="32.71"/>
    <n v="5"/>
    <n v="8.1775000000000002"/>
    <n v="171.72749999999999"/>
    <s v="3/19/2019"/>
    <d v="1899-12-30T11:30:00"/>
    <x v="2"/>
    <n v="163.55000000000001"/>
    <n v="4.7619047620000003"/>
    <x v="193"/>
    <n v="9.9"/>
    <d v="2019-03-19T00:00:00"/>
    <n v="3"/>
    <n v="11"/>
    <x v="24"/>
  </r>
  <r>
    <s v="556-86-3144"/>
    <x v="1"/>
    <s v="Naypyitaw"/>
    <x v="0"/>
    <x v="0"/>
    <x v="5"/>
    <n v="74.290000000000006"/>
    <n v="1"/>
    <n v="3.7145000000000001"/>
    <n v="78.004499999999993"/>
    <s v="1/13/2019"/>
    <d v="1899-12-30T19:30:00"/>
    <x v="1"/>
    <n v="74.290000000000006"/>
    <n v="4.7619047620000003"/>
    <x v="194"/>
    <n v="5"/>
    <d v="2019-01-13T00:00:00"/>
    <n v="1"/>
    <n v="19"/>
    <x v="26"/>
  </r>
  <r>
    <s v="848-24-9445"/>
    <x v="1"/>
    <s v="Naypyitaw"/>
    <x v="0"/>
    <x v="1"/>
    <x v="0"/>
    <n v="43.7"/>
    <n v="2"/>
    <n v="4.37"/>
    <n v="91.77"/>
    <s v="3/26/2019"/>
    <d v="1899-12-30T18:03:00"/>
    <x v="1"/>
    <n v="87.4"/>
    <n v="4.7619047620000003"/>
    <x v="195"/>
    <n v="4.9000000000000004"/>
    <d v="2019-03-26T00:00:00"/>
    <n v="3"/>
    <n v="18"/>
    <x v="27"/>
  </r>
  <r>
    <s v="856-22-8149"/>
    <x v="0"/>
    <s v="Yangon"/>
    <x v="1"/>
    <x v="0"/>
    <x v="2"/>
    <n v="25.29"/>
    <n v="1"/>
    <n v="1.2645"/>
    <n v="26.554500000000001"/>
    <s v="3/23/2019"/>
    <d v="1899-12-30T10:13:00"/>
    <x v="0"/>
    <n v="25.29"/>
    <n v="4.7619047620000003"/>
    <x v="196"/>
    <n v="6.1"/>
    <d v="2019-03-23T00:00:00"/>
    <n v="3"/>
    <n v="10"/>
    <x v="21"/>
  </r>
  <r>
    <s v="699-01-4164"/>
    <x v="1"/>
    <s v="Naypyitaw"/>
    <x v="1"/>
    <x v="1"/>
    <x v="0"/>
    <n v="41.5"/>
    <n v="4"/>
    <n v="8.3000000000000007"/>
    <n v="174.3"/>
    <d v="2019-12-03T00:00:00"/>
    <d v="1899-12-30T19:58:00"/>
    <x v="2"/>
    <n v="166"/>
    <n v="4.7619047620000003"/>
    <x v="197"/>
    <n v="8.1999999999999993"/>
    <d v="2019-03-12T00:00:00"/>
    <n v="3"/>
    <n v="19"/>
    <x v="10"/>
  </r>
  <r>
    <s v="420-11-4919"/>
    <x v="1"/>
    <s v="Naypyitaw"/>
    <x v="0"/>
    <x v="0"/>
    <x v="4"/>
    <n v="71.39"/>
    <n v="5"/>
    <n v="17.8475"/>
    <n v="374.79750000000001"/>
    <s v="2/17/2019"/>
    <d v="1899-12-30T19:57:00"/>
    <x v="2"/>
    <n v="356.95"/>
    <n v="4.7619047620000003"/>
    <x v="198"/>
    <n v="5.5"/>
    <d v="2019-02-17T00:00:00"/>
    <n v="2"/>
    <n v="19"/>
    <x v="17"/>
  </r>
  <r>
    <s v="606-80-4905"/>
    <x v="1"/>
    <s v="Naypyitaw"/>
    <x v="0"/>
    <x v="0"/>
    <x v="3"/>
    <n v="19.149999999999999"/>
    <n v="6"/>
    <n v="5.7450000000000001"/>
    <n v="120.645"/>
    <s v="1/29/2019"/>
    <d v="1899-12-30T10:01:00"/>
    <x v="2"/>
    <n v="114.9"/>
    <n v="4.7619047620000003"/>
    <x v="199"/>
    <n v="6.8"/>
    <d v="2019-01-29T00:00:00"/>
    <n v="1"/>
    <n v="10"/>
    <x v="12"/>
  </r>
  <r>
    <s v="542-41-0513"/>
    <x v="2"/>
    <s v="Mandalay"/>
    <x v="0"/>
    <x v="0"/>
    <x v="1"/>
    <n v="57.49"/>
    <n v="4"/>
    <n v="11.497999999999999"/>
    <n v="241.458"/>
    <s v="3/15/2019"/>
    <d v="1899-12-30T11:57:00"/>
    <x v="1"/>
    <n v="229.96"/>
    <n v="4.7619047620000003"/>
    <x v="200"/>
    <n v="6.6"/>
    <d v="2019-03-15T00:00:00"/>
    <n v="3"/>
    <n v="11"/>
    <x v="13"/>
  </r>
  <r>
    <s v="426-39-2418"/>
    <x v="1"/>
    <s v="Naypyitaw"/>
    <x v="1"/>
    <x v="1"/>
    <x v="1"/>
    <n v="61.41"/>
    <n v="7"/>
    <n v="21.493500000000001"/>
    <n v="451.36349999999999"/>
    <s v="1/14/2019"/>
    <d v="1899-12-30T10:02:00"/>
    <x v="1"/>
    <n v="429.87"/>
    <n v="4.7619047620000003"/>
    <x v="201"/>
    <n v="9.8000000000000007"/>
    <d v="2019-01-14T00:00:00"/>
    <n v="1"/>
    <n v="10"/>
    <x v="25"/>
  </r>
  <r>
    <s v="875-46-5808"/>
    <x v="2"/>
    <s v="Mandalay"/>
    <x v="0"/>
    <x v="1"/>
    <x v="0"/>
    <n v="25.9"/>
    <n v="10"/>
    <n v="12.95"/>
    <n v="271.95"/>
    <d v="2019-06-02T00:00:00"/>
    <d v="1899-12-30T14:51:00"/>
    <x v="0"/>
    <n v="259"/>
    <n v="4.7619047620000003"/>
    <x v="202"/>
    <n v="8.6999999999999993"/>
    <d v="2019-02-06T00:00:00"/>
    <n v="2"/>
    <n v="14"/>
    <x v="20"/>
  </r>
  <r>
    <s v="394-43-4238"/>
    <x v="2"/>
    <s v="Mandalay"/>
    <x v="0"/>
    <x v="1"/>
    <x v="2"/>
    <n v="17.77"/>
    <n v="5"/>
    <n v="4.4424999999999999"/>
    <n v="93.292500000000004"/>
    <s v="2/15/2019"/>
    <d v="1899-12-30T12:42:00"/>
    <x v="2"/>
    <n v="88.85"/>
    <n v="4.7619047620000003"/>
    <x v="203"/>
    <n v="5.4"/>
    <d v="2019-02-15T00:00:00"/>
    <n v="2"/>
    <n v="12"/>
    <x v="13"/>
  </r>
  <r>
    <s v="749-24-1565"/>
    <x v="0"/>
    <s v="Yangon"/>
    <x v="1"/>
    <x v="0"/>
    <x v="0"/>
    <n v="23.03"/>
    <n v="9"/>
    <n v="10.3635"/>
    <n v="217.6335"/>
    <d v="2019-03-01T00:00:00"/>
    <d v="1899-12-30T12:02:00"/>
    <x v="0"/>
    <n v="207.27"/>
    <n v="4.7619047620000003"/>
    <x v="204"/>
    <n v="7.9"/>
    <d v="2019-01-03T00:00:00"/>
    <n v="1"/>
    <n v="12"/>
    <x v="2"/>
  </r>
  <r>
    <s v="672-51-8681"/>
    <x v="1"/>
    <s v="Naypyitaw"/>
    <x v="0"/>
    <x v="0"/>
    <x v="1"/>
    <n v="66.650000000000006"/>
    <n v="9"/>
    <n v="29.9925"/>
    <n v="629.84249999999997"/>
    <d v="2019-04-01T00:00:00"/>
    <d v="1899-12-30T18:19:00"/>
    <x v="2"/>
    <n v="599.85"/>
    <n v="4.7619047620000003"/>
    <x v="205"/>
    <n v="9.6999999999999993"/>
    <d v="2019-01-04T00:00:00"/>
    <n v="1"/>
    <n v="18"/>
    <x v="22"/>
  </r>
  <r>
    <s v="263-87-5680"/>
    <x v="1"/>
    <s v="Naypyitaw"/>
    <x v="0"/>
    <x v="0"/>
    <x v="2"/>
    <n v="28.53"/>
    <n v="10"/>
    <n v="14.265000000000001"/>
    <n v="299.565"/>
    <s v="3/18/2019"/>
    <d v="1899-12-30T17:38:00"/>
    <x v="0"/>
    <n v="285.3"/>
    <n v="4.7619047620000003"/>
    <x v="206"/>
    <n v="7.8"/>
    <d v="2019-03-18T00:00:00"/>
    <n v="3"/>
    <n v="17"/>
    <x v="28"/>
  </r>
  <r>
    <s v="573-58-9734"/>
    <x v="2"/>
    <s v="Mandalay"/>
    <x v="1"/>
    <x v="0"/>
    <x v="5"/>
    <n v="30.37"/>
    <n v="3"/>
    <n v="4.5555000000000003"/>
    <n v="95.665499999999994"/>
    <s v="3/28/2019"/>
    <d v="1899-12-30T13:41:00"/>
    <x v="0"/>
    <n v="91.11"/>
    <n v="4.7619047620000003"/>
    <x v="207"/>
    <n v="5.0999999999999996"/>
    <d v="2019-03-28T00:00:00"/>
    <n v="3"/>
    <n v="13"/>
    <x v="19"/>
  </r>
  <r>
    <s v="817-69-8206"/>
    <x v="2"/>
    <s v="Mandalay"/>
    <x v="1"/>
    <x v="0"/>
    <x v="1"/>
    <n v="99.73"/>
    <n v="9"/>
    <n v="44.878500000000003"/>
    <n v="942.44849999999997"/>
    <d v="2019-02-03T00:00:00"/>
    <d v="1899-12-30T19:42:00"/>
    <x v="2"/>
    <n v="897.57"/>
    <n v="4.7619047620000003"/>
    <x v="208"/>
    <n v="6.5"/>
    <d v="2019-03-02T00:00:00"/>
    <n v="3"/>
    <n v="19"/>
    <x v="8"/>
  </r>
  <r>
    <s v="888-02-0338"/>
    <x v="0"/>
    <s v="Yangon"/>
    <x v="1"/>
    <x v="1"/>
    <x v="1"/>
    <n v="26.23"/>
    <n v="9"/>
    <n v="11.8035"/>
    <n v="247.87350000000001"/>
    <s v="1/25/2019"/>
    <d v="1899-12-30T20:24:00"/>
    <x v="0"/>
    <n v="236.07"/>
    <n v="4.7619047620000003"/>
    <x v="209"/>
    <n v="5.9"/>
    <d v="2019-01-25T00:00:00"/>
    <n v="1"/>
    <n v="20"/>
    <x v="4"/>
  </r>
  <r>
    <s v="677-11-0152"/>
    <x v="1"/>
    <s v="Naypyitaw"/>
    <x v="1"/>
    <x v="0"/>
    <x v="4"/>
    <n v="93.26"/>
    <n v="9"/>
    <n v="41.966999999999999"/>
    <n v="881.30700000000002"/>
    <s v="1/16/2019"/>
    <d v="1899-12-30T18:08:00"/>
    <x v="1"/>
    <n v="839.34"/>
    <n v="4.7619047620000003"/>
    <x v="210"/>
    <n v="8.8000000000000007"/>
    <d v="2019-01-16T00:00:00"/>
    <n v="1"/>
    <n v="18"/>
    <x v="23"/>
  </r>
  <r>
    <s v="142-63-6033"/>
    <x v="2"/>
    <s v="Mandalay"/>
    <x v="1"/>
    <x v="1"/>
    <x v="2"/>
    <n v="92.36"/>
    <n v="5"/>
    <n v="23.09"/>
    <n v="484.89"/>
    <s v="3/20/2019"/>
    <d v="1899-12-30T19:17:00"/>
    <x v="0"/>
    <n v="461.8"/>
    <n v="4.7619047620000003"/>
    <x v="211"/>
    <n v="4.9000000000000004"/>
    <d v="2019-03-20T00:00:00"/>
    <n v="3"/>
    <n v="19"/>
    <x v="7"/>
  </r>
  <r>
    <s v="656-16-1063"/>
    <x v="2"/>
    <s v="Mandalay"/>
    <x v="1"/>
    <x v="1"/>
    <x v="3"/>
    <n v="46.42"/>
    <n v="3"/>
    <n v="6.9630000000000001"/>
    <n v="146.22300000000001"/>
    <d v="2019-04-01T00:00:00"/>
    <d v="1899-12-30T13:24:00"/>
    <x v="2"/>
    <n v="139.26"/>
    <n v="4.7619047620000003"/>
    <x v="212"/>
    <n v="4.4000000000000004"/>
    <d v="2019-01-04T00:00:00"/>
    <n v="1"/>
    <n v="13"/>
    <x v="22"/>
  </r>
  <r>
    <s v="891-58-8335"/>
    <x v="2"/>
    <s v="Mandalay"/>
    <x v="0"/>
    <x v="0"/>
    <x v="3"/>
    <n v="29.61"/>
    <n v="7"/>
    <n v="10.3635"/>
    <n v="217.6335"/>
    <d v="2019-11-03T00:00:00"/>
    <d v="1899-12-30T15:53:00"/>
    <x v="1"/>
    <n v="207.27"/>
    <n v="4.7619047620000003"/>
    <x v="204"/>
    <n v="6.5"/>
    <d v="2019-03-11T00:00:00"/>
    <n v="3"/>
    <n v="15"/>
    <x v="14"/>
  </r>
  <r>
    <s v="802-43-8934"/>
    <x v="0"/>
    <s v="Yangon"/>
    <x v="1"/>
    <x v="1"/>
    <x v="2"/>
    <n v="18.28"/>
    <n v="1"/>
    <n v="0.91400000000000003"/>
    <n v="19.193999999999999"/>
    <s v="3/22/2019"/>
    <d v="1899-12-30T15:05:00"/>
    <x v="2"/>
    <n v="18.28"/>
    <n v="4.7619047620000003"/>
    <x v="213"/>
    <n v="8.3000000000000007"/>
    <d v="2019-03-22T00:00:00"/>
    <n v="3"/>
    <n v="15"/>
    <x v="18"/>
  </r>
  <r>
    <s v="560-30-5617"/>
    <x v="2"/>
    <s v="Mandalay"/>
    <x v="1"/>
    <x v="0"/>
    <x v="3"/>
    <n v="24.77"/>
    <n v="5"/>
    <n v="6.1924999999999999"/>
    <n v="130.04249999999999"/>
    <s v="3/24/2019"/>
    <d v="1899-12-30T18:27:00"/>
    <x v="1"/>
    <n v="123.85"/>
    <n v="4.7619047620000003"/>
    <x v="214"/>
    <n v="8.5"/>
    <d v="2019-03-24T00:00:00"/>
    <n v="3"/>
    <n v="18"/>
    <x v="5"/>
  </r>
  <r>
    <s v="319-74-2561"/>
    <x v="0"/>
    <s v="Yangon"/>
    <x v="0"/>
    <x v="0"/>
    <x v="1"/>
    <n v="94.64"/>
    <n v="3"/>
    <n v="14.196"/>
    <n v="298.11599999999999"/>
    <s v="2/21/2019"/>
    <d v="1899-12-30T16:55:00"/>
    <x v="1"/>
    <n v="283.92"/>
    <n v="4.7619047620000003"/>
    <x v="215"/>
    <n v="5.5"/>
    <d v="2019-02-21T00:00:00"/>
    <n v="2"/>
    <n v="16"/>
    <x v="16"/>
  </r>
  <r>
    <s v="549-03-9315"/>
    <x v="2"/>
    <s v="Mandalay"/>
    <x v="1"/>
    <x v="1"/>
    <x v="5"/>
    <n v="94.87"/>
    <n v="8"/>
    <n v="37.948"/>
    <n v="796.90800000000002"/>
    <d v="2019-12-02T00:00:00"/>
    <d v="1899-12-30T12:58:00"/>
    <x v="0"/>
    <n v="758.96"/>
    <n v="4.7619047620000003"/>
    <x v="216"/>
    <n v="8.6999999999999993"/>
    <d v="2019-02-12T00:00:00"/>
    <n v="2"/>
    <n v="12"/>
    <x v="10"/>
  </r>
  <r>
    <s v="790-29-1172"/>
    <x v="2"/>
    <s v="Mandalay"/>
    <x v="1"/>
    <x v="0"/>
    <x v="4"/>
    <n v="57.34"/>
    <n v="3"/>
    <n v="8.6010000000000009"/>
    <n v="180.62100000000001"/>
    <d v="2019-10-03T00:00:00"/>
    <d v="1899-12-30T18:59:00"/>
    <x v="2"/>
    <n v="172.02"/>
    <n v="4.7619047620000003"/>
    <x v="217"/>
    <n v="7.9"/>
    <d v="2019-03-10T00:00:00"/>
    <n v="3"/>
    <n v="18"/>
    <x v="6"/>
  </r>
  <r>
    <s v="239-36-3640"/>
    <x v="2"/>
    <s v="Mandalay"/>
    <x v="1"/>
    <x v="1"/>
    <x v="1"/>
    <n v="45.35"/>
    <n v="6"/>
    <n v="13.605"/>
    <n v="285.70499999999998"/>
    <s v="1/31/2019"/>
    <d v="1899-12-30T13:44:00"/>
    <x v="0"/>
    <n v="272.10000000000002"/>
    <n v="4.7619047620000003"/>
    <x v="218"/>
    <n v="6.1"/>
    <d v="2019-01-31T00:00:00"/>
    <n v="1"/>
    <n v="13"/>
    <x v="30"/>
  </r>
  <r>
    <s v="468-01-2051"/>
    <x v="2"/>
    <s v="Mandalay"/>
    <x v="1"/>
    <x v="1"/>
    <x v="4"/>
    <n v="62.08"/>
    <n v="7"/>
    <n v="21.728000000000002"/>
    <n v="456.28800000000001"/>
    <d v="2019-06-03T00:00:00"/>
    <d v="1899-12-30T13:46:00"/>
    <x v="0"/>
    <n v="434.56"/>
    <n v="4.7619047620000003"/>
    <x v="219"/>
    <n v="5.4"/>
    <d v="2019-03-06T00:00:00"/>
    <n v="3"/>
    <n v="13"/>
    <x v="20"/>
  </r>
  <r>
    <s v="389-25-3394"/>
    <x v="1"/>
    <s v="Naypyitaw"/>
    <x v="1"/>
    <x v="1"/>
    <x v="1"/>
    <n v="11.81"/>
    <n v="5"/>
    <n v="2.9525000000000001"/>
    <n v="62.002499999999998"/>
    <s v="2/17/2019"/>
    <d v="1899-12-30T18:06:00"/>
    <x v="1"/>
    <n v="59.05"/>
    <n v="4.7619047620000003"/>
    <x v="220"/>
    <n v="9.4"/>
    <d v="2019-02-17T00:00:00"/>
    <n v="2"/>
    <n v="18"/>
    <x v="17"/>
  </r>
  <r>
    <s v="279-62-1445"/>
    <x v="1"/>
    <s v="Naypyitaw"/>
    <x v="0"/>
    <x v="0"/>
    <x v="5"/>
    <n v="12.54"/>
    <n v="1"/>
    <n v="0.627"/>
    <n v="13.167"/>
    <s v="2/21/2019"/>
    <d v="1899-12-30T12:38:00"/>
    <x v="1"/>
    <n v="12.54"/>
    <n v="4.7619047620000003"/>
    <x v="221"/>
    <n v="8.1999999999999993"/>
    <d v="2019-02-21T00:00:00"/>
    <n v="2"/>
    <n v="12"/>
    <x v="16"/>
  </r>
  <r>
    <s v="213-72-6612"/>
    <x v="0"/>
    <s v="Yangon"/>
    <x v="1"/>
    <x v="1"/>
    <x v="4"/>
    <n v="43.25"/>
    <n v="2"/>
    <n v="4.3250000000000002"/>
    <n v="90.825000000000003"/>
    <s v="3/20/2019"/>
    <d v="1899-12-30T15:56:00"/>
    <x v="1"/>
    <n v="86.5"/>
    <n v="4.7619047620000003"/>
    <x v="222"/>
    <n v="6.2"/>
    <d v="2019-03-20T00:00:00"/>
    <n v="3"/>
    <n v="15"/>
    <x v="7"/>
  </r>
  <r>
    <s v="746-68-6593"/>
    <x v="1"/>
    <s v="Naypyitaw"/>
    <x v="0"/>
    <x v="0"/>
    <x v="3"/>
    <n v="87.16"/>
    <n v="2"/>
    <n v="8.7159999999999993"/>
    <n v="183.036"/>
    <d v="2019-11-01T00:00:00"/>
    <d v="1899-12-30T14:29:00"/>
    <x v="2"/>
    <n v="174.32"/>
    <n v="4.7619047620000003"/>
    <x v="223"/>
    <n v="9.6999999999999993"/>
    <d v="2019-01-11T00:00:00"/>
    <n v="1"/>
    <n v="14"/>
    <x v="14"/>
  </r>
  <r>
    <s v="836-82-5858"/>
    <x v="2"/>
    <s v="Mandalay"/>
    <x v="0"/>
    <x v="1"/>
    <x v="0"/>
    <n v="69.37"/>
    <n v="9"/>
    <n v="31.2165"/>
    <n v="655.54650000000004"/>
    <s v="1/26/2019"/>
    <d v="1899-12-30T19:14:00"/>
    <x v="0"/>
    <n v="624.33000000000004"/>
    <n v="4.7619047620000003"/>
    <x v="224"/>
    <n v="4"/>
    <d v="2019-01-26T00:00:00"/>
    <n v="1"/>
    <n v="19"/>
    <x v="27"/>
  </r>
  <r>
    <s v="583-72-1480"/>
    <x v="1"/>
    <s v="Naypyitaw"/>
    <x v="0"/>
    <x v="1"/>
    <x v="1"/>
    <n v="37.06"/>
    <n v="4"/>
    <n v="7.4119999999999999"/>
    <n v="155.65199999999999"/>
    <s v="1/31/2019"/>
    <d v="1899-12-30T16:24:00"/>
    <x v="0"/>
    <n v="148.24"/>
    <n v="4.7619047620000003"/>
    <x v="225"/>
    <n v="9.6999999999999993"/>
    <d v="2019-01-31T00:00:00"/>
    <n v="1"/>
    <n v="16"/>
    <x v="30"/>
  </r>
  <r>
    <s v="466-61-5506"/>
    <x v="2"/>
    <s v="Mandalay"/>
    <x v="0"/>
    <x v="0"/>
    <x v="1"/>
    <n v="90.7"/>
    <n v="6"/>
    <n v="27.21"/>
    <n v="571.41"/>
    <s v="2/26/2019"/>
    <d v="1899-12-30T10:52:00"/>
    <x v="1"/>
    <n v="544.20000000000005"/>
    <n v="4.7619047620000003"/>
    <x v="226"/>
    <n v="5.3"/>
    <d v="2019-02-26T00:00:00"/>
    <n v="2"/>
    <n v="10"/>
    <x v="27"/>
  </r>
  <r>
    <s v="721-86-6247"/>
    <x v="0"/>
    <s v="Yangon"/>
    <x v="1"/>
    <x v="0"/>
    <x v="2"/>
    <n v="63.42"/>
    <n v="8"/>
    <n v="25.367999999999999"/>
    <n v="532.72799999999995"/>
    <d v="2019-11-03T00:00:00"/>
    <d v="1899-12-30T12:55:00"/>
    <x v="0"/>
    <n v="507.36"/>
    <n v="4.7619047620000003"/>
    <x v="227"/>
    <n v="7.4"/>
    <d v="2019-03-11T00:00:00"/>
    <n v="3"/>
    <n v="12"/>
    <x v="14"/>
  </r>
  <r>
    <s v="289-65-5721"/>
    <x v="2"/>
    <s v="Mandalay"/>
    <x v="1"/>
    <x v="0"/>
    <x v="5"/>
    <n v="81.37"/>
    <n v="2"/>
    <n v="8.1370000000000005"/>
    <n v="170.87700000000001"/>
    <s v="1/26/2019"/>
    <d v="1899-12-30T19:28:00"/>
    <x v="1"/>
    <n v="162.74"/>
    <n v="4.7619047620000003"/>
    <x v="228"/>
    <n v="6.5"/>
    <d v="2019-01-26T00:00:00"/>
    <n v="1"/>
    <n v="19"/>
    <x v="27"/>
  </r>
  <r>
    <s v="545-46-3100"/>
    <x v="2"/>
    <s v="Mandalay"/>
    <x v="0"/>
    <x v="0"/>
    <x v="1"/>
    <n v="10.59"/>
    <n v="3"/>
    <n v="1.5885"/>
    <n v="33.358499999999999"/>
    <d v="2019-12-03T00:00:00"/>
    <d v="1899-12-30T13:52:00"/>
    <x v="2"/>
    <n v="31.77"/>
    <n v="4.7619047620000003"/>
    <x v="229"/>
    <n v="8.6999999999999993"/>
    <d v="2019-03-12T00:00:00"/>
    <n v="3"/>
    <n v="13"/>
    <x v="10"/>
  </r>
  <r>
    <s v="418-02-5978"/>
    <x v="2"/>
    <s v="Mandalay"/>
    <x v="1"/>
    <x v="0"/>
    <x v="0"/>
    <n v="84.09"/>
    <n v="9"/>
    <n v="37.840499999999999"/>
    <n v="794.65049999999997"/>
    <d v="2019-11-02T00:00:00"/>
    <d v="1899-12-30T10:54:00"/>
    <x v="1"/>
    <n v="756.81"/>
    <n v="4.7619047620000003"/>
    <x v="230"/>
    <n v="8"/>
    <d v="2019-02-11T00:00:00"/>
    <n v="2"/>
    <n v="10"/>
    <x v="14"/>
  </r>
  <r>
    <s v="269-04-5750"/>
    <x v="2"/>
    <s v="Mandalay"/>
    <x v="0"/>
    <x v="1"/>
    <x v="5"/>
    <n v="73.819999999999993"/>
    <n v="4"/>
    <n v="14.763999999999999"/>
    <n v="310.04399999999998"/>
    <s v="2/21/2019"/>
    <d v="1899-12-30T18:31:00"/>
    <x v="1"/>
    <n v="295.27999999999997"/>
    <n v="4.7619047620000003"/>
    <x v="231"/>
    <n v="6.7"/>
    <d v="2019-02-21T00:00:00"/>
    <n v="2"/>
    <n v="18"/>
    <x v="16"/>
  </r>
  <r>
    <s v="157-13-5295"/>
    <x v="0"/>
    <s v="Yangon"/>
    <x v="0"/>
    <x v="1"/>
    <x v="0"/>
    <n v="51.94"/>
    <n v="10"/>
    <n v="25.97"/>
    <n v="545.37"/>
    <d v="2019-09-03T00:00:00"/>
    <d v="1899-12-30T18:24:00"/>
    <x v="0"/>
    <n v="519.4"/>
    <n v="4.7619047620000003"/>
    <x v="232"/>
    <n v="6.5"/>
    <d v="2019-03-09T00:00:00"/>
    <n v="3"/>
    <n v="18"/>
    <x v="9"/>
  </r>
  <r>
    <s v="645-78-8093"/>
    <x v="0"/>
    <s v="Yangon"/>
    <x v="1"/>
    <x v="0"/>
    <x v="3"/>
    <n v="93.14"/>
    <n v="2"/>
    <n v="9.3140000000000001"/>
    <n v="195.59399999999999"/>
    <s v="1/20/2019"/>
    <d v="1899-12-30T18:09:00"/>
    <x v="0"/>
    <n v="186.28"/>
    <n v="4.7619047620000003"/>
    <x v="233"/>
    <n v="4.0999999999999996"/>
    <d v="2019-01-20T00:00:00"/>
    <n v="1"/>
    <n v="18"/>
    <x v="7"/>
  </r>
  <r>
    <s v="211-30-9270"/>
    <x v="1"/>
    <s v="Naypyitaw"/>
    <x v="1"/>
    <x v="1"/>
    <x v="0"/>
    <n v="17.41"/>
    <n v="5"/>
    <n v="4.3525"/>
    <n v="91.402500000000003"/>
    <s v="1/28/2019"/>
    <d v="1899-12-30T15:16:00"/>
    <x v="2"/>
    <n v="87.05"/>
    <n v="4.7619047620000003"/>
    <x v="234"/>
    <n v="4.9000000000000004"/>
    <d v="2019-01-28T00:00:00"/>
    <n v="1"/>
    <n v="15"/>
    <x v="19"/>
  </r>
  <r>
    <s v="755-12-3214"/>
    <x v="1"/>
    <s v="Naypyitaw"/>
    <x v="0"/>
    <x v="0"/>
    <x v="5"/>
    <n v="44.22"/>
    <n v="5"/>
    <n v="11.055"/>
    <n v="232.155"/>
    <d v="2019-05-03T00:00:00"/>
    <d v="1899-12-30T17:07:00"/>
    <x v="2"/>
    <n v="221.1"/>
    <n v="4.7619047620000003"/>
    <x v="235"/>
    <n v="8.6"/>
    <d v="2019-03-05T00:00:00"/>
    <n v="3"/>
    <n v="17"/>
    <x v="0"/>
  </r>
  <r>
    <s v="346-84-3103"/>
    <x v="2"/>
    <s v="Mandalay"/>
    <x v="0"/>
    <x v="0"/>
    <x v="1"/>
    <n v="13.22"/>
    <n v="5"/>
    <n v="3.3050000000000002"/>
    <n v="69.405000000000001"/>
    <d v="2019-02-03T00:00:00"/>
    <d v="1899-12-30T19:26:00"/>
    <x v="1"/>
    <n v="66.099999999999994"/>
    <n v="4.7619047620000003"/>
    <x v="236"/>
    <n v="4.3"/>
    <d v="2019-03-02T00:00:00"/>
    <n v="3"/>
    <n v="19"/>
    <x v="8"/>
  </r>
  <r>
    <s v="478-06-7835"/>
    <x v="0"/>
    <s v="Yangon"/>
    <x v="1"/>
    <x v="1"/>
    <x v="5"/>
    <n v="89.69"/>
    <n v="1"/>
    <n v="4.4844999999999997"/>
    <n v="94.174499999999995"/>
    <d v="2019-11-01T00:00:00"/>
    <d v="1899-12-30T11:20:00"/>
    <x v="0"/>
    <n v="89.69"/>
    <n v="4.7619047620000003"/>
    <x v="237"/>
    <n v="4.9000000000000004"/>
    <d v="2019-01-11T00:00:00"/>
    <n v="1"/>
    <n v="11"/>
    <x v="14"/>
  </r>
  <r>
    <s v="540-11-4336"/>
    <x v="0"/>
    <s v="Yangon"/>
    <x v="1"/>
    <x v="1"/>
    <x v="4"/>
    <n v="24.94"/>
    <n v="9"/>
    <n v="11.223000000000001"/>
    <n v="235.68299999999999"/>
    <d v="2019-11-01T00:00:00"/>
    <d v="1899-12-30T16:49:00"/>
    <x v="2"/>
    <n v="224.46"/>
    <n v="4.7619047620000003"/>
    <x v="238"/>
    <n v="5.6"/>
    <d v="2019-01-11T00:00:00"/>
    <n v="1"/>
    <n v="16"/>
    <x v="14"/>
  </r>
  <r>
    <s v="448-81-5016"/>
    <x v="0"/>
    <s v="Yangon"/>
    <x v="1"/>
    <x v="1"/>
    <x v="0"/>
    <n v="59.77"/>
    <n v="2"/>
    <n v="5.9770000000000003"/>
    <n v="125.517"/>
    <d v="2019-11-03T00:00:00"/>
    <d v="1899-12-30T12:01:00"/>
    <x v="2"/>
    <n v="119.54"/>
    <n v="4.7619047620000003"/>
    <x v="239"/>
    <n v="5.8"/>
    <d v="2019-03-11T00:00:00"/>
    <n v="3"/>
    <n v="12"/>
    <x v="14"/>
  </r>
  <r>
    <s v="142-72-4741"/>
    <x v="1"/>
    <s v="Naypyitaw"/>
    <x v="0"/>
    <x v="1"/>
    <x v="5"/>
    <n v="93.2"/>
    <n v="2"/>
    <n v="9.32"/>
    <n v="195.72"/>
    <s v="2/28/2019"/>
    <d v="1899-12-30T18:37:00"/>
    <x v="2"/>
    <n v="186.4"/>
    <n v="4.7619047620000003"/>
    <x v="240"/>
    <n v="6"/>
    <d v="2019-02-28T00:00:00"/>
    <n v="2"/>
    <n v="18"/>
    <x v="19"/>
  </r>
  <r>
    <s v="217-58-1179"/>
    <x v="0"/>
    <s v="Yangon"/>
    <x v="0"/>
    <x v="1"/>
    <x v="2"/>
    <n v="62.65"/>
    <n v="4"/>
    <n v="12.53"/>
    <n v="263.13"/>
    <d v="2019-05-01T00:00:00"/>
    <d v="1899-12-30T11:25:00"/>
    <x v="1"/>
    <n v="250.6"/>
    <n v="4.7619047620000003"/>
    <x v="241"/>
    <n v="4.2"/>
    <d v="2019-01-05T00:00:00"/>
    <n v="1"/>
    <n v="11"/>
    <x v="0"/>
  </r>
  <r>
    <s v="376-02-8238"/>
    <x v="2"/>
    <s v="Mandalay"/>
    <x v="1"/>
    <x v="1"/>
    <x v="2"/>
    <n v="93.87"/>
    <n v="8"/>
    <n v="37.548000000000002"/>
    <n v="788.50800000000004"/>
    <d v="2019-02-02T00:00:00"/>
    <d v="1899-12-30T18:42:00"/>
    <x v="2"/>
    <n v="750.96"/>
    <n v="4.7619047620000003"/>
    <x v="242"/>
    <n v="8.3000000000000007"/>
    <d v="2019-02-02T00:00:00"/>
    <n v="2"/>
    <n v="18"/>
    <x v="8"/>
  </r>
  <r>
    <s v="530-90-9855"/>
    <x v="0"/>
    <s v="Yangon"/>
    <x v="0"/>
    <x v="1"/>
    <x v="2"/>
    <n v="47.59"/>
    <n v="8"/>
    <n v="19.036000000000001"/>
    <n v="399.75599999999997"/>
    <d v="2019-01-01T00:00:00"/>
    <d v="1899-12-30T14:47:00"/>
    <x v="1"/>
    <n v="380.72"/>
    <n v="4.7619047620000003"/>
    <x v="243"/>
    <n v="5.7"/>
    <d v="2019-01-01T00:00:00"/>
    <n v="1"/>
    <n v="14"/>
    <x v="15"/>
  </r>
  <r>
    <s v="866-05-7563"/>
    <x v="2"/>
    <s v="Mandalay"/>
    <x v="0"/>
    <x v="0"/>
    <x v="1"/>
    <n v="81.400000000000006"/>
    <n v="3"/>
    <n v="12.21"/>
    <n v="256.41000000000003"/>
    <d v="2019-09-02T00:00:00"/>
    <d v="1899-12-30T19:43:00"/>
    <x v="1"/>
    <n v="244.2"/>
    <n v="4.7619047620000003"/>
    <x v="244"/>
    <n v="4.8"/>
    <d v="2019-02-09T00:00:00"/>
    <n v="2"/>
    <n v="19"/>
    <x v="9"/>
  </r>
  <r>
    <s v="604-70-6476"/>
    <x v="0"/>
    <s v="Yangon"/>
    <x v="0"/>
    <x v="1"/>
    <x v="5"/>
    <n v="17.940000000000001"/>
    <n v="5"/>
    <n v="4.4850000000000003"/>
    <n v="94.185000000000002"/>
    <s v="1/23/2019"/>
    <d v="1899-12-30T14:04:00"/>
    <x v="0"/>
    <n v="89.7"/>
    <n v="4.7619047620000003"/>
    <x v="245"/>
    <n v="6.8"/>
    <d v="2019-01-23T00:00:00"/>
    <n v="1"/>
    <n v="14"/>
    <x v="21"/>
  </r>
  <r>
    <s v="799-71-1548"/>
    <x v="0"/>
    <s v="Yangon"/>
    <x v="0"/>
    <x v="1"/>
    <x v="1"/>
    <n v="77.72"/>
    <n v="4"/>
    <n v="15.544"/>
    <n v="326.42399999999998"/>
    <d v="2019-07-01T00:00:00"/>
    <d v="1899-12-30T16:11:00"/>
    <x v="2"/>
    <n v="310.88"/>
    <n v="4.7619047620000003"/>
    <x v="246"/>
    <n v="8.8000000000000007"/>
    <d v="2019-01-07T00:00:00"/>
    <n v="1"/>
    <n v="16"/>
    <x v="11"/>
  </r>
  <r>
    <s v="785-13-7708"/>
    <x v="2"/>
    <s v="Mandalay"/>
    <x v="1"/>
    <x v="1"/>
    <x v="4"/>
    <n v="73.06"/>
    <n v="7"/>
    <n v="25.571000000000002"/>
    <n v="536.99099999999999"/>
    <s v="1/14/2019"/>
    <d v="1899-12-30T19:06:00"/>
    <x v="2"/>
    <n v="511.42"/>
    <n v="4.7619047620000003"/>
    <x v="247"/>
    <n v="4.2"/>
    <d v="2019-01-14T00:00:00"/>
    <n v="1"/>
    <n v="19"/>
    <x v="25"/>
  </r>
  <r>
    <s v="845-51-0542"/>
    <x v="2"/>
    <s v="Mandalay"/>
    <x v="0"/>
    <x v="1"/>
    <x v="4"/>
    <n v="46.55"/>
    <n v="9"/>
    <n v="20.947500000000002"/>
    <n v="439.89749999999998"/>
    <d v="2019-02-02T00:00:00"/>
    <d v="1899-12-30T15:34:00"/>
    <x v="0"/>
    <n v="418.95"/>
    <n v="4.7619047620000003"/>
    <x v="248"/>
    <n v="6.4"/>
    <d v="2019-02-02T00:00:00"/>
    <n v="2"/>
    <n v="15"/>
    <x v="8"/>
  </r>
  <r>
    <s v="662-47-5456"/>
    <x v="1"/>
    <s v="Naypyitaw"/>
    <x v="0"/>
    <x v="1"/>
    <x v="5"/>
    <n v="35.19"/>
    <n v="10"/>
    <n v="17.594999999999999"/>
    <n v="369.495"/>
    <s v="3/17/2019"/>
    <d v="1899-12-30T19:06:00"/>
    <x v="2"/>
    <n v="351.9"/>
    <n v="4.7619047620000003"/>
    <x v="249"/>
    <n v="8.4"/>
    <d v="2019-03-17T00:00:00"/>
    <n v="3"/>
    <n v="19"/>
    <x v="17"/>
  </r>
  <r>
    <s v="883-17-4236"/>
    <x v="1"/>
    <s v="Naypyitaw"/>
    <x v="1"/>
    <x v="0"/>
    <x v="3"/>
    <n v="14.39"/>
    <n v="2"/>
    <n v="1.4390000000000001"/>
    <n v="30.219000000000001"/>
    <d v="2019-02-03T00:00:00"/>
    <d v="1899-12-30T19:44:00"/>
    <x v="2"/>
    <n v="28.78"/>
    <n v="4.7619047620000003"/>
    <x v="250"/>
    <n v="7.2"/>
    <d v="2019-03-02T00:00:00"/>
    <n v="3"/>
    <n v="19"/>
    <x v="8"/>
  </r>
  <r>
    <s v="290-68-2984"/>
    <x v="0"/>
    <s v="Yangon"/>
    <x v="1"/>
    <x v="1"/>
    <x v="2"/>
    <n v="23.75"/>
    <n v="4"/>
    <n v="4.75"/>
    <n v="99.75"/>
    <s v="3/16/2019"/>
    <d v="1899-12-30T11:22:00"/>
    <x v="1"/>
    <n v="95"/>
    <n v="4.7619047620000003"/>
    <x v="251"/>
    <n v="5.2"/>
    <d v="2019-03-16T00:00:00"/>
    <n v="3"/>
    <n v="11"/>
    <x v="23"/>
  </r>
  <r>
    <s v="704-11-6354"/>
    <x v="0"/>
    <s v="Yangon"/>
    <x v="0"/>
    <x v="1"/>
    <x v="2"/>
    <n v="58.9"/>
    <n v="8"/>
    <n v="23.56"/>
    <n v="494.76"/>
    <d v="2019-06-01T00:00:00"/>
    <d v="1899-12-30T11:23:00"/>
    <x v="1"/>
    <n v="471.2"/>
    <n v="4.7619047620000003"/>
    <x v="252"/>
    <n v="8.9"/>
    <d v="2019-01-06T00:00:00"/>
    <n v="1"/>
    <n v="11"/>
    <x v="20"/>
  </r>
  <r>
    <s v="110-48-7033"/>
    <x v="2"/>
    <s v="Mandalay"/>
    <x v="0"/>
    <x v="1"/>
    <x v="5"/>
    <n v="32.619999999999997"/>
    <n v="4"/>
    <n v="6.524"/>
    <n v="137.00399999999999"/>
    <s v="1/29/2019"/>
    <d v="1899-12-30T14:12:00"/>
    <x v="1"/>
    <n v="130.47999999999999"/>
    <n v="4.7619047620000003"/>
    <x v="253"/>
    <n v="9"/>
    <d v="2019-01-29T00:00:00"/>
    <n v="1"/>
    <n v="14"/>
    <x v="12"/>
  </r>
  <r>
    <s v="366-93-0948"/>
    <x v="0"/>
    <s v="Yangon"/>
    <x v="0"/>
    <x v="1"/>
    <x v="1"/>
    <n v="66.349999999999994"/>
    <n v="1"/>
    <n v="3.3174999999999999"/>
    <n v="69.667500000000004"/>
    <s v="1/31/2019"/>
    <d v="1899-12-30T10:46:00"/>
    <x v="2"/>
    <n v="66.349999999999994"/>
    <n v="4.7619047620000003"/>
    <x v="254"/>
    <n v="9.6999999999999993"/>
    <d v="2019-01-31T00:00:00"/>
    <n v="1"/>
    <n v="10"/>
    <x v="30"/>
  </r>
  <r>
    <s v="729-09-9681"/>
    <x v="0"/>
    <s v="Yangon"/>
    <x v="0"/>
    <x v="1"/>
    <x v="2"/>
    <n v="25.91"/>
    <n v="6"/>
    <n v="7.7729999999999997"/>
    <n v="163.233"/>
    <d v="2019-05-02T00:00:00"/>
    <d v="1899-12-30T10:16:00"/>
    <x v="0"/>
    <n v="155.46"/>
    <n v="4.7619047620000003"/>
    <x v="255"/>
    <n v="8.6999999999999993"/>
    <d v="2019-02-05T00:00:00"/>
    <n v="2"/>
    <n v="10"/>
    <x v="0"/>
  </r>
  <r>
    <s v="151-16-1484"/>
    <x v="0"/>
    <s v="Yangon"/>
    <x v="0"/>
    <x v="1"/>
    <x v="1"/>
    <n v="32.25"/>
    <n v="4"/>
    <n v="6.45"/>
    <n v="135.44999999999999"/>
    <s v="2/13/2019"/>
    <d v="1899-12-30T12:38:00"/>
    <x v="0"/>
    <n v="129"/>
    <n v="4.7619047620000003"/>
    <x v="256"/>
    <n v="6.5"/>
    <d v="2019-02-13T00:00:00"/>
    <n v="2"/>
    <n v="12"/>
    <x v="26"/>
  </r>
  <r>
    <s v="380-94-4661"/>
    <x v="1"/>
    <s v="Naypyitaw"/>
    <x v="0"/>
    <x v="1"/>
    <x v="1"/>
    <n v="65.94"/>
    <n v="4"/>
    <n v="13.188000000000001"/>
    <n v="276.94799999999998"/>
    <d v="2019-07-02T00:00:00"/>
    <d v="1899-12-30T13:05:00"/>
    <x v="2"/>
    <n v="263.76"/>
    <n v="4.7619047620000003"/>
    <x v="257"/>
    <n v="6.9"/>
    <d v="2019-02-07T00:00:00"/>
    <n v="2"/>
    <n v="13"/>
    <x v="11"/>
  </r>
  <r>
    <s v="850-41-9669"/>
    <x v="0"/>
    <s v="Yangon"/>
    <x v="1"/>
    <x v="0"/>
    <x v="1"/>
    <n v="75.06"/>
    <n v="9"/>
    <n v="33.777000000000001"/>
    <n v="709.31700000000001"/>
    <s v="3/19/2019"/>
    <d v="1899-12-30T13:25:00"/>
    <x v="0"/>
    <n v="675.54"/>
    <n v="4.7619047620000003"/>
    <x v="258"/>
    <n v="6.2"/>
    <d v="2019-03-19T00:00:00"/>
    <n v="3"/>
    <n v="13"/>
    <x v="24"/>
  </r>
  <r>
    <s v="821-07-3596"/>
    <x v="1"/>
    <s v="Naypyitaw"/>
    <x v="1"/>
    <x v="0"/>
    <x v="5"/>
    <n v="16.45"/>
    <n v="4"/>
    <n v="3.29"/>
    <n v="69.09"/>
    <d v="2019-07-03T00:00:00"/>
    <d v="1899-12-30T14:53:00"/>
    <x v="0"/>
    <n v="65.8"/>
    <n v="4.7619047620000003"/>
    <x v="259"/>
    <n v="5.6"/>
    <d v="2019-03-07T00:00:00"/>
    <n v="3"/>
    <n v="14"/>
    <x v="11"/>
  </r>
  <r>
    <s v="655-85-5130"/>
    <x v="2"/>
    <s v="Mandalay"/>
    <x v="0"/>
    <x v="0"/>
    <x v="5"/>
    <n v="38.299999999999997"/>
    <n v="4"/>
    <n v="7.66"/>
    <n v="160.86000000000001"/>
    <s v="3/13/2019"/>
    <d v="1899-12-30T19:22:00"/>
    <x v="1"/>
    <n v="153.19999999999999"/>
    <n v="4.7619047620000003"/>
    <x v="260"/>
    <n v="5.7"/>
    <d v="2019-03-13T00:00:00"/>
    <n v="3"/>
    <n v="19"/>
    <x v="26"/>
  </r>
  <r>
    <s v="447-15-7839"/>
    <x v="0"/>
    <s v="Yangon"/>
    <x v="0"/>
    <x v="0"/>
    <x v="3"/>
    <n v="22.24"/>
    <n v="10"/>
    <n v="11.12"/>
    <n v="233.52"/>
    <d v="2019-09-02T00:00:00"/>
    <d v="1899-12-30T11:00:00"/>
    <x v="1"/>
    <n v="222.4"/>
    <n v="4.7619047620000003"/>
    <x v="261"/>
    <n v="4.2"/>
    <d v="2019-02-09T00:00:00"/>
    <n v="2"/>
    <n v="11"/>
    <x v="9"/>
  </r>
  <r>
    <s v="154-74-7179"/>
    <x v="2"/>
    <s v="Mandalay"/>
    <x v="1"/>
    <x v="1"/>
    <x v="3"/>
    <n v="54.45"/>
    <n v="1"/>
    <n v="2.7225000000000001"/>
    <n v="57.172499999999999"/>
    <s v="2/26/2019"/>
    <d v="1899-12-30T19:24:00"/>
    <x v="0"/>
    <n v="54.45"/>
    <n v="4.7619047620000003"/>
    <x v="262"/>
    <n v="7.9"/>
    <d v="2019-02-26T00:00:00"/>
    <n v="2"/>
    <n v="19"/>
    <x v="27"/>
  </r>
  <r>
    <s v="253-12-6086"/>
    <x v="0"/>
    <s v="Yangon"/>
    <x v="0"/>
    <x v="0"/>
    <x v="3"/>
    <n v="98.4"/>
    <n v="7"/>
    <n v="34.44"/>
    <n v="723.24"/>
    <d v="2019-12-03T00:00:00"/>
    <d v="1899-12-30T12:43:00"/>
    <x v="2"/>
    <n v="688.8"/>
    <n v="4.7619047620000003"/>
    <x v="263"/>
    <n v="8.6999999999999993"/>
    <d v="2019-03-12T00:00:00"/>
    <n v="3"/>
    <n v="12"/>
    <x v="10"/>
  </r>
  <r>
    <s v="808-65-0703"/>
    <x v="1"/>
    <s v="Naypyitaw"/>
    <x v="1"/>
    <x v="1"/>
    <x v="2"/>
    <n v="35.47"/>
    <n v="4"/>
    <n v="7.0940000000000003"/>
    <n v="148.97399999999999"/>
    <s v="3/14/2019"/>
    <d v="1899-12-30T17:22:00"/>
    <x v="2"/>
    <n v="141.88"/>
    <n v="4.7619047620000003"/>
    <x v="264"/>
    <n v="6.9"/>
    <d v="2019-03-14T00:00:00"/>
    <n v="3"/>
    <n v="17"/>
    <x v="25"/>
  </r>
  <r>
    <s v="571-94-0759"/>
    <x v="2"/>
    <s v="Mandalay"/>
    <x v="0"/>
    <x v="0"/>
    <x v="4"/>
    <n v="74.599999999999994"/>
    <n v="10"/>
    <n v="37.299999999999997"/>
    <n v="783.3"/>
    <d v="2019-08-01T00:00:00"/>
    <d v="1899-12-30T20:55:00"/>
    <x v="1"/>
    <n v="746"/>
    <n v="4.7619047620000003"/>
    <x v="265"/>
    <n v="9.5"/>
    <d v="2019-01-08T00:00:00"/>
    <n v="1"/>
    <n v="20"/>
    <x v="1"/>
  </r>
  <r>
    <s v="144-51-6085"/>
    <x v="0"/>
    <s v="Yangon"/>
    <x v="0"/>
    <x v="1"/>
    <x v="2"/>
    <n v="70.739999999999995"/>
    <n v="4"/>
    <n v="14.148"/>
    <n v="297.108"/>
    <d v="2019-05-01T00:00:00"/>
    <d v="1899-12-30T16:05:00"/>
    <x v="2"/>
    <n v="282.95999999999998"/>
    <n v="4.7619047620000003"/>
    <x v="266"/>
    <n v="4.4000000000000004"/>
    <d v="2019-01-05T00:00:00"/>
    <n v="1"/>
    <n v="16"/>
    <x v="0"/>
  </r>
  <r>
    <s v="731-14-2199"/>
    <x v="0"/>
    <s v="Yangon"/>
    <x v="0"/>
    <x v="0"/>
    <x v="2"/>
    <n v="35.54"/>
    <n v="10"/>
    <n v="17.77"/>
    <n v="373.17"/>
    <d v="2019-04-01T00:00:00"/>
    <d v="1899-12-30T13:34:00"/>
    <x v="0"/>
    <n v="355.4"/>
    <n v="4.7619047620000003"/>
    <x v="267"/>
    <n v="7"/>
    <d v="2019-01-04T00:00:00"/>
    <n v="1"/>
    <n v="13"/>
    <x v="22"/>
  </r>
  <r>
    <s v="783-09-1637"/>
    <x v="2"/>
    <s v="Mandalay"/>
    <x v="1"/>
    <x v="0"/>
    <x v="3"/>
    <n v="67.430000000000007"/>
    <n v="5"/>
    <n v="16.857500000000002"/>
    <n v="354.00749999999999"/>
    <d v="2019-06-03T00:00:00"/>
    <d v="1899-12-30T18:13:00"/>
    <x v="0"/>
    <n v="337.15"/>
    <n v="4.7619047620000003"/>
    <x v="268"/>
    <n v="6.3"/>
    <d v="2019-03-06T00:00:00"/>
    <n v="3"/>
    <n v="18"/>
    <x v="20"/>
  </r>
  <r>
    <s v="687-15-1097"/>
    <x v="1"/>
    <s v="Naypyitaw"/>
    <x v="0"/>
    <x v="0"/>
    <x v="0"/>
    <n v="21.12"/>
    <n v="2"/>
    <n v="2.1120000000000001"/>
    <n v="44.351999999999997"/>
    <d v="2019-03-01T00:00:00"/>
    <d v="1899-12-30T19:17:00"/>
    <x v="1"/>
    <n v="42.24"/>
    <n v="4.7619047620000003"/>
    <x v="269"/>
    <n v="9.6999999999999993"/>
    <d v="2019-01-03T00:00:00"/>
    <n v="1"/>
    <n v="19"/>
    <x v="2"/>
  </r>
  <r>
    <s v="126-54-1082"/>
    <x v="0"/>
    <s v="Yangon"/>
    <x v="0"/>
    <x v="0"/>
    <x v="2"/>
    <n v="21.54"/>
    <n v="9"/>
    <n v="9.6929999999999996"/>
    <n v="203.553"/>
    <d v="2019-07-01T00:00:00"/>
    <d v="1899-12-30T11:44:00"/>
    <x v="2"/>
    <n v="193.86"/>
    <n v="4.7619047620000003"/>
    <x v="270"/>
    <n v="8.8000000000000007"/>
    <d v="2019-01-07T00:00:00"/>
    <n v="1"/>
    <n v="11"/>
    <x v="11"/>
  </r>
  <r>
    <s v="633-91-1052"/>
    <x v="0"/>
    <s v="Yangon"/>
    <x v="1"/>
    <x v="0"/>
    <x v="2"/>
    <n v="12.03"/>
    <n v="2"/>
    <n v="1.2030000000000001"/>
    <n v="25.263000000000002"/>
    <s v="1/27/2019"/>
    <d v="1899-12-30T15:51:00"/>
    <x v="1"/>
    <n v="24.06"/>
    <n v="4.7619047620000003"/>
    <x v="271"/>
    <n v="5.0999999999999996"/>
    <d v="2019-01-27T00:00:00"/>
    <n v="1"/>
    <n v="15"/>
    <x v="3"/>
  </r>
  <r>
    <s v="477-24-6490"/>
    <x v="2"/>
    <s v="Mandalay"/>
    <x v="1"/>
    <x v="0"/>
    <x v="0"/>
    <n v="99.71"/>
    <n v="6"/>
    <n v="29.913"/>
    <n v="628.173"/>
    <s v="2/26/2019"/>
    <d v="1899-12-30T16:52:00"/>
    <x v="0"/>
    <n v="598.26"/>
    <n v="4.7619047620000003"/>
    <x v="272"/>
    <n v="7.9"/>
    <d v="2019-02-26T00:00:00"/>
    <n v="2"/>
    <n v="16"/>
    <x v="27"/>
  </r>
  <r>
    <s v="566-19-5475"/>
    <x v="2"/>
    <s v="Mandalay"/>
    <x v="1"/>
    <x v="1"/>
    <x v="5"/>
    <n v="47.97"/>
    <n v="7"/>
    <n v="16.7895"/>
    <n v="352.5795"/>
    <d v="2019-07-01T00:00:00"/>
    <d v="1899-12-30T20:52:00"/>
    <x v="1"/>
    <n v="335.79"/>
    <n v="4.7619047620000003"/>
    <x v="273"/>
    <n v="6.2"/>
    <d v="2019-01-07T00:00:00"/>
    <n v="1"/>
    <n v="20"/>
    <x v="11"/>
  </r>
  <r>
    <s v="526-86-8552"/>
    <x v="1"/>
    <s v="Naypyitaw"/>
    <x v="0"/>
    <x v="0"/>
    <x v="2"/>
    <n v="21.82"/>
    <n v="10"/>
    <n v="10.91"/>
    <n v="229.11"/>
    <d v="2019-07-01T00:00:00"/>
    <d v="1899-12-30T17:36:00"/>
    <x v="1"/>
    <n v="218.2"/>
    <n v="4.7619047620000003"/>
    <x v="274"/>
    <n v="7.1"/>
    <d v="2019-01-07T00:00:00"/>
    <n v="1"/>
    <n v="17"/>
    <x v="11"/>
  </r>
  <r>
    <s v="376-56-3573"/>
    <x v="1"/>
    <s v="Naypyitaw"/>
    <x v="1"/>
    <x v="0"/>
    <x v="5"/>
    <n v="95.42"/>
    <n v="4"/>
    <n v="19.084"/>
    <n v="400.76400000000001"/>
    <d v="2019-02-02T00:00:00"/>
    <d v="1899-12-30T13:23:00"/>
    <x v="0"/>
    <n v="381.68"/>
    <n v="4.7619047620000003"/>
    <x v="275"/>
    <n v="6.4"/>
    <d v="2019-02-02T00:00:00"/>
    <n v="2"/>
    <n v="13"/>
    <x v="8"/>
  </r>
  <r>
    <s v="537-72-0426"/>
    <x v="1"/>
    <s v="Naypyitaw"/>
    <x v="0"/>
    <x v="1"/>
    <x v="5"/>
    <n v="70.989999999999995"/>
    <n v="10"/>
    <n v="35.494999999999997"/>
    <n v="745.39499999999998"/>
    <s v="3/20/2019"/>
    <d v="1899-12-30T16:28:00"/>
    <x v="1"/>
    <n v="709.9"/>
    <n v="4.7619047620000003"/>
    <x v="276"/>
    <n v="5.7"/>
    <d v="2019-03-20T00:00:00"/>
    <n v="3"/>
    <n v="16"/>
    <x v="7"/>
  </r>
  <r>
    <s v="828-61-5674"/>
    <x v="0"/>
    <s v="Yangon"/>
    <x v="0"/>
    <x v="1"/>
    <x v="3"/>
    <n v="44.02"/>
    <n v="10"/>
    <n v="22.01"/>
    <n v="462.21"/>
    <s v="3/20/2019"/>
    <d v="1899-12-30T19:57:00"/>
    <x v="2"/>
    <n v="440.2"/>
    <n v="4.7619047620000003"/>
    <x v="277"/>
    <n v="9.6"/>
    <d v="2019-03-20T00:00:00"/>
    <n v="3"/>
    <n v="19"/>
    <x v="7"/>
  </r>
  <r>
    <s v="136-08-6195"/>
    <x v="0"/>
    <s v="Yangon"/>
    <x v="1"/>
    <x v="0"/>
    <x v="2"/>
    <n v="69.959999999999994"/>
    <n v="8"/>
    <n v="27.984000000000002"/>
    <n v="587.66399999999999"/>
    <s v="2/15/2019"/>
    <d v="1899-12-30T17:01:00"/>
    <x v="2"/>
    <n v="559.67999999999995"/>
    <n v="4.7619047620000003"/>
    <x v="278"/>
    <n v="6.4"/>
    <d v="2019-02-15T00:00:00"/>
    <n v="2"/>
    <n v="17"/>
    <x v="13"/>
  </r>
  <r>
    <s v="523-38-0215"/>
    <x v="1"/>
    <s v="Naypyitaw"/>
    <x v="1"/>
    <x v="1"/>
    <x v="2"/>
    <n v="37"/>
    <n v="1"/>
    <n v="1.85"/>
    <n v="38.85"/>
    <d v="2019-06-03T00:00:00"/>
    <d v="1899-12-30T13:29:00"/>
    <x v="2"/>
    <n v="37"/>
    <n v="4.7619047620000003"/>
    <x v="279"/>
    <n v="7.9"/>
    <d v="2019-03-06T00:00:00"/>
    <n v="3"/>
    <n v="13"/>
    <x v="20"/>
  </r>
  <r>
    <s v="490-29-1201"/>
    <x v="0"/>
    <s v="Yangon"/>
    <x v="1"/>
    <x v="0"/>
    <x v="3"/>
    <n v="15.34"/>
    <n v="1"/>
    <n v="0.76700000000000002"/>
    <n v="16.106999999999999"/>
    <d v="2019-06-01T00:00:00"/>
    <d v="1899-12-30T11:09:00"/>
    <x v="1"/>
    <n v="15.34"/>
    <n v="4.7619047620000003"/>
    <x v="280"/>
    <n v="6.5"/>
    <d v="2019-01-06T00:00:00"/>
    <n v="1"/>
    <n v="11"/>
    <x v="20"/>
  </r>
  <r>
    <s v="667-92-0055"/>
    <x v="0"/>
    <s v="Yangon"/>
    <x v="0"/>
    <x v="1"/>
    <x v="0"/>
    <n v="99.83"/>
    <n v="6"/>
    <n v="29.949000000000002"/>
    <n v="628.92899999999997"/>
    <d v="2019-04-03T00:00:00"/>
    <d v="1899-12-30T15:02:00"/>
    <x v="0"/>
    <n v="598.98"/>
    <n v="4.7619047620000003"/>
    <x v="281"/>
    <n v="8.5"/>
    <d v="2019-03-04T00:00:00"/>
    <n v="3"/>
    <n v="15"/>
    <x v="22"/>
  </r>
  <r>
    <s v="565-17-3836"/>
    <x v="0"/>
    <s v="Yangon"/>
    <x v="0"/>
    <x v="0"/>
    <x v="0"/>
    <n v="47.67"/>
    <n v="4"/>
    <n v="9.5340000000000007"/>
    <n v="200.214"/>
    <d v="2019-12-03T00:00:00"/>
    <d v="1899-12-30T14:21:00"/>
    <x v="1"/>
    <n v="190.68"/>
    <n v="4.7619047620000003"/>
    <x v="282"/>
    <n v="9.1"/>
    <d v="2019-03-12T00:00:00"/>
    <n v="3"/>
    <n v="14"/>
    <x v="10"/>
  </r>
  <r>
    <s v="498-41-1961"/>
    <x v="2"/>
    <s v="Mandalay"/>
    <x v="1"/>
    <x v="1"/>
    <x v="0"/>
    <n v="66.680000000000007"/>
    <n v="5"/>
    <n v="16.670000000000002"/>
    <n v="350.07"/>
    <s v="2/20/2019"/>
    <d v="1899-12-30T18:01:00"/>
    <x v="1"/>
    <n v="333.4"/>
    <n v="4.7619047620000003"/>
    <x v="283"/>
    <n v="7.6"/>
    <d v="2019-02-20T00:00:00"/>
    <n v="2"/>
    <n v="18"/>
    <x v="7"/>
  </r>
  <r>
    <s v="593-95-4461"/>
    <x v="1"/>
    <s v="Naypyitaw"/>
    <x v="0"/>
    <x v="1"/>
    <x v="2"/>
    <n v="74.86"/>
    <n v="1"/>
    <n v="3.7429999999999999"/>
    <n v="78.602999999999994"/>
    <s v="3/24/2019"/>
    <d v="1899-12-30T14:49:00"/>
    <x v="1"/>
    <n v="74.86"/>
    <n v="4.7619047620000003"/>
    <x v="284"/>
    <n v="6.9"/>
    <d v="2019-03-24T00:00:00"/>
    <n v="3"/>
    <n v="14"/>
    <x v="5"/>
  </r>
  <r>
    <s v="226-71-3580"/>
    <x v="1"/>
    <s v="Naypyitaw"/>
    <x v="1"/>
    <x v="0"/>
    <x v="3"/>
    <n v="23.75"/>
    <n v="9"/>
    <n v="10.6875"/>
    <n v="224.4375"/>
    <s v="1/31/2019"/>
    <d v="1899-12-30T12:02:00"/>
    <x v="1"/>
    <n v="213.75"/>
    <n v="4.7619047620000003"/>
    <x v="285"/>
    <n v="9.5"/>
    <d v="2019-01-31T00:00:00"/>
    <n v="1"/>
    <n v="12"/>
    <x v="30"/>
  </r>
  <r>
    <s v="283-79-9594"/>
    <x v="2"/>
    <s v="Mandalay"/>
    <x v="1"/>
    <x v="0"/>
    <x v="4"/>
    <n v="48.51"/>
    <n v="7"/>
    <n v="16.9785"/>
    <n v="356.54849999999999"/>
    <s v="1/25/2019"/>
    <d v="1899-12-30T13:30:00"/>
    <x v="2"/>
    <n v="339.57"/>
    <n v="4.7619047620000003"/>
    <x v="286"/>
    <n v="5.2"/>
    <d v="2019-01-25T00:00:00"/>
    <n v="1"/>
    <n v="13"/>
    <x v="4"/>
  </r>
  <r>
    <s v="430-60-3493"/>
    <x v="0"/>
    <s v="Yangon"/>
    <x v="0"/>
    <x v="0"/>
    <x v="2"/>
    <n v="94.88"/>
    <n v="7"/>
    <n v="33.207999999999998"/>
    <n v="697.36800000000005"/>
    <d v="2019-03-02T00:00:00"/>
    <d v="1899-12-30T14:38:00"/>
    <x v="1"/>
    <n v="664.16"/>
    <n v="4.7619047620000003"/>
    <x v="287"/>
    <n v="4.2"/>
    <d v="2019-02-03T00:00:00"/>
    <n v="2"/>
    <n v="14"/>
    <x v="2"/>
  </r>
  <r>
    <s v="139-20-0155"/>
    <x v="2"/>
    <s v="Mandalay"/>
    <x v="0"/>
    <x v="1"/>
    <x v="1"/>
    <n v="40.299999999999997"/>
    <n v="10"/>
    <n v="20.149999999999999"/>
    <n v="423.15"/>
    <s v="1/24/2019"/>
    <d v="1899-12-30T17:37:00"/>
    <x v="2"/>
    <n v="403"/>
    <n v="4.7619047620000003"/>
    <x v="288"/>
    <n v="7"/>
    <d v="2019-01-24T00:00:00"/>
    <n v="1"/>
    <n v="17"/>
    <x v="5"/>
  </r>
  <r>
    <s v="558-80-4082"/>
    <x v="1"/>
    <s v="Naypyitaw"/>
    <x v="1"/>
    <x v="1"/>
    <x v="1"/>
    <n v="27.85"/>
    <n v="7"/>
    <n v="9.7475000000000005"/>
    <n v="204.69749999999999"/>
    <s v="3/14/2019"/>
    <d v="1899-12-30T17:20:00"/>
    <x v="0"/>
    <n v="194.95"/>
    <n v="4.7619047620000003"/>
    <x v="289"/>
    <n v="6"/>
    <d v="2019-03-14T00:00:00"/>
    <n v="3"/>
    <n v="17"/>
    <x v="25"/>
  </r>
  <r>
    <s v="278-97-7759"/>
    <x v="0"/>
    <s v="Yangon"/>
    <x v="0"/>
    <x v="0"/>
    <x v="1"/>
    <n v="62.48"/>
    <n v="1"/>
    <n v="3.1240000000000001"/>
    <n v="65.603999999999999"/>
    <s v="2/18/2019"/>
    <d v="1899-12-30T20:29:00"/>
    <x v="1"/>
    <n v="62.48"/>
    <n v="4.7619047620000003"/>
    <x v="290"/>
    <n v="4.7"/>
    <d v="2019-02-18T00:00:00"/>
    <n v="2"/>
    <n v="20"/>
    <x v="28"/>
  </r>
  <r>
    <s v="316-68-6352"/>
    <x v="0"/>
    <s v="Yangon"/>
    <x v="0"/>
    <x v="0"/>
    <x v="4"/>
    <n v="36.36"/>
    <n v="2"/>
    <n v="3.6360000000000001"/>
    <n v="76.355999999999995"/>
    <s v="1/21/2019"/>
    <d v="1899-12-30T10:00:00"/>
    <x v="1"/>
    <n v="72.72"/>
    <n v="4.7619047620000003"/>
    <x v="291"/>
    <n v="7.1"/>
    <d v="2019-01-21T00:00:00"/>
    <n v="1"/>
    <n v="10"/>
    <x v="16"/>
  </r>
  <r>
    <s v="585-03-5943"/>
    <x v="2"/>
    <s v="Mandalay"/>
    <x v="1"/>
    <x v="1"/>
    <x v="0"/>
    <n v="18.11"/>
    <n v="10"/>
    <n v="9.0549999999999997"/>
    <n v="190.155"/>
    <s v="3/13/2019"/>
    <d v="1899-12-30T11:46:00"/>
    <x v="0"/>
    <n v="181.1"/>
    <n v="4.7619047620000003"/>
    <x v="292"/>
    <n v="5.9"/>
    <d v="2019-03-13T00:00:00"/>
    <n v="3"/>
    <n v="11"/>
    <x v="26"/>
  </r>
  <r>
    <s v="211-05-0490"/>
    <x v="1"/>
    <s v="Naypyitaw"/>
    <x v="0"/>
    <x v="0"/>
    <x v="1"/>
    <n v="51.92"/>
    <n v="5"/>
    <n v="12.98"/>
    <n v="272.58"/>
    <d v="2019-03-03T00:00:00"/>
    <d v="1899-12-30T13:42:00"/>
    <x v="1"/>
    <n v="259.60000000000002"/>
    <n v="4.7619047620000003"/>
    <x v="293"/>
    <n v="7.5"/>
    <d v="2019-03-03T00:00:00"/>
    <n v="3"/>
    <n v="13"/>
    <x v="2"/>
  </r>
  <r>
    <s v="727-75-6477"/>
    <x v="1"/>
    <s v="Naypyitaw"/>
    <x v="1"/>
    <x v="1"/>
    <x v="1"/>
    <n v="28.84"/>
    <n v="4"/>
    <n v="5.7679999999999998"/>
    <n v="121.128"/>
    <s v="3/29/2019"/>
    <d v="1899-12-30T14:44:00"/>
    <x v="1"/>
    <n v="115.36"/>
    <n v="4.7619047620000003"/>
    <x v="294"/>
    <n v="6.4"/>
    <d v="2019-03-29T00:00:00"/>
    <n v="3"/>
    <n v="14"/>
    <x v="12"/>
  </r>
  <r>
    <s v="744-02-5987"/>
    <x v="0"/>
    <s v="Yangon"/>
    <x v="0"/>
    <x v="1"/>
    <x v="2"/>
    <n v="78.38"/>
    <n v="6"/>
    <n v="23.513999999999999"/>
    <n v="493.79399999999998"/>
    <d v="2019-10-01T00:00:00"/>
    <d v="1899-12-30T14:16:00"/>
    <x v="0"/>
    <n v="470.28"/>
    <n v="4.7619047620000003"/>
    <x v="295"/>
    <n v="5.8"/>
    <d v="2019-01-10T00:00:00"/>
    <n v="1"/>
    <n v="14"/>
    <x v="6"/>
  </r>
  <r>
    <s v="307-83-9164"/>
    <x v="0"/>
    <s v="Yangon"/>
    <x v="0"/>
    <x v="1"/>
    <x v="2"/>
    <n v="60.01"/>
    <n v="4"/>
    <n v="12.002000000000001"/>
    <n v="252.042"/>
    <s v="1/25/2019"/>
    <d v="1899-12-30T15:54:00"/>
    <x v="1"/>
    <n v="240.04"/>
    <n v="4.7619047620000003"/>
    <x v="296"/>
    <n v="4.5"/>
    <d v="2019-01-25T00:00:00"/>
    <n v="1"/>
    <n v="15"/>
    <x v="4"/>
  </r>
  <r>
    <s v="779-06-0012"/>
    <x v="1"/>
    <s v="Naypyitaw"/>
    <x v="0"/>
    <x v="0"/>
    <x v="2"/>
    <n v="88.61"/>
    <n v="1"/>
    <n v="4.4305000000000003"/>
    <n v="93.040499999999994"/>
    <s v="1/19/2019"/>
    <d v="1899-12-30T10:21:00"/>
    <x v="1"/>
    <n v="88.61"/>
    <n v="4.7619047620000003"/>
    <x v="297"/>
    <n v="7.7"/>
    <d v="2019-01-19T00:00:00"/>
    <n v="1"/>
    <n v="10"/>
    <x v="24"/>
  </r>
  <r>
    <s v="446-47-6729"/>
    <x v="1"/>
    <s v="Naypyitaw"/>
    <x v="1"/>
    <x v="1"/>
    <x v="5"/>
    <n v="99.82"/>
    <n v="2"/>
    <n v="9.9819999999999993"/>
    <n v="209.62200000000001"/>
    <d v="2019-02-01T00:00:00"/>
    <d v="1899-12-30T18:09:00"/>
    <x v="2"/>
    <n v="199.64"/>
    <n v="4.7619047620000003"/>
    <x v="298"/>
    <n v="6.7"/>
    <d v="2019-01-02T00:00:00"/>
    <n v="1"/>
    <n v="18"/>
    <x v="8"/>
  </r>
  <r>
    <s v="573-10-3877"/>
    <x v="2"/>
    <s v="Mandalay"/>
    <x v="0"/>
    <x v="1"/>
    <x v="0"/>
    <n v="39.01"/>
    <n v="1"/>
    <n v="1.9504999999999999"/>
    <n v="40.960500000000003"/>
    <d v="2019-12-03T00:00:00"/>
    <d v="1899-12-30T16:46:00"/>
    <x v="2"/>
    <n v="39.01"/>
    <n v="4.7619047620000003"/>
    <x v="299"/>
    <n v="4.7"/>
    <d v="2019-03-12T00:00:00"/>
    <n v="3"/>
    <n v="16"/>
    <x v="10"/>
  </r>
  <r>
    <s v="735-06-4124"/>
    <x v="1"/>
    <s v="Naypyitaw"/>
    <x v="1"/>
    <x v="1"/>
    <x v="4"/>
    <n v="48.61"/>
    <n v="1"/>
    <n v="2.4304999999999999"/>
    <n v="51.040500000000002"/>
    <s v="2/25/2019"/>
    <d v="1899-12-30T15:31:00"/>
    <x v="1"/>
    <n v="48.61"/>
    <n v="4.7619047620000003"/>
    <x v="300"/>
    <n v="4.4000000000000004"/>
    <d v="2019-02-25T00:00:00"/>
    <n v="2"/>
    <n v="15"/>
    <x v="4"/>
  </r>
  <r>
    <s v="439-54-7422"/>
    <x v="0"/>
    <s v="Yangon"/>
    <x v="1"/>
    <x v="0"/>
    <x v="1"/>
    <n v="51.19"/>
    <n v="4"/>
    <n v="10.238"/>
    <n v="214.99799999999999"/>
    <s v="3/18/2019"/>
    <d v="1899-12-30T17:15:00"/>
    <x v="2"/>
    <n v="204.76"/>
    <n v="4.7619047620000003"/>
    <x v="301"/>
    <n v="4.7"/>
    <d v="2019-03-18T00:00:00"/>
    <n v="3"/>
    <n v="17"/>
    <x v="28"/>
  </r>
  <r>
    <s v="396-90-2219"/>
    <x v="2"/>
    <s v="Mandalay"/>
    <x v="1"/>
    <x v="0"/>
    <x v="1"/>
    <n v="14.96"/>
    <n v="8"/>
    <n v="5.984"/>
    <n v="125.664"/>
    <s v="2/23/2019"/>
    <d v="1899-12-30T12:29:00"/>
    <x v="1"/>
    <n v="119.68"/>
    <n v="4.7619047620000003"/>
    <x v="302"/>
    <n v="8.6"/>
    <d v="2019-02-23T00:00:00"/>
    <n v="2"/>
    <n v="12"/>
    <x v="21"/>
  </r>
  <r>
    <s v="411-77-0180"/>
    <x v="0"/>
    <s v="Yangon"/>
    <x v="0"/>
    <x v="1"/>
    <x v="1"/>
    <n v="72.2"/>
    <n v="7"/>
    <n v="25.27"/>
    <n v="530.66999999999996"/>
    <s v="3/26/2019"/>
    <d v="1899-12-30T20:14:00"/>
    <x v="0"/>
    <n v="505.4"/>
    <n v="4.7619047620000003"/>
    <x v="303"/>
    <n v="4.3"/>
    <d v="2019-03-26T00:00:00"/>
    <n v="3"/>
    <n v="20"/>
    <x v="27"/>
  </r>
  <r>
    <s v="286-01-5402"/>
    <x v="0"/>
    <s v="Yangon"/>
    <x v="1"/>
    <x v="0"/>
    <x v="3"/>
    <n v="40.229999999999997"/>
    <n v="7"/>
    <n v="14.080500000000001"/>
    <n v="295.69049999999999"/>
    <s v="3/30/2019"/>
    <d v="1899-12-30T13:22:00"/>
    <x v="1"/>
    <n v="281.61"/>
    <n v="4.7619047620000003"/>
    <x v="304"/>
    <n v="9.6"/>
    <d v="2019-03-30T00:00:00"/>
    <n v="3"/>
    <n v="13"/>
    <x v="29"/>
  </r>
  <r>
    <s v="803-17-8013"/>
    <x v="0"/>
    <s v="Yangon"/>
    <x v="0"/>
    <x v="0"/>
    <x v="2"/>
    <n v="88.79"/>
    <n v="8"/>
    <n v="35.515999999999998"/>
    <n v="745.83600000000001"/>
    <s v="2/17/2019"/>
    <d v="1899-12-30T17:09:00"/>
    <x v="1"/>
    <n v="710.32"/>
    <n v="4.7619047620000003"/>
    <x v="305"/>
    <n v="4.0999999999999996"/>
    <d v="2019-02-17T00:00:00"/>
    <n v="2"/>
    <n v="17"/>
    <x v="17"/>
  </r>
  <r>
    <s v="512-98-1403"/>
    <x v="0"/>
    <s v="Yangon"/>
    <x v="0"/>
    <x v="0"/>
    <x v="1"/>
    <n v="26.48"/>
    <n v="3"/>
    <n v="3.972"/>
    <n v="83.412000000000006"/>
    <s v="3/21/2019"/>
    <d v="1899-12-30T10:40:00"/>
    <x v="0"/>
    <n v="79.44"/>
    <n v="4.7619047620000003"/>
    <x v="306"/>
    <n v="4.7"/>
    <d v="2019-03-21T00:00:00"/>
    <n v="3"/>
    <n v="10"/>
    <x v="16"/>
  </r>
  <r>
    <s v="848-42-2560"/>
    <x v="0"/>
    <s v="Yangon"/>
    <x v="1"/>
    <x v="0"/>
    <x v="5"/>
    <n v="81.91"/>
    <n v="2"/>
    <n v="8.1910000000000007"/>
    <n v="172.011"/>
    <d v="2019-05-03T00:00:00"/>
    <d v="1899-12-30T17:43:00"/>
    <x v="1"/>
    <n v="163.82"/>
    <n v="4.7619047620000003"/>
    <x v="307"/>
    <n v="7.8"/>
    <d v="2019-03-05T00:00:00"/>
    <n v="3"/>
    <n v="17"/>
    <x v="0"/>
  </r>
  <r>
    <s v="532-59-7201"/>
    <x v="2"/>
    <s v="Mandalay"/>
    <x v="0"/>
    <x v="1"/>
    <x v="3"/>
    <n v="79.930000000000007"/>
    <n v="6"/>
    <n v="23.978999999999999"/>
    <n v="503.55900000000003"/>
    <s v="1/31/2019"/>
    <d v="1899-12-30T14:04:00"/>
    <x v="1"/>
    <n v="479.58"/>
    <n v="4.7619047620000003"/>
    <x v="308"/>
    <n v="5.5"/>
    <d v="2019-01-31T00:00:00"/>
    <n v="1"/>
    <n v="14"/>
    <x v="30"/>
  </r>
  <r>
    <s v="181-94-6432"/>
    <x v="1"/>
    <s v="Naypyitaw"/>
    <x v="0"/>
    <x v="1"/>
    <x v="5"/>
    <n v="69.33"/>
    <n v="2"/>
    <n v="6.9329999999999998"/>
    <n v="145.59299999999999"/>
    <d v="2019-05-02T00:00:00"/>
    <d v="1899-12-30T19:05:00"/>
    <x v="0"/>
    <n v="138.66"/>
    <n v="4.7619047620000003"/>
    <x v="309"/>
    <n v="9.6999999999999993"/>
    <d v="2019-02-05T00:00:00"/>
    <n v="2"/>
    <n v="19"/>
    <x v="0"/>
  </r>
  <r>
    <s v="870-76-1733"/>
    <x v="0"/>
    <s v="Yangon"/>
    <x v="0"/>
    <x v="0"/>
    <x v="4"/>
    <n v="14.23"/>
    <n v="5"/>
    <n v="3.5575000000000001"/>
    <n v="74.707499999999996"/>
    <d v="2019-01-02T00:00:00"/>
    <d v="1899-12-30T10:08:00"/>
    <x v="2"/>
    <n v="71.150000000000006"/>
    <n v="4.7619047620000003"/>
    <x v="310"/>
    <n v="4.4000000000000004"/>
    <d v="2019-02-01T00:00:00"/>
    <n v="2"/>
    <n v="10"/>
    <x v="15"/>
  </r>
  <r>
    <s v="423-64-4619"/>
    <x v="0"/>
    <s v="Yangon"/>
    <x v="0"/>
    <x v="0"/>
    <x v="0"/>
    <n v="15.55"/>
    <n v="9"/>
    <n v="6.9974999999999996"/>
    <n v="146.94749999999999"/>
    <d v="2019-07-03T00:00:00"/>
    <d v="1899-12-30T13:12:00"/>
    <x v="1"/>
    <n v="139.94999999999999"/>
    <n v="4.7619047620000003"/>
    <x v="311"/>
    <n v="5"/>
    <d v="2019-03-07T00:00:00"/>
    <n v="3"/>
    <n v="13"/>
    <x v="11"/>
  </r>
  <r>
    <s v="227-07-4446"/>
    <x v="1"/>
    <s v="Naypyitaw"/>
    <x v="0"/>
    <x v="0"/>
    <x v="1"/>
    <n v="78.13"/>
    <n v="10"/>
    <n v="39.064999999999998"/>
    <n v="820.36500000000001"/>
    <d v="2019-10-02T00:00:00"/>
    <d v="1899-12-30T20:51:00"/>
    <x v="1"/>
    <n v="781.3"/>
    <n v="4.7619047620000003"/>
    <x v="312"/>
    <n v="4.4000000000000004"/>
    <d v="2019-02-10T00:00:00"/>
    <n v="2"/>
    <n v="20"/>
    <x v="6"/>
  </r>
  <r>
    <s v="174-36-3675"/>
    <x v="1"/>
    <s v="Naypyitaw"/>
    <x v="0"/>
    <x v="1"/>
    <x v="4"/>
    <n v="99.37"/>
    <n v="2"/>
    <n v="9.9369999999999994"/>
    <n v="208.67699999999999"/>
    <s v="2/14/2019"/>
    <d v="1899-12-30T17:29:00"/>
    <x v="1"/>
    <n v="198.74"/>
    <n v="4.7619047620000003"/>
    <x v="313"/>
    <n v="5.2"/>
    <d v="2019-02-14T00:00:00"/>
    <n v="2"/>
    <n v="17"/>
    <x v="25"/>
  </r>
  <r>
    <s v="428-83-5800"/>
    <x v="1"/>
    <s v="Naypyitaw"/>
    <x v="0"/>
    <x v="0"/>
    <x v="4"/>
    <n v="21.08"/>
    <n v="3"/>
    <n v="3.1619999999999999"/>
    <n v="66.402000000000001"/>
    <d v="2019-09-02T00:00:00"/>
    <d v="1899-12-30T10:25:00"/>
    <x v="1"/>
    <n v="63.24"/>
    <n v="4.7619047620000003"/>
    <x v="314"/>
    <n v="7.3"/>
    <d v="2019-02-09T00:00:00"/>
    <n v="2"/>
    <n v="10"/>
    <x v="9"/>
  </r>
  <r>
    <s v="603-07-0961"/>
    <x v="1"/>
    <s v="Naypyitaw"/>
    <x v="0"/>
    <x v="1"/>
    <x v="1"/>
    <n v="74.790000000000006"/>
    <n v="5"/>
    <n v="18.697500000000002"/>
    <n v="392.64749999999998"/>
    <d v="2019-10-01T00:00:00"/>
    <d v="1899-12-30T11:34:00"/>
    <x v="1"/>
    <n v="373.95"/>
    <n v="4.7619047620000003"/>
    <x v="315"/>
    <n v="4.9000000000000004"/>
    <d v="2019-01-10T00:00:00"/>
    <n v="1"/>
    <n v="11"/>
    <x v="6"/>
  </r>
  <r>
    <s v="704-20-4138"/>
    <x v="1"/>
    <s v="Naypyitaw"/>
    <x v="0"/>
    <x v="0"/>
    <x v="0"/>
    <n v="29.67"/>
    <n v="7"/>
    <n v="10.384499999999999"/>
    <n v="218.0745"/>
    <d v="2019-11-03T00:00:00"/>
    <d v="1899-12-30T18:58:00"/>
    <x v="2"/>
    <n v="207.69"/>
    <n v="4.7619047620000003"/>
    <x v="316"/>
    <n v="8.1"/>
    <d v="2019-03-11T00:00:00"/>
    <n v="3"/>
    <n v="18"/>
    <x v="14"/>
  </r>
  <r>
    <s v="787-15-1757"/>
    <x v="1"/>
    <s v="Naypyitaw"/>
    <x v="0"/>
    <x v="1"/>
    <x v="0"/>
    <n v="44.07"/>
    <n v="4"/>
    <n v="8.8140000000000001"/>
    <n v="185.09399999999999"/>
    <s v="2/18/2019"/>
    <d v="1899-12-30T16:28:00"/>
    <x v="0"/>
    <n v="176.28"/>
    <n v="4.7619047620000003"/>
    <x v="317"/>
    <n v="8.4"/>
    <d v="2019-02-18T00:00:00"/>
    <n v="2"/>
    <n v="16"/>
    <x v="28"/>
  </r>
  <r>
    <s v="649-11-3678"/>
    <x v="1"/>
    <s v="Naypyitaw"/>
    <x v="1"/>
    <x v="0"/>
    <x v="4"/>
    <n v="22.93"/>
    <n v="9"/>
    <n v="10.3185"/>
    <n v="216.6885"/>
    <s v="2/26/2019"/>
    <d v="1899-12-30T20:26:00"/>
    <x v="1"/>
    <n v="206.37"/>
    <n v="4.7619047620000003"/>
    <x v="318"/>
    <n v="5.5"/>
    <d v="2019-02-26T00:00:00"/>
    <n v="2"/>
    <n v="20"/>
    <x v="27"/>
  </r>
  <r>
    <s v="622-20-1945"/>
    <x v="1"/>
    <s v="Naypyitaw"/>
    <x v="1"/>
    <x v="0"/>
    <x v="0"/>
    <n v="39.42"/>
    <n v="1"/>
    <n v="1.9710000000000001"/>
    <n v="41.390999999999998"/>
    <s v="1/18/2019"/>
    <d v="1899-12-30T15:08:00"/>
    <x v="1"/>
    <n v="39.42"/>
    <n v="4.7619047620000003"/>
    <x v="319"/>
    <n v="8.4"/>
    <d v="2019-01-18T00:00:00"/>
    <n v="1"/>
    <n v="15"/>
    <x v="28"/>
  </r>
  <r>
    <s v="372-94-8041"/>
    <x v="0"/>
    <s v="Yangon"/>
    <x v="1"/>
    <x v="1"/>
    <x v="0"/>
    <n v="15.26"/>
    <n v="6"/>
    <n v="4.5780000000000003"/>
    <n v="96.138000000000005"/>
    <s v="2/15/2019"/>
    <d v="1899-12-30T18:03:00"/>
    <x v="0"/>
    <n v="91.56"/>
    <n v="4.7619047620000003"/>
    <x v="320"/>
    <n v="9.8000000000000007"/>
    <d v="2019-02-15T00:00:00"/>
    <n v="2"/>
    <n v="18"/>
    <x v="13"/>
  </r>
  <r>
    <s v="563-91-7120"/>
    <x v="0"/>
    <s v="Yangon"/>
    <x v="1"/>
    <x v="0"/>
    <x v="5"/>
    <n v="61.77"/>
    <n v="5"/>
    <n v="15.442500000000001"/>
    <n v="324.29250000000002"/>
    <d v="2019-08-03T00:00:00"/>
    <d v="1899-12-30T13:21:00"/>
    <x v="1"/>
    <n v="308.85000000000002"/>
    <n v="4.7619047620000003"/>
    <x v="321"/>
    <n v="6.7"/>
    <d v="2019-03-08T00:00:00"/>
    <n v="3"/>
    <n v="13"/>
    <x v="1"/>
  </r>
  <r>
    <s v="746-54-5508"/>
    <x v="0"/>
    <s v="Yangon"/>
    <x v="1"/>
    <x v="1"/>
    <x v="2"/>
    <n v="21.52"/>
    <n v="6"/>
    <n v="6.4560000000000004"/>
    <n v="135.57599999999999"/>
    <s v="1/17/2019"/>
    <d v="1899-12-30T12:48:00"/>
    <x v="2"/>
    <n v="129.12"/>
    <n v="4.7619047620000003"/>
    <x v="322"/>
    <n v="9.4"/>
    <d v="2019-01-17T00:00:00"/>
    <n v="1"/>
    <n v="12"/>
    <x v="17"/>
  </r>
  <r>
    <s v="276-54-0879"/>
    <x v="2"/>
    <s v="Mandalay"/>
    <x v="1"/>
    <x v="1"/>
    <x v="3"/>
    <n v="97.74"/>
    <n v="4"/>
    <n v="19.547999999999998"/>
    <n v="410.50799999999998"/>
    <d v="2019-12-03T00:00:00"/>
    <d v="1899-12-30T19:53:00"/>
    <x v="0"/>
    <n v="390.96"/>
    <n v="4.7619047620000003"/>
    <x v="323"/>
    <n v="6.4"/>
    <d v="2019-03-12T00:00:00"/>
    <n v="3"/>
    <n v="19"/>
    <x v="10"/>
  </r>
  <r>
    <s v="815-11-1168"/>
    <x v="0"/>
    <s v="Yangon"/>
    <x v="0"/>
    <x v="1"/>
    <x v="4"/>
    <n v="99.78"/>
    <n v="5"/>
    <n v="24.945"/>
    <n v="523.84500000000003"/>
    <d v="2019-09-03T00:00:00"/>
    <d v="1899-12-30T19:09:00"/>
    <x v="1"/>
    <n v="498.9"/>
    <n v="4.7619047620000003"/>
    <x v="324"/>
    <n v="5.4"/>
    <d v="2019-03-09T00:00:00"/>
    <n v="3"/>
    <n v="19"/>
    <x v="9"/>
  </r>
  <r>
    <s v="719-76-3868"/>
    <x v="1"/>
    <s v="Naypyitaw"/>
    <x v="0"/>
    <x v="1"/>
    <x v="4"/>
    <n v="94.26"/>
    <n v="4"/>
    <n v="18.852"/>
    <n v="395.892"/>
    <d v="2019-12-03T00:00:00"/>
    <d v="1899-12-30T16:30:00"/>
    <x v="1"/>
    <n v="377.04"/>
    <n v="4.7619047620000003"/>
    <x v="325"/>
    <n v="8.6"/>
    <d v="2019-03-12T00:00:00"/>
    <n v="3"/>
    <n v="16"/>
    <x v="10"/>
  </r>
  <r>
    <s v="730-61-8757"/>
    <x v="2"/>
    <s v="Mandalay"/>
    <x v="0"/>
    <x v="1"/>
    <x v="0"/>
    <n v="51.13"/>
    <n v="4"/>
    <n v="10.226000000000001"/>
    <n v="214.74600000000001"/>
    <s v="1/25/2019"/>
    <d v="1899-12-30T10:11:00"/>
    <x v="2"/>
    <n v="204.52"/>
    <n v="4.7619047620000003"/>
    <x v="326"/>
    <n v="4"/>
    <d v="2019-01-25T00:00:00"/>
    <n v="1"/>
    <n v="10"/>
    <x v="4"/>
  </r>
  <r>
    <s v="340-66-0321"/>
    <x v="0"/>
    <s v="Yangon"/>
    <x v="0"/>
    <x v="1"/>
    <x v="1"/>
    <n v="36.36"/>
    <n v="4"/>
    <n v="7.2720000000000002"/>
    <n v="152.71199999999999"/>
    <s v="3/25/2019"/>
    <d v="1899-12-30T13:07:00"/>
    <x v="1"/>
    <n v="145.44"/>
    <n v="4.7619047620000003"/>
    <x v="327"/>
    <n v="7.6"/>
    <d v="2019-03-25T00:00:00"/>
    <n v="3"/>
    <n v="13"/>
    <x v="4"/>
  </r>
  <r>
    <s v="868-81-1752"/>
    <x v="2"/>
    <s v="Mandalay"/>
    <x v="1"/>
    <x v="1"/>
    <x v="2"/>
    <n v="22.02"/>
    <n v="9"/>
    <n v="9.9090000000000007"/>
    <n v="208.089"/>
    <d v="2019-07-02T00:00:00"/>
    <d v="1899-12-30T18:48:00"/>
    <x v="1"/>
    <n v="198.18"/>
    <n v="4.7619047620000003"/>
    <x v="328"/>
    <n v="6.8"/>
    <d v="2019-02-07T00:00:00"/>
    <n v="2"/>
    <n v="18"/>
    <x v="11"/>
  </r>
  <r>
    <s v="634-97-8956"/>
    <x v="0"/>
    <s v="Yangon"/>
    <x v="1"/>
    <x v="1"/>
    <x v="4"/>
    <n v="32.9"/>
    <n v="3"/>
    <n v="4.9349999999999996"/>
    <n v="103.63500000000001"/>
    <s v="2/17/2019"/>
    <d v="1899-12-30T17:27:00"/>
    <x v="2"/>
    <n v="98.7"/>
    <n v="4.7619047620000003"/>
    <x v="329"/>
    <n v="9.1"/>
    <d v="2019-02-17T00:00:00"/>
    <n v="2"/>
    <n v="17"/>
    <x v="17"/>
  </r>
  <r>
    <s v="566-71-1091"/>
    <x v="0"/>
    <s v="Yangon"/>
    <x v="1"/>
    <x v="1"/>
    <x v="5"/>
    <n v="77.02"/>
    <n v="5"/>
    <n v="19.254999999999999"/>
    <n v="404.35500000000002"/>
    <d v="2019-03-02T00:00:00"/>
    <d v="1899-12-30T15:59:00"/>
    <x v="1"/>
    <n v="385.1"/>
    <n v="4.7619047620000003"/>
    <x v="330"/>
    <n v="5.5"/>
    <d v="2019-02-03T00:00:00"/>
    <n v="2"/>
    <n v="15"/>
    <x v="2"/>
  </r>
  <r>
    <s v="442-48-3607"/>
    <x v="0"/>
    <s v="Yangon"/>
    <x v="0"/>
    <x v="1"/>
    <x v="4"/>
    <n v="23.48"/>
    <n v="2"/>
    <n v="2.3479999999999999"/>
    <n v="49.308"/>
    <s v="3/14/2019"/>
    <d v="1899-12-30T11:21:00"/>
    <x v="2"/>
    <n v="46.96"/>
    <n v="4.7619047620000003"/>
    <x v="331"/>
    <n v="7.9"/>
    <d v="2019-03-14T00:00:00"/>
    <n v="3"/>
    <n v="11"/>
    <x v="25"/>
  </r>
  <r>
    <s v="835-16-0096"/>
    <x v="1"/>
    <s v="Naypyitaw"/>
    <x v="0"/>
    <x v="1"/>
    <x v="3"/>
    <n v="14.7"/>
    <n v="5"/>
    <n v="3.6749999999999998"/>
    <n v="77.174999999999997"/>
    <s v="3/24/2019"/>
    <d v="1899-12-30T13:48:00"/>
    <x v="0"/>
    <n v="73.5"/>
    <n v="4.7619047620000003"/>
    <x v="332"/>
    <n v="8.5"/>
    <d v="2019-03-24T00:00:00"/>
    <n v="3"/>
    <n v="13"/>
    <x v="5"/>
  </r>
  <r>
    <s v="527-09-6272"/>
    <x v="0"/>
    <s v="Yangon"/>
    <x v="0"/>
    <x v="0"/>
    <x v="1"/>
    <n v="28.45"/>
    <n v="5"/>
    <n v="7.1124999999999998"/>
    <n v="149.36250000000001"/>
    <s v="3/21/2019"/>
    <d v="1899-12-30T10:17:00"/>
    <x v="2"/>
    <n v="142.25"/>
    <n v="4.7619047620000003"/>
    <x v="333"/>
    <n v="9.1"/>
    <d v="2019-03-21T00:00:00"/>
    <n v="3"/>
    <n v="10"/>
    <x v="16"/>
  </r>
  <r>
    <s v="898-04-2717"/>
    <x v="0"/>
    <s v="Yangon"/>
    <x v="1"/>
    <x v="1"/>
    <x v="5"/>
    <n v="76.400000000000006"/>
    <n v="9"/>
    <n v="34.380000000000003"/>
    <n v="721.98"/>
    <s v="3/19/2019"/>
    <d v="1899-12-30T15:49:00"/>
    <x v="0"/>
    <n v="687.6"/>
    <n v="4.7619047620000003"/>
    <x v="334"/>
    <n v="7.5"/>
    <d v="2019-03-19T00:00:00"/>
    <n v="3"/>
    <n v="15"/>
    <x v="24"/>
  </r>
  <r>
    <s v="692-27-8933"/>
    <x v="2"/>
    <s v="Mandalay"/>
    <x v="1"/>
    <x v="0"/>
    <x v="3"/>
    <n v="57.95"/>
    <n v="6"/>
    <n v="17.385000000000002"/>
    <n v="365.08499999999998"/>
    <s v="2/24/2019"/>
    <d v="1899-12-30T13:02:00"/>
    <x v="1"/>
    <n v="347.7"/>
    <n v="4.7619047620000003"/>
    <x v="335"/>
    <n v="5.2"/>
    <d v="2019-02-24T00:00:00"/>
    <n v="2"/>
    <n v="13"/>
    <x v="5"/>
  </r>
  <r>
    <s v="633-09-3463"/>
    <x v="1"/>
    <s v="Naypyitaw"/>
    <x v="1"/>
    <x v="0"/>
    <x v="1"/>
    <n v="47.65"/>
    <n v="3"/>
    <n v="7.1475"/>
    <n v="150.0975"/>
    <s v="3/28/2019"/>
    <d v="1899-12-30T12:58:00"/>
    <x v="2"/>
    <n v="142.94999999999999"/>
    <n v="4.7619047620000003"/>
    <x v="336"/>
    <n v="9.5"/>
    <d v="2019-03-28T00:00:00"/>
    <n v="3"/>
    <n v="12"/>
    <x v="19"/>
  </r>
  <r>
    <s v="374-17-3652"/>
    <x v="2"/>
    <s v="Mandalay"/>
    <x v="0"/>
    <x v="0"/>
    <x v="4"/>
    <n v="42.82"/>
    <n v="9"/>
    <n v="19.268999999999998"/>
    <n v="404.649"/>
    <d v="2019-05-02T00:00:00"/>
    <d v="1899-12-30T15:26:00"/>
    <x v="2"/>
    <n v="385.38"/>
    <n v="4.7619047620000003"/>
    <x v="337"/>
    <n v="8.9"/>
    <d v="2019-02-05T00:00:00"/>
    <n v="2"/>
    <n v="15"/>
    <x v="0"/>
  </r>
  <r>
    <s v="378-07-7001"/>
    <x v="2"/>
    <s v="Mandalay"/>
    <x v="0"/>
    <x v="1"/>
    <x v="1"/>
    <n v="48.09"/>
    <n v="3"/>
    <n v="7.2134999999999998"/>
    <n v="151.48349999999999"/>
    <d v="2019-10-02T00:00:00"/>
    <d v="1899-12-30T18:23:00"/>
    <x v="2"/>
    <n v="144.27000000000001"/>
    <n v="4.7619047620000003"/>
    <x v="338"/>
    <n v="7.8"/>
    <d v="2019-02-10T00:00:00"/>
    <n v="2"/>
    <n v="18"/>
    <x v="6"/>
  </r>
  <r>
    <s v="433-75-6987"/>
    <x v="2"/>
    <s v="Mandalay"/>
    <x v="0"/>
    <x v="0"/>
    <x v="0"/>
    <n v="55.97"/>
    <n v="7"/>
    <n v="19.589500000000001"/>
    <n v="411.37950000000001"/>
    <d v="2019-05-03T00:00:00"/>
    <d v="1899-12-30T19:06:00"/>
    <x v="0"/>
    <n v="391.79"/>
    <n v="4.7619047620000003"/>
    <x v="339"/>
    <n v="8.9"/>
    <d v="2019-03-05T00:00:00"/>
    <n v="3"/>
    <n v="19"/>
    <x v="0"/>
  </r>
  <r>
    <s v="873-95-4984"/>
    <x v="2"/>
    <s v="Mandalay"/>
    <x v="0"/>
    <x v="0"/>
    <x v="0"/>
    <n v="76.900000000000006"/>
    <n v="7"/>
    <n v="26.914999999999999"/>
    <n v="565.21500000000003"/>
    <s v="2/15/2019"/>
    <d v="1899-12-30T20:21:00"/>
    <x v="1"/>
    <n v="538.29999999999995"/>
    <n v="4.7619047620000003"/>
    <x v="340"/>
    <n v="7.7"/>
    <d v="2019-02-15T00:00:00"/>
    <n v="2"/>
    <n v="20"/>
    <x v="13"/>
  </r>
  <r>
    <s v="416-13-5917"/>
    <x v="1"/>
    <s v="Naypyitaw"/>
    <x v="1"/>
    <x v="0"/>
    <x v="4"/>
    <n v="97.03"/>
    <n v="5"/>
    <n v="24.2575"/>
    <n v="509.40750000000003"/>
    <s v="1/30/2019"/>
    <d v="1899-12-30T16:24:00"/>
    <x v="0"/>
    <n v="485.15"/>
    <n v="4.7619047620000003"/>
    <x v="341"/>
    <n v="9.3000000000000007"/>
    <d v="2019-01-30T00:00:00"/>
    <n v="1"/>
    <n v="16"/>
    <x v="29"/>
  </r>
  <r>
    <s v="150-89-8043"/>
    <x v="0"/>
    <s v="Yangon"/>
    <x v="1"/>
    <x v="1"/>
    <x v="3"/>
    <n v="44.65"/>
    <n v="3"/>
    <n v="6.6974999999999998"/>
    <n v="140.64750000000001"/>
    <s v="2/14/2019"/>
    <d v="1899-12-30T15:04:00"/>
    <x v="1"/>
    <n v="133.94999999999999"/>
    <n v="4.7619047620000003"/>
    <x v="342"/>
    <n v="6.2"/>
    <d v="2019-02-14T00:00:00"/>
    <n v="2"/>
    <n v="15"/>
    <x v="25"/>
  </r>
  <r>
    <s v="135-84-8019"/>
    <x v="0"/>
    <s v="Yangon"/>
    <x v="1"/>
    <x v="0"/>
    <x v="5"/>
    <n v="77.930000000000007"/>
    <n v="9"/>
    <n v="35.0685"/>
    <n v="736.43849999999998"/>
    <s v="2/27/2019"/>
    <d v="1899-12-30T16:10:00"/>
    <x v="0"/>
    <n v="701.37"/>
    <n v="4.7619047620000003"/>
    <x v="343"/>
    <n v="7.6"/>
    <d v="2019-02-27T00:00:00"/>
    <n v="2"/>
    <n v="16"/>
    <x v="3"/>
  </r>
  <r>
    <s v="441-94-7118"/>
    <x v="0"/>
    <s v="Yangon"/>
    <x v="0"/>
    <x v="1"/>
    <x v="1"/>
    <n v="71.95"/>
    <n v="1"/>
    <n v="3.5975000000000001"/>
    <n v="75.547499999999999"/>
    <d v="2019-04-02T00:00:00"/>
    <d v="1899-12-30T12:14:00"/>
    <x v="1"/>
    <n v="71.95"/>
    <n v="4.7619047620000003"/>
    <x v="344"/>
    <n v="7.3"/>
    <d v="2019-02-04T00:00:00"/>
    <n v="2"/>
    <n v="12"/>
    <x v="22"/>
  </r>
  <r>
    <s v="725-96-3778"/>
    <x v="1"/>
    <s v="Naypyitaw"/>
    <x v="0"/>
    <x v="0"/>
    <x v="2"/>
    <n v="89.25"/>
    <n v="8"/>
    <n v="35.700000000000003"/>
    <n v="749.7"/>
    <s v="1/20/2019"/>
    <d v="1899-12-30T10:13:00"/>
    <x v="1"/>
    <n v="714"/>
    <n v="4.7619047620000003"/>
    <x v="345"/>
    <n v="4.7"/>
    <d v="2019-01-20T00:00:00"/>
    <n v="1"/>
    <n v="10"/>
    <x v="7"/>
  </r>
  <r>
    <s v="531-80-1784"/>
    <x v="0"/>
    <s v="Yangon"/>
    <x v="1"/>
    <x v="1"/>
    <x v="1"/>
    <n v="26.02"/>
    <n v="7"/>
    <n v="9.1069999999999993"/>
    <n v="191.24700000000001"/>
    <s v="3/28/2019"/>
    <d v="1899-12-30T17:38:00"/>
    <x v="1"/>
    <n v="182.14"/>
    <n v="4.7619047620000003"/>
    <x v="346"/>
    <n v="5.0999999999999996"/>
    <d v="2019-03-28T00:00:00"/>
    <n v="3"/>
    <n v="17"/>
    <x v="19"/>
  </r>
  <r>
    <s v="400-45-1220"/>
    <x v="2"/>
    <s v="Mandalay"/>
    <x v="1"/>
    <x v="0"/>
    <x v="0"/>
    <n v="13.5"/>
    <n v="10"/>
    <n v="6.75"/>
    <n v="141.75"/>
    <s v="2/27/2019"/>
    <d v="1899-12-30T11:06:00"/>
    <x v="2"/>
    <n v="135"/>
    <n v="4.7619047620000003"/>
    <x v="347"/>
    <n v="4.8"/>
    <d v="2019-02-27T00:00:00"/>
    <n v="2"/>
    <n v="11"/>
    <x v="3"/>
  </r>
  <r>
    <s v="860-79-0874"/>
    <x v="1"/>
    <s v="Naypyitaw"/>
    <x v="0"/>
    <x v="0"/>
    <x v="5"/>
    <n v="99.3"/>
    <n v="10"/>
    <n v="49.65"/>
    <n v="1042.6500000000001"/>
    <s v="2/15/2019"/>
    <d v="1899-12-30T14:53:00"/>
    <x v="2"/>
    <n v="993"/>
    <n v="4.7619047620000003"/>
    <x v="348"/>
    <n v="6.6"/>
    <d v="2019-02-15T00:00:00"/>
    <n v="2"/>
    <n v="14"/>
    <x v="13"/>
  </r>
  <r>
    <s v="834-61-8124"/>
    <x v="0"/>
    <s v="Yangon"/>
    <x v="1"/>
    <x v="1"/>
    <x v="1"/>
    <n v="51.69"/>
    <n v="7"/>
    <n v="18.0915"/>
    <n v="379.92149999999998"/>
    <s v="1/26/2019"/>
    <d v="1899-12-30T18:22:00"/>
    <x v="1"/>
    <n v="361.83"/>
    <n v="4.7619047620000003"/>
    <x v="349"/>
    <n v="5.5"/>
    <d v="2019-01-26T00:00:00"/>
    <n v="1"/>
    <n v="18"/>
    <x v="27"/>
  </r>
  <r>
    <s v="115-99-4379"/>
    <x v="2"/>
    <s v="Mandalay"/>
    <x v="0"/>
    <x v="0"/>
    <x v="5"/>
    <n v="54.73"/>
    <n v="7"/>
    <n v="19.1555"/>
    <n v="402.26549999999997"/>
    <s v="3/14/2019"/>
    <d v="1899-12-30T19:02:00"/>
    <x v="2"/>
    <n v="383.11"/>
    <n v="4.7619047620000003"/>
    <x v="350"/>
    <n v="8.5"/>
    <d v="2019-03-14T00:00:00"/>
    <n v="3"/>
    <n v="19"/>
    <x v="25"/>
  </r>
  <r>
    <s v="565-67-6697"/>
    <x v="2"/>
    <s v="Mandalay"/>
    <x v="0"/>
    <x v="1"/>
    <x v="2"/>
    <n v="27"/>
    <n v="9"/>
    <n v="12.15"/>
    <n v="255.15"/>
    <d v="2019-02-03T00:00:00"/>
    <d v="1899-12-30T14:16:00"/>
    <x v="1"/>
    <n v="243"/>
    <n v="4.7619047620000003"/>
    <x v="351"/>
    <n v="4.8"/>
    <d v="2019-03-02T00:00:00"/>
    <n v="3"/>
    <n v="14"/>
    <x v="8"/>
  </r>
  <r>
    <s v="320-49-6392"/>
    <x v="1"/>
    <s v="Naypyitaw"/>
    <x v="1"/>
    <x v="0"/>
    <x v="1"/>
    <n v="30.24"/>
    <n v="1"/>
    <n v="1.512"/>
    <n v="31.751999999999999"/>
    <d v="2019-04-03T00:00:00"/>
    <d v="1899-12-30T15:44:00"/>
    <x v="1"/>
    <n v="30.24"/>
    <n v="4.7619047620000003"/>
    <x v="352"/>
    <n v="8.4"/>
    <d v="2019-03-04T00:00:00"/>
    <n v="3"/>
    <n v="15"/>
    <x v="22"/>
  </r>
  <r>
    <s v="889-04-9723"/>
    <x v="2"/>
    <s v="Mandalay"/>
    <x v="0"/>
    <x v="0"/>
    <x v="4"/>
    <n v="89.14"/>
    <n v="4"/>
    <n v="17.827999999999999"/>
    <n v="374.38799999999998"/>
    <d v="2019-07-01T00:00:00"/>
    <d v="1899-12-30T12:20:00"/>
    <x v="2"/>
    <n v="356.56"/>
    <n v="4.7619047620000003"/>
    <x v="353"/>
    <n v="7.8"/>
    <d v="2019-01-07T00:00:00"/>
    <n v="1"/>
    <n v="12"/>
    <x v="11"/>
  </r>
  <r>
    <s v="632-90-0281"/>
    <x v="1"/>
    <s v="Naypyitaw"/>
    <x v="1"/>
    <x v="0"/>
    <x v="5"/>
    <n v="37.549999999999997"/>
    <n v="10"/>
    <n v="18.774999999999999"/>
    <n v="394.27499999999998"/>
    <d v="2019-08-03T00:00:00"/>
    <d v="1899-12-30T20:01:00"/>
    <x v="2"/>
    <n v="375.5"/>
    <n v="4.7619047620000003"/>
    <x v="354"/>
    <n v="9.3000000000000007"/>
    <d v="2019-03-08T00:00:00"/>
    <n v="3"/>
    <n v="20"/>
    <x v="1"/>
  </r>
  <r>
    <s v="554-42-2417"/>
    <x v="1"/>
    <s v="Naypyitaw"/>
    <x v="1"/>
    <x v="0"/>
    <x v="3"/>
    <n v="95.44"/>
    <n v="10"/>
    <n v="47.72"/>
    <n v="1002.12"/>
    <d v="2019-09-01T00:00:00"/>
    <d v="1899-12-30T13:45:00"/>
    <x v="1"/>
    <n v="954.4"/>
    <n v="4.7619047620000003"/>
    <x v="355"/>
    <n v="5.2"/>
    <d v="2019-01-09T00:00:00"/>
    <n v="1"/>
    <n v="13"/>
    <x v="9"/>
  </r>
  <r>
    <s v="453-63-6187"/>
    <x v="2"/>
    <s v="Mandalay"/>
    <x v="1"/>
    <x v="1"/>
    <x v="1"/>
    <n v="27.5"/>
    <n v="3"/>
    <n v="4.125"/>
    <n v="86.625"/>
    <d v="2019-01-03T00:00:00"/>
    <d v="1899-12-30T15:40:00"/>
    <x v="0"/>
    <n v="82.5"/>
    <n v="4.7619047620000003"/>
    <x v="356"/>
    <n v="6.5"/>
    <d v="2019-03-01T00:00:00"/>
    <n v="3"/>
    <n v="15"/>
    <x v="15"/>
  </r>
  <r>
    <s v="578-80-7669"/>
    <x v="2"/>
    <s v="Mandalay"/>
    <x v="1"/>
    <x v="1"/>
    <x v="3"/>
    <n v="74.97"/>
    <n v="1"/>
    <n v="3.7484999999999999"/>
    <n v="78.718500000000006"/>
    <s v="3/16/2019"/>
    <d v="1899-12-30T16:58:00"/>
    <x v="1"/>
    <n v="74.97"/>
    <n v="4.7619047620000003"/>
    <x v="357"/>
    <n v="5.6"/>
    <d v="2019-03-16T00:00:00"/>
    <n v="3"/>
    <n v="16"/>
    <x v="23"/>
  </r>
  <r>
    <s v="612-36-5536"/>
    <x v="0"/>
    <s v="Yangon"/>
    <x v="0"/>
    <x v="1"/>
    <x v="4"/>
    <n v="80.959999999999994"/>
    <n v="8"/>
    <n v="32.384"/>
    <n v="680.06399999999996"/>
    <s v="2/17/2019"/>
    <d v="1899-12-30T11:12:00"/>
    <x v="2"/>
    <n v="647.67999999999995"/>
    <n v="4.7619047620000003"/>
    <x v="358"/>
    <n v="7.4"/>
    <d v="2019-02-17T00:00:00"/>
    <n v="2"/>
    <n v="11"/>
    <x v="17"/>
  </r>
  <r>
    <s v="605-72-4132"/>
    <x v="1"/>
    <s v="Naypyitaw"/>
    <x v="1"/>
    <x v="0"/>
    <x v="4"/>
    <n v="94.47"/>
    <n v="8"/>
    <n v="37.787999999999997"/>
    <n v="793.548"/>
    <s v="2/27/2019"/>
    <d v="1899-12-30T15:12:00"/>
    <x v="1"/>
    <n v="755.76"/>
    <n v="4.7619047620000003"/>
    <x v="359"/>
    <n v="9.1"/>
    <d v="2019-02-27T00:00:00"/>
    <n v="2"/>
    <n v="15"/>
    <x v="3"/>
  </r>
  <r>
    <s v="471-41-2823"/>
    <x v="1"/>
    <s v="Naypyitaw"/>
    <x v="1"/>
    <x v="1"/>
    <x v="4"/>
    <n v="99.79"/>
    <n v="2"/>
    <n v="9.9789999999999992"/>
    <n v="209.559"/>
    <d v="2019-07-03T00:00:00"/>
    <d v="1899-12-30T20:37:00"/>
    <x v="0"/>
    <n v="199.58"/>
    <n v="4.7619047620000003"/>
    <x v="360"/>
    <n v="8"/>
    <d v="2019-03-07T00:00:00"/>
    <n v="3"/>
    <n v="20"/>
    <x v="11"/>
  </r>
  <r>
    <s v="462-67-9126"/>
    <x v="0"/>
    <s v="Yangon"/>
    <x v="1"/>
    <x v="1"/>
    <x v="2"/>
    <n v="73.22"/>
    <n v="6"/>
    <n v="21.966000000000001"/>
    <n v="461.286"/>
    <s v="1/21/2019"/>
    <d v="1899-12-30T17:44:00"/>
    <x v="1"/>
    <n v="439.32"/>
    <n v="4.7619047620000003"/>
    <x v="361"/>
    <n v="7.2"/>
    <d v="2019-01-21T00:00:00"/>
    <n v="1"/>
    <n v="17"/>
    <x v="16"/>
  </r>
  <r>
    <s v="272-27-9238"/>
    <x v="1"/>
    <s v="Naypyitaw"/>
    <x v="1"/>
    <x v="0"/>
    <x v="4"/>
    <n v="41.24"/>
    <n v="4"/>
    <n v="8.2479999999999993"/>
    <n v="173.208"/>
    <s v="2/19/2019"/>
    <d v="1899-12-30T16:23:00"/>
    <x v="1"/>
    <n v="164.96"/>
    <n v="4.7619047620000003"/>
    <x v="362"/>
    <n v="7.1"/>
    <d v="2019-02-19T00:00:00"/>
    <n v="2"/>
    <n v="16"/>
    <x v="24"/>
  </r>
  <r>
    <s v="834-25-9262"/>
    <x v="1"/>
    <s v="Naypyitaw"/>
    <x v="1"/>
    <x v="0"/>
    <x v="5"/>
    <n v="81.680000000000007"/>
    <n v="4"/>
    <n v="16.335999999999999"/>
    <n v="343.05599999999998"/>
    <d v="2019-06-01T00:00:00"/>
    <d v="1899-12-30T12:12:00"/>
    <x v="1"/>
    <n v="326.72000000000003"/>
    <n v="4.7619047620000003"/>
    <x v="363"/>
    <n v="9.1"/>
    <d v="2019-01-06T00:00:00"/>
    <n v="1"/>
    <n v="12"/>
    <x v="20"/>
  </r>
  <r>
    <s v="122-61-9553"/>
    <x v="1"/>
    <s v="Naypyitaw"/>
    <x v="1"/>
    <x v="0"/>
    <x v="1"/>
    <n v="51.32"/>
    <n v="9"/>
    <n v="23.094000000000001"/>
    <n v="484.97399999999999"/>
    <s v="3/14/2019"/>
    <d v="1899-12-30T19:33:00"/>
    <x v="1"/>
    <n v="461.88"/>
    <n v="4.7619047620000003"/>
    <x v="364"/>
    <n v="5.6"/>
    <d v="2019-03-14T00:00:00"/>
    <n v="3"/>
    <n v="19"/>
    <x v="25"/>
  </r>
  <r>
    <s v="468-88-0009"/>
    <x v="0"/>
    <s v="Yangon"/>
    <x v="0"/>
    <x v="1"/>
    <x v="2"/>
    <n v="65.94"/>
    <n v="4"/>
    <n v="13.188000000000001"/>
    <n v="276.94799999999998"/>
    <s v="3/24/2019"/>
    <d v="1899-12-30T10:29:00"/>
    <x v="1"/>
    <n v="263.76"/>
    <n v="4.7619047620000003"/>
    <x v="257"/>
    <n v="6"/>
    <d v="2019-03-24T00:00:00"/>
    <n v="3"/>
    <n v="10"/>
    <x v="5"/>
  </r>
  <r>
    <s v="613-59-9758"/>
    <x v="1"/>
    <s v="Naypyitaw"/>
    <x v="1"/>
    <x v="0"/>
    <x v="3"/>
    <n v="14.36"/>
    <n v="10"/>
    <n v="7.18"/>
    <n v="150.78"/>
    <s v="1/27/2019"/>
    <d v="1899-12-30T14:28:00"/>
    <x v="1"/>
    <n v="143.6"/>
    <n v="4.7619047620000003"/>
    <x v="365"/>
    <n v="5.4"/>
    <d v="2019-01-27T00:00:00"/>
    <n v="1"/>
    <n v="14"/>
    <x v="3"/>
  </r>
  <r>
    <s v="254-31-0042"/>
    <x v="0"/>
    <s v="Yangon"/>
    <x v="0"/>
    <x v="1"/>
    <x v="1"/>
    <n v="21.5"/>
    <n v="9"/>
    <n v="9.6750000000000007"/>
    <n v="203.17500000000001"/>
    <d v="2019-06-03T00:00:00"/>
    <d v="1899-12-30T12:46:00"/>
    <x v="2"/>
    <n v="193.5"/>
    <n v="4.7619047620000003"/>
    <x v="366"/>
    <n v="7.8"/>
    <d v="2019-03-06T00:00:00"/>
    <n v="3"/>
    <n v="12"/>
    <x v="20"/>
  </r>
  <r>
    <s v="201-86-2184"/>
    <x v="2"/>
    <s v="Mandalay"/>
    <x v="0"/>
    <x v="0"/>
    <x v="1"/>
    <n v="26.26"/>
    <n v="7"/>
    <n v="9.1910000000000007"/>
    <n v="193.011"/>
    <d v="2019-02-02T00:00:00"/>
    <d v="1899-12-30T19:40:00"/>
    <x v="1"/>
    <n v="183.82"/>
    <n v="4.7619047620000003"/>
    <x v="367"/>
    <n v="9.9"/>
    <d v="2019-02-02T00:00:00"/>
    <n v="2"/>
    <n v="19"/>
    <x v="8"/>
  </r>
  <r>
    <s v="261-12-8671"/>
    <x v="2"/>
    <s v="Mandalay"/>
    <x v="1"/>
    <x v="0"/>
    <x v="5"/>
    <n v="60.96"/>
    <n v="2"/>
    <n v="6.0960000000000001"/>
    <n v="128.01599999999999"/>
    <s v="1/25/2019"/>
    <d v="1899-12-30T19:39:00"/>
    <x v="2"/>
    <n v="121.92"/>
    <n v="4.7619047620000003"/>
    <x v="368"/>
    <n v="4.9000000000000004"/>
    <d v="2019-01-25T00:00:00"/>
    <n v="1"/>
    <n v="19"/>
    <x v="4"/>
  </r>
  <r>
    <s v="730-70-9830"/>
    <x v="1"/>
    <s v="Naypyitaw"/>
    <x v="1"/>
    <x v="0"/>
    <x v="2"/>
    <n v="70.11"/>
    <n v="6"/>
    <n v="21.033000000000001"/>
    <n v="441.69299999999998"/>
    <s v="3/14/2019"/>
    <d v="1899-12-30T17:54:00"/>
    <x v="0"/>
    <n v="420.66"/>
    <n v="4.7619047620000003"/>
    <x v="369"/>
    <n v="5.2"/>
    <d v="2019-03-14T00:00:00"/>
    <n v="3"/>
    <n v="17"/>
    <x v="25"/>
  </r>
  <r>
    <s v="382-25-8917"/>
    <x v="1"/>
    <s v="Naypyitaw"/>
    <x v="1"/>
    <x v="1"/>
    <x v="5"/>
    <n v="42.08"/>
    <n v="6"/>
    <n v="12.624000000000001"/>
    <n v="265.10399999999998"/>
    <s v="1/29/2019"/>
    <d v="1899-12-30T12:25:00"/>
    <x v="1"/>
    <n v="252.48"/>
    <n v="4.7619047620000003"/>
    <x v="370"/>
    <n v="8.9"/>
    <d v="2019-01-29T00:00:00"/>
    <n v="1"/>
    <n v="12"/>
    <x v="12"/>
  </r>
  <r>
    <s v="422-29-8786"/>
    <x v="0"/>
    <s v="Yangon"/>
    <x v="1"/>
    <x v="0"/>
    <x v="2"/>
    <n v="67.09"/>
    <n v="5"/>
    <n v="16.772500000000001"/>
    <n v="352.22250000000003"/>
    <d v="2019-03-01T00:00:00"/>
    <d v="1899-12-30T16:47:00"/>
    <x v="2"/>
    <n v="335.45"/>
    <n v="4.7619047620000003"/>
    <x v="371"/>
    <n v="9.1"/>
    <d v="2019-01-03T00:00:00"/>
    <n v="1"/>
    <n v="16"/>
    <x v="2"/>
  </r>
  <r>
    <s v="667-23-5919"/>
    <x v="0"/>
    <s v="Yangon"/>
    <x v="0"/>
    <x v="0"/>
    <x v="5"/>
    <n v="96.7"/>
    <n v="5"/>
    <n v="24.175000000000001"/>
    <n v="507.67500000000001"/>
    <s v="1/14/2019"/>
    <d v="1899-12-30T12:52:00"/>
    <x v="0"/>
    <n v="483.5"/>
    <n v="4.7619047620000003"/>
    <x v="372"/>
    <n v="7"/>
    <d v="2019-01-14T00:00:00"/>
    <n v="1"/>
    <n v="12"/>
    <x v="25"/>
  </r>
  <r>
    <s v="843-01-4703"/>
    <x v="2"/>
    <s v="Mandalay"/>
    <x v="0"/>
    <x v="0"/>
    <x v="2"/>
    <n v="35.380000000000003"/>
    <n v="9"/>
    <n v="15.920999999999999"/>
    <n v="334.34100000000001"/>
    <d v="2019-05-01T00:00:00"/>
    <d v="1899-12-30T19:50:00"/>
    <x v="2"/>
    <n v="318.42"/>
    <n v="4.7619047620000003"/>
    <x v="373"/>
    <n v="9.6"/>
    <d v="2019-01-05T00:00:00"/>
    <n v="1"/>
    <n v="19"/>
    <x v="0"/>
  </r>
  <r>
    <s v="743-88-1662"/>
    <x v="1"/>
    <s v="Naypyitaw"/>
    <x v="1"/>
    <x v="1"/>
    <x v="3"/>
    <n v="95.49"/>
    <n v="7"/>
    <n v="33.421500000000002"/>
    <n v="701.85149999999999"/>
    <s v="2/22/2019"/>
    <d v="1899-12-30T18:17:00"/>
    <x v="0"/>
    <n v="668.43"/>
    <n v="4.7619047620000003"/>
    <x v="374"/>
    <n v="8.6999999999999993"/>
    <d v="2019-02-22T00:00:00"/>
    <n v="2"/>
    <n v="18"/>
    <x v="18"/>
  </r>
  <r>
    <s v="595-86-2894"/>
    <x v="1"/>
    <s v="Naypyitaw"/>
    <x v="0"/>
    <x v="1"/>
    <x v="5"/>
    <n v="96.98"/>
    <n v="4"/>
    <n v="19.396000000000001"/>
    <n v="407.31599999999997"/>
    <d v="2019-06-02T00:00:00"/>
    <d v="1899-12-30T17:20:00"/>
    <x v="0"/>
    <n v="387.92"/>
    <n v="4.7619047620000003"/>
    <x v="375"/>
    <n v="9.4"/>
    <d v="2019-02-06T00:00:00"/>
    <n v="2"/>
    <n v="17"/>
    <x v="20"/>
  </r>
  <r>
    <s v="182-69-8360"/>
    <x v="2"/>
    <s v="Mandalay"/>
    <x v="1"/>
    <x v="0"/>
    <x v="1"/>
    <n v="23.65"/>
    <n v="4"/>
    <n v="4.7300000000000004"/>
    <n v="99.33"/>
    <s v="1/30/2019"/>
    <d v="1899-12-30T13:32:00"/>
    <x v="2"/>
    <n v="94.6"/>
    <n v="4.7619047620000003"/>
    <x v="376"/>
    <n v="4"/>
    <d v="2019-01-30T00:00:00"/>
    <n v="1"/>
    <n v="13"/>
    <x v="29"/>
  </r>
  <r>
    <s v="289-15-7034"/>
    <x v="0"/>
    <s v="Yangon"/>
    <x v="0"/>
    <x v="1"/>
    <x v="3"/>
    <n v="82.33"/>
    <n v="4"/>
    <n v="16.466000000000001"/>
    <n v="345.786"/>
    <d v="2019-11-01T00:00:00"/>
    <d v="1899-12-30T10:37:00"/>
    <x v="2"/>
    <n v="329.32"/>
    <n v="4.7619047620000003"/>
    <x v="377"/>
    <n v="7.5"/>
    <d v="2019-01-11T00:00:00"/>
    <n v="1"/>
    <n v="10"/>
    <x v="14"/>
  </r>
  <r>
    <s v="462-78-5240"/>
    <x v="1"/>
    <s v="Naypyitaw"/>
    <x v="1"/>
    <x v="0"/>
    <x v="1"/>
    <n v="26.61"/>
    <n v="2"/>
    <n v="2.661"/>
    <n v="55.881"/>
    <s v="3/19/2019"/>
    <d v="1899-12-30T14:35:00"/>
    <x v="1"/>
    <n v="53.22"/>
    <n v="4.7619047620000003"/>
    <x v="378"/>
    <n v="4.2"/>
    <d v="2019-03-19T00:00:00"/>
    <n v="3"/>
    <n v="14"/>
    <x v="24"/>
  </r>
  <r>
    <s v="868-52-7573"/>
    <x v="2"/>
    <s v="Mandalay"/>
    <x v="1"/>
    <x v="0"/>
    <x v="4"/>
    <n v="99.69"/>
    <n v="5"/>
    <n v="24.922499999999999"/>
    <n v="523.37249999999995"/>
    <s v="1/14/2019"/>
    <d v="1899-12-30T12:09:00"/>
    <x v="1"/>
    <n v="498.45"/>
    <n v="4.7619047620000003"/>
    <x v="379"/>
    <n v="9.9"/>
    <d v="2019-01-14T00:00:00"/>
    <n v="1"/>
    <n v="12"/>
    <x v="25"/>
  </r>
  <r>
    <s v="153-58-4872"/>
    <x v="1"/>
    <s v="Naypyitaw"/>
    <x v="0"/>
    <x v="0"/>
    <x v="4"/>
    <n v="74.89"/>
    <n v="4"/>
    <n v="14.978"/>
    <n v="314.53800000000001"/>
    <d v="2019-01-03T00:00:00"/>
    <d v="1899-12-30T15:32:00"/>
    <x v="0"/>
    <n v="299.56"/>
    <n v="4.7619047620000003"/>
    <x v="380"/>
    <n v="4.2"/>
    <d v="2019-03-01T00:00:00"/>
    <n v="3"/>
    <n v="15"/>
    <x v="15"/>
  </r>
  <r>
    <s v="662-72-2873"/>
    <x v="0"/>
    <s v="Yangon"/>
    <x v="1"/>
    <x v="0"/>
    <x v="4"/>
    <n v="40.94"/>
    <n v="5"/>
    <n v="10.234999999999999"/>
    <n v="214.935"/>
    <d v="2019-06-01T00:00:00"/>
    <d v="1899-12-30T13:58:00"/>
    <x v="0"/>
    <n v="204.7"/>
    <n v="4.7619047620000003"/>
    <x v="381"/>
    <n v="9.9"/>
    <d v="2019-01-06T00:00:00"/>
    <n v="1"/>
    <n v="13"/>
    <x v="20"/>
  </r>
  <r>
    <s v="525-88-7307"/>
    <x v="2"/>
    <s v="Mandalay"/>
    <x v="0"/>
    <x v="1"/>
    <x v="3"/>
    <n v="75.819999999999993"/>
    <n v="1"/>
    <n v="3.7909999999999999"/>
    <n v="79.611000000000004"/>
    <s v="1/31/2019"/>
    <d v="1899-12-30T13:19:00"/>
    <x v="1"/>
    <n v="75.819999999999993"/>
    <n v="4.7619047620000003"/>
    <x v="382"/>
    <n v="5.8"/>
    <d v="2019-01-31T00:00:00"/>
    <n v="1"/>
    <n v="13"/>
    <x v="30"/>
  </r>
  <r>
    <s v="689-16-9784"/>
    <x v="1"/>
    <s v="Naypyitaw"/>
    <x v="1"/>
    <x v="1"/>
    <x v="4"/>
    <n v="46.77"/>
    <n v="6"/>
    <n v="14.031000000000001"/>
    <n v="294.65100000000001"/>
    <d v="2019-11-03T00:00:00"/>
    <d v="1899-12-30T13:37:00"/>
    <x v="1"/>
    <n v="280.62"/>
    <n v="4.7619047620000003"/>
    <x v="383"/>
    <n v="6"/>
    <d v="2019-03-11T00:00:00"/>
    <n v="3"/>
    <n v="13"/>
    <x v="14"/>
  </r>
  <r>
    <s v="725-56-0833"/>
    <x v="0"/>
    <s v="Yangon"/>
    <x v="1"/>
    <x v="0"/>
    <x v="0"/>
    <n v="32.32"/>
    <n v="10"/>
    <n v="16.16"/>
    <n v="339.36"/>
    <s v="2/20/2019"/>
    <d v="1899-12-30T16:49:00"/>
    <x v="2"/>
    <n v="323.2"/>
    <n v="4.7619047620000003"/>
    <x v="384"/>
    <n v="10"/>
    <d v="2019-02-20T00:00:00"/>
    <n v="2"/>
    <n v="16"/>
    <x v="7"/>
  </r>
  <r>
    <s v="394-41-0748"/>
    <x v="1"/>
    <s v="Naypyitaw"/>
    <x v="0"/>
    <x v="0"/>
    <x v="5"/>
    <n v="54.07"/>
    <n v="9"/>
    <n v="24.331499999999998"/>
    <n v="510.9615"/>
    <s v="1/27/2019"/>
    <d v="1899-12-30T14:55:00"/>
    <x v="0"/>
    <n v="486.63"/>
    <n v="4.7619047620000003"/>
    <x v="385"/>
    <n v="9.5"/>
    <d v="2019-01-27T00:00:00"/>
    <n v="1"/>
    <n v="14"/>
    <x v="3"/>
  </r>
  <r>
    <s v="596-42-3999"/>
    <x v="2"/>
    <s v="Mandalay"/>
    <x v="1"/>
    <x v="1"/>
    <x v="4"/>
    <n v="18.22"/>
    <n v="7"/>
    <n v="6.3769999999999998"/>
    <n v="133.917"/>
    <d v="2019-10-03T00:00:00"/>
    <d v="1899-12-30T14:04:00"/>
    <x v="2"/>
    <n v="127.54"/>
    <n v="4.7619047620000003"/>
    <x v="386"/>
    <n v="6.6"/>
    <d v="2019-03-10T00:00:00"/>
    <n v="3"/>
    <n v="14"/>
    <x v="6"/>
  </r>
  <r>
    <s v="541-89-9860"/>
    <x v="1"/>
    <s v="Naypyitaw"/>
    <x v="0"/>
    <x v="0"/>
    <x v="5"/>
    <n v="80.48"/>
    <n v="3"/>
    <n v="12.071999999999999"/>
    <n v="253.512"/>
    <s v="2/15/2019"/>
    <d v="1899-12-30T12:31:00"/>
    <x v="1"/>
    <n v="241.44"/>
    <n v="4.7619047620000003"/>
    <x v="387"/>
    <n v="8.1"/>
    <d v="2019-02-15T00:00:00"/>
    <n v="2"/>
    <n v="12"/>
    <x v="13"/>
  </r>
  <r>
    <s v="173-82-9529"/>
    <x v="2"/>
    <s v="Mandalay"/>
    <x v="1"/>
    <x v="0"/>
    <x v="5"/>
    <n v="37.950000000000003"/>
    <n v="10"/>
    <n v="18.975000000000001"/>
    <n v="398.47500000000002"/>
    <s v="1/26/2019"/>
    <d v="1899-12-30T14:51:00"/>
    <x v="1"/>
    <n v="379.5"/>
    <n v="4.7619047620000003"/>
    <x v="388"/>
    <n v="9.6999999999999993"/>
    <d v="2019-01-26T00:00:00"/>
    <n v="1"/>
    <n v="14"/>
    <x v="27"/>
  </r>
  <r>
    <s v="563-36-9814"/>
    <x v="0"/>
    <s v="Yangon"/>
    <x v="0"/>
    <x v="1"/>
    <x v="1"/>
    <n v="76.819999999999993"/>
    <n v="1"/>
    <n v="3.8410000000000002"/>
    <n v="80.661000000000001"/>
    <s v="2/13/2019"/>
    <d v="1899-12-30T18:27:00"/>
    <x v="0"/>
    <n v="76.819999999999993"/>
    <n v="4.7619047620000003"/>
    <x v="389"/>
    <n v="7.2"/>
    <d v="2019-02-13T00:00:00"/>
    <n v="2"/>
    <n v="18"/>
    <x v="26"/>
  </r>
  <r>
    <s v="308-47-4913"/>
    <x v="0"/>
    <s v="Yangon"/>
    <x v="0"/>
    <x v="0"/>
    <x v="3"/>
    <n v="52.26"/>
    <n v="10"/>
    <n v="26.13"/>
    <n v="548.73"/>
    <d v="2019-09-03T00:00:00"/>
    <d v="1899-12-30T12:45:00"/>
    <x v="2"/>
    <n v="522.6"/>
    <n v="4.7619047620000003"/>
    <x v="390"/>
    <n v="6.2"/>
    <d v="2019-03-09T00:00:00"/>
    <n v="3"/>
    <n v="12"/>
    <x v="9"/>
  </r>
  <r>
    <s v="885-17-6250"/>
    <x v="0"/>
    <s v="Yangon"/>
    <x v="1"/>
    <x v="0"/>
    <x v="0"/>
    <n v="79.739999999999995"/>
    <n v="1"/>
    <n v="3.9870000000000001"/>
    <n v="83.727000000000004"/>
    <d v="2019-06-03T00:00:00"/>
    <d v="1899-12-30T10:36:00"/>
    <x v="0"/>
    <n v="79.739999999999995"/>
    <n v="4.7619047620000003"/>
    <x v="391"/>
    <n v="7.3"/>
    <d v="2019-03-06T00:00:00"/>
    <n v="3"/>
    <n v="10"/>
    <x v="20"/>
  </r>
  <r>
    <s v="726-27-2396"/>
    <x v="0"/>
    <s v="Yangon"/>
    <x v="1"/>
    <x v="0"/>
    <x v="0"/>
    <n v="77.5"/>
    <n v="5"/>
    <n v="19.375"/>
    <n v="406.875"/>
    <s v="1/24/2019"/>
    <d v="1899-12-30T20:36:00"/>
    <x v="0"/>
    <n v="387.5"/>
    <n v="4.7619047620000003"/>
    <x v="392"/>
    <n v="4.3"/>
    <d v="2019-01-24T00:00:00"/>
    <n v="1"/>
    <n v="20"/>
    <x v="5"/>
  </r>
  <r>
    <s v="316-01-3952"/>
    <x v="0"/>
    <s v="Yangon"/>
    <x v="1"/>
    <x v="0"/>
    <x v="4"/>
    <n v="54.27"/>
    <n v="5"/>
    <n v="13.567500000000001"/>
    <n v="284.91750000000002"/>
    <s v="3/13/2019"/>
    <d v="1899-12-30T14:16:00"/>
    <x v="0"/>
    <n v="271.35000000000002"/>
    <n v="4.7619047620000003"/>
    <x v="393"/>
    <n v="4.5999999999999996"/>
    <d v="2019-03-13T00:00:00"/>
    <n v="3"/>
    <n v="14"/>
    <x v="26"/>
  </r>
  <r>
    <s v="760-54-1821"/>
    <x v="2"/>
    <s v="Mandalay"/>
    <x v="1"/>
    <x v="1"/>
    <x v="2"/>
    <n v="13.59"/>
    <n v="9"/>
    <n v="6.1154999999999999"/>
    <n v="128.4255"/>
    <s v="3/15/2019"/>
    <d v="1899-12-30T10:26:00"/>
    <x v="1"/>
    <n v="122.31"/>
    <n v="4.7619047620000003"/>
    <x v="394"/>
    <n v="5.8"/>
    <d v="2019-03-15T00:00:00"/>
    <n v="3"/>
    <n v="10"/>
    <x v="13"/>
  </r>
  <r>
    <s v="793-10-3222"/>
    <x v="2"/>
    <s v="Mandalay"/>
    <x v="0"/>
    <x v="0"/>
    <x v="0"/>
    <n v="41.06"/>
    <n v="6"/>
    <n v="12.318"/>
    <n v="258.678"/>
    <d v="2019-05-03T00:00:00"/>
    <d v="1899-12-30T13:30:00"/>
    <x v="2"/>
    <n v="246.36"/>
    <n v="4.7619047620000003"/>
    <x v="395"/>
    <n v="8.3000000000000007"/>
    <d v="2019-03-05T00:00:00"/>
    <n v="3"/>
    <n v="13"/>
    <x v="0"/>
  </r>
  <r>
    <s v="346-12-3257"/>
    <x v="2"/>
    <s v="Mandalay"/>
    <x v="0"/>
    <x v="1"/>
    <x v="1"/>
    <n v="19.239999999999998"/>
    <n v="9"/>
    <n v="8.6579999999999995"/>
    <n v="181.81800000000001"/>
    <d v="2019-04-03T00:00:00"/>
    <d v="1899-12-30T16:28:00"/>
    <x v="1"/>
    <n v="173.16"/>
    <n v="4.7619047620000003"/>
    <x v="396"/>
    <n v="8"/>
    <d v="2019-03-04T00:00:00"/>
    <n v="3"/>
    <n v="16"/>
    <x v="22"/>
  </r>
  <r>
    <s v="110-05-6330"/>
    <x v="1"/>
    <s v="Naypyitaw"/>
    <x v="1"/>
    <x v="0"/>
    <x v="4"/>
    <n v="39.43"/>
    <n v="6"/>
    <n v="11.829000000000001"/>
    <n v="248.40899999999999"/>
    <s v="3/25/2019"/>
    <d v="1899-12-30T20:18:00"/>
    <x v="2"/>
    <n v="236.58"/>
    <n v="4.7619047620000003"/>
    <x v="397"/>
    <n v="9.4"/>
    <d v="2019-03-25T00:00:00"/>
    <n v="3"/>
    <n v="20"/>
    <x v="4"/>
  </r>
  <r>
    <s v="651-61-0874"/>
    <x v="1"/>
    <s v="Naypyitaw"/>
    <x v="1"/>
    <x v="1"/>
    <x v="2"/>
    <n v="46.22"/>
    <n v="4"/>
    <n v="9.2439999999999998"/>
    <n v="194.124"/>
    <d v="2019-12-03T00:00:00"/>
    <d v="1899-12-30T20:04:00"/>
    <x v="2"/>
    <n v="184.88"/>
    <n v="4.7619047620000003"/>
    <x v="398"/>
    <n v="6.2"/>
    <d v="2019-03-12T00:00:00"/>
    <n v="3"/>
    <n v="20"/>
    <x v="10"/>
  </r>
  <r>
    <s v="236-86-3015"/>
    <x v="1"/>
    <s v="Naypyitaw"/>
    <x v="0"/>
    <x v="1"/>
    <x v="2"/>
    <n v="13.98"/>
    <n v="1"/>
    <n v="0.69899999999999995"/>
    <n v="14.679"/>
    <d v="2019-04-02T00:00:00"/>
    <d v="1899-12-30T13:38:00"/>
    <x v="0"/>
    <n v="13.98"/>
    <n v="4.7619047620000003"/>
    <x v="399"/>
    <n v="9.8000000000000007"/>
    <d v="2019-02-04T00:00:00"/>
    <n v="2"/>
    <n v="13"/>
    <x v="22"/>
  </r>
  <r>
    <s v="831-64-0259"/>
    <x v="2"/>
    <s v="Mandalay"/>
    <x v="1"/>
    <x v="0"/>
    <x v="5"/>
    <n v="39.75"/>
    <n v="5"/>
    <n v="9.9375"/>
    <n v="208.6875"/>
    <s v="2/22/2019"/>
    <d v="1899-12-30T10:43:00"/>
    <x v="0"/>
    <n v="198.75"/>
    <n v="4.7619047620000003"/>
    <x v="400"/>
    <n v="9.6"/>
    <d v="2019-02-22T00:00:00"/>
    <n v="2"/>
    <n v="10"/>
    <x v="18"/>
  </r>
  <r>
    <s v="587-03-7455"/>
    <x v="1"/>
    <s v="Naypyitaw"/>
    <x v="0"/>
    <x v="0"/>
    <x v="5"/>
    <n v="97.79"/>
    <n v="7"/>
    <n v="34.226500000000001"/>
    <n v="718.75649999999996"/>
    <s v="2/16/2019"/>
    <d v="1899-12-30T17:30:00"/>
    <x v="0"/>
    <n v="684.53"/>
    <n v="4.7619047620000003"/>
    <x v="401"/>
    <n v="4.9000000000000004"/>
    <d v="2019-02-16T00:00:00"/>
    <n v="2"/>
    <n v="17"/>
    <x v="23"/>
  </r>
  <r>
    <s v="882-40-4577"/>
    <x v="0"/>
    <s v="Yangon"/>
    <x v="0"/>
    <x v="1"/>
    <x v="3"/>
    <n v="67.260000000000005"/>
    <n v="4"/>
    <n v="13.452"/>
    <n v="282.49200000000002"/>
    <s v="1/19/2019"/>
    <d v="1899-12-30T15:28:00"/>
    <x v="2"/>
    <n v="269.04000000000002"/>
    <n v="4.7619047620000003"/>
    <x v="402"/>
    <n v="8"/>
    <d v="2019-01-19T00:00:00"/>
    <n v="1"/>
    <n v="15"/>
    <x v="24"/>
  </r>
  <r>
    <s v="732-67-5346"/>
    <x v="0"/>
    <s v="Yangon"/>
    <x v="1"/>
    <x v="1"/>
    <x v="4"/>
    <n v="13.79"/>
    <n v="5"/>
    <n v="3.4474999999999998"/>
    <n v="72.397499999999994"/>
    <d v="2019-11-01T00:00:00"/>
    <d v="1899-12-30T19:07:00"/>
    <x v="2"/>
    <n v="68.95"/>
    <n v="4.7619047620000003"/>
    <x v="403"/>
    <n v="7.8"/>
    <d v="2019-01-11T00:00:00"/>
    <n v="1"/>
    <n v="19"/>
    <x v="14"/>
  </r>
  <r>
    <s v="725-32-9708"/>
    <x v="2"/>
    <s v="Mandalay"/>
    <x v="0"/>
    <x v="0"/>
    <x v="5"/>
    <n v="68.709999999999994"/>
    <n v="4"/>
    <n v="13.742000000000001"/>
    <n v="288.58199999999999"/>
    <d v="2019-04-01T00:00:00"/>
    <d v="1899-12-30T19:01:00"/>
    <x v="1"/>
    <n v="274.83999999999997"/>
    <n v="4.7619047620000003"/>
    <x v="404"/>
    <n v="4.0999999999999996"/>
    <d v="2019-01-04T00:00:00"/>
    <n v="1"/>
    <n v="19"/>
    <x v="22"/>
  </r>
  <r>
    <s v="256-08-8343"/>
    <x v="0"/>
    <s v="Yangon"/>
    <x v="1"/>
    <x v="0"/>
    <x v="2"/>
    <n v="56.53"/>
    <n v="4"/>
    <n v="11.305999999999999"/>
    <n v="237.42599999999999"/>
    <d v="2019-04-03T00:00:00"/>
    <d v="1899-12-30T19:48:00"/>
    <x v="0"/>
    <n v="226.12"/>
    <n v="4.7619047620000003"/>
    <x v="405"/>
    <n v="5.5"/>
    <d v="2019-03-04T00:00:00"/>
    <n v="3"/>
    <n v="19"/>
    <x v="22"/>
  </r>
  <r>
    <s v="372-26-1506"/>
    <x v="1"/>
    <s v="Naypyitaw"/>
    <x v="1"/>
    <x v="0"/>
    <x v="5"/>
    <n v="23.82"/>
    <n v="5"/>
    <n v="5.9550000000000001"/>
    <n v="125.05500000000001"/>
    <s v="1/28/2019"/>
    <d v="1899-12-30T19:24:00"/>
    <x v="0"/>
    <n v="119.1"/>
    <n v="4.7619047620000003"/>
    <x v="406"/>
    <n v="5.4"/>
    <d v="2019-01-28T00:00:00"/>
    <n v="1"/>
    <n v="19"/>
    <x v="19"/>
  </r>
  <r>
    <s v="244-08-0162"/>
    <x v="2"/>
    <s v="Mandalay"/>
    <x v="1"/>
    <x v="0"/>
    <x v="0"/>
    <n v="34.21"/>
    <n v="10"/>
    <n v="17.105"/>
    <n v="359.20499999999998"/>
    <d v="2019-02-01T00:00:00"/>
    <d v="1899-12-30T13:00:00"/>
    <x v="1"/>
    <n v="342.1"/>
    <n v="4.7619047620000003"/>
    <x v="407"/>
    <n v="5.0999999999999996"/>
    <d v="2019-01-02T00:00:00"/>
    <n v="1"/>
    <n v="13"/>
    <x v="8"/>
  </r>
  <r>
    <s v="569-71-4390"/>
    <x v="2"/>
    <s v="Mandalay"/>
    <x v="1"/>
    <x v="1"/>
    <x v="3"/>
    <n v="21.87"/>
    <n v="2"/>
    <n v="2.1869999999999998"/>
    <n v="45.927"/>
    <s v="1/25/2019"/>
    <d v="1899-12-30T14:29:00"/>
    <x v="0"/>
    <n v="43.74"/>
    <n v="4.7619047620000003"/>
    <x v="408"/>
    <n v="6.9"/>
    <d v="2019-01-25T00:00:00"/>
    <n v="1"/>
    <n v="14"/>
    <x v="4"/>
  </r>
  <r>
    <s v="132-23-6451"/>
    <x v="0"/>
    <s v="Yangon"/>
    <x v="0"/>
    <x v="1"/>
    <x v="0"/>
    <n v="20.97"/>
    <n v="5"/>
    <n v="5.2424999999999997"/>
    <n v="110.0925"/>
    <d v="2019-04-01T00:00:00"/>
    <d v="1899-12-30T13:21:00"/>
    <x v="1"/>
    <n v="104.85"/>
    <n v="4.7619047620000003"/>
    <x v="409"/>
    <n v="7.8"/>
    <d v="2019-01-04T00:00:00"/>
    <n v="1"/>
    <n v="13"/>
    <x v="22"/>
  </r>
  <r>
    <s v="696-90-2548"/>
    <x v="0"/>
    <s v="Yangon"/>
    <x v="1"/>
    <x v="1"/>
    <x v="3"/>
    <n v="25.84"/>
    <n v="3"/>
    <n v="3.8759999999999999"/>
    <n v="81.396000000000001"/>
    <d v="2019-10-03T00:00:00"/>
    <d v="1899-12-30T18:55:00"/>
    <x v="0"/>
    <n v="77.52"/>
    <n v="4.7619047620000003"/>
    <x v="410"/>
    <n v="6.6"/>
    <d v="2019-03-10T00:00:00"/>
    <n v="3"/>
    <n v="18"/>
    <x v="6"/>
  </r>
  <r>
    <s v="472-15-9636"/>
    <x v="0"/>
    <s v="Yangon"/>
    <x v="1"/>
    <x v="1"/>
    <x v="2"/>
    <n v="50.93"/>
    <n v="8"/>
    <n v="20.372"/>
    <n v="427.81200000000001"/>
    <s v="3/22/2019"/>
    <d v="1899-12-30T19:36:00"/>
    <x v="0"/>
    <n v="407.44"/>
    <n v="4.7619047620000003"/>
    <x v="411"/>
    <n v="9.1999999999999993"/>
    <d v="2019-03-22T00:00:00"/>
    <n v="3"/>
    <n v="19"/>
    <x v="18"/>
  </r>
  <r>
    <s v="268-03-6164"/>
    <x v="2"/>
    <s v="Mandalay"/>
    <x v="1"/>
    <x v="1"/>
    <x v="0"/>
    <n v="96.11"/>
    <n v="1"/>
    <n v="4.8055000000000003"/>
    <n v="100.91549999999999"/>
    <s v="1/25/2019"/>
    <d v="1899-12-30T16:28:00"/>
    <x v="0"/>
    <n v="96.11"/>
    <n v="4.7619047620000003"/>
    <x v="412"/>
    <n v="7.8"/>
    <d v="2019-01-25T00:00:00"/>
    <n v="1"/>
    <n v="16"/>
    <x v="4"/>
  </r>
  <r>
    <s v="750-57-9686"/>
    <x v="1"/>
    <s v="Naypyitaw"/>
    <x v="1"/>
    <x v="0"/>
    <x v="2"/>
    <n v="45.38"/>
    <n v="4"/>
    <n v="9.0760000000000005"/>
    <n v="190.596"/>
    <d v="2019-08-01T00:00:00"/>
    <d v="1899-12-30T13:48:00"/>
    <x v="2"/>
    <n v="181.52"/>
    <n v="4.7619047620000003"/>
    <x v="413"/>
    <n v="8.6999999999999993"/>
    <d v="2019-01-08T00:00:00"/>
    <n v="1"/>
    <n v="13"/>
    <x v="1"/>
  </r>
  <r>
    <s v="186-09-3669"/>
    <x v="1"/>
    <s v="Naypyitaw"/>
    <x v="0"/>
    <x v="0"/>
    <x v="0"/>
    <n v="81.510000000000005"/>
    <n v="1"/>
    <n v="4.0754999999999999"/>
    <n v="85.585499999999996"/>
    <s v="1/22/2019"/>
    <d v="1899-12-30T10:57:00"/>
    <x v="0"/>
    <n v="81.510000000000005"/>
    <n v="4.7619047620000003"/>
    <x v="414"/>
    <n v="9.1999999999999993"/>
    <d v="2019-01-22T00:00:00"/>
    <n v="1"/>
    <n v="10"/>
    <x v="18"/>
  </r>
  <r>
    <s v="848-07-1692"/>
    <x v="2"/>
    <s v="Mandalay"/>
    <x v="1"/>
    <x v="0"/>
    <x v="0"/>
    <n v="57.22"/>
    <n v="2"/>
    <n v="5.7220000000000004"/>
    <n v="120.16200000000001"/>
    <d v="2019-12-01T00:00:00"/>
    <d v="1899-12-30T17:13:00"/>
    <x v="0"/>
    <n v="114.44"/>
    <n v="4.7619047620000003"/>
    <x v="415"/>
    <n v="8.3000000000000007"/>
    <d v="2019-01-12T00:00:00"/>
    <n v="1"/>
    <n v="17"/>
    <x v="10"/>
  </r>
  <r>
    <s v="745-71-3520"/>
    <x v="0"/>
    <s v="Yangon"/>
    <x v="0"/>
    <x v="0"/>
    <x v="1"/>
    <n v="25.22"/>
    <n v="7"/>
    <n v="8.827"/>
    <n v="185.36699999999999"/>
    <d v="2019-04-02T00:00:00"/>
    <d v="1899-12-30T10:23:00"/>
    <x v="1"/>
    <n v="176.54"/>
    <n v="4.7619047620000003"/>
    <x v="416"/>
    <n v="8.1999999999999993"/>
    <d v="2019-02-04T00:00:00"/>
    <n v="2"/>
    <n v="10"/>
    <x v="22"/>
  </r>
  <r>
    <s v="266-76-6436"/>
    <x v="1"/>
    <s v="Naypyitaw"/>
    <x v="0"/>
    <x v="0"/>
    <x v="4"/>
    <n v="38.6"/>
    <n v="3"/>
    <n v="5.79"/>
    <n v="121.59"/>
    <s v="3/28/2019"/>
    <d v="1899-12-30T13:57:00"/>
    <x v="0"/>
    <n v="115.8"/>
    <n v="4.7619047620000003"/>
    <x v="417"/>
    <n v="7.5"/>
    <d v="2019-03-28T00:00:00"/>
    <n v="3"/>
    <n v="13"/>
    <x v="19"/>
  </r>
  <r>
    <s v="740-22-2500"/>
    <x v="1"/>
    <s v="Naypyitaw"/>
    <x v="1"/>
    <x v="0"/>
    <x v="1"/>
    <n v="84.05"/>
    <n v="3"/>
    <n v="12.6075"/>
    <n v="264.75749999999999"/>
    <s v="1/23/2019"/>
    <d v="1899-12-30T13:29:00"/>
    <x v="1"/>
    <n v="252.15"/>
    <n v="4.7619047620000003"/>
    <x v="418"/>
    <n v="9.8000000000000007"/>
    <d v="2019-01-23T00:00:00"/>
    <n v="1"/>
    <n v="13"/>
    <x v="21"/>
  </r>
  <r>
    <s v="271-88-8734"/>
    <x v="1"/>
    <s v="Naypyitaw"/>
    <x v="0"/>
    <x v="0"/>
    <x v="5"/>
    <n v="97.21"/>
    <n v="10"/>
    <n v="48.604999999999997"/>
    <n v="1020.705"/>
    <d v="2019-08-02T00:00:00"/>
    <d v="1899-12-30T13:00:00"/>
    <x v="2"/>
    <n v="972.1"/>
    <n v="4.7619047620000003"/>
    <x v="419"/>
    <n v="8.6999999999999993"/>
    <d v="2019-02-08T00:00:00"/>
    <n v="2"/>
    <n v="13"/>
    <x v="1"/>
  </r>
  <r>
    <s v="301-81-8610"/>
    <x v="2"/>
    <s v="Mandalay"/>
    <x v="0"/>
    <x v="1"/>
    <x v="5"/>
    <n v="25.42"/>
    <n v="8"/>
    <n v="10.167999999999999"/>
    <n v="213.52799999999999"/>
    <s v="3/19/2019"/>
    <d v="1899-12-30T19:42:00"/>
    <x v="2"/>
    <n v="203.36"/>
    <n v="4.7619047620000003"/>
    <x v="420"/>
    <n v="6.7"/>
    <d v="2019-03-19T00:00:00"/>
    <n v="3"/>
    <n v="19"/>
    <x v="24"/>
  </r>
  <r>
    <s v="489-64-4354"/>
    <x v="1"/>
    <s v="Naypyitaw"/>
    <x v="1"/>
    <x v="1"/>
    <x v="5"/>
    <n v="16.28"/>
    <n v="1"/>
    <n v="0.81399999999999995"/>
    <n v="17.094000000000001"/>
    <d v="2019-09-03T00:00:00"/>
    <d v="1899-12-30T15:36:00"/>
    <x v="1"/>
    <n v="16.28"/>
    <n v="4.7619047620000003"/>
    <x v="421"/>
    <n v="5"/>
    <d v="2019-03-09T00:00:00"/>
    <n v="3"/>
    <n v="15"/>
    <x v="9"/>
  </r>
  <r>
    <s v="198-84-7132"/>
    <x v="2"/>
    <s v="Mandalay"/>
    <x v="0"/>
    <x v="1"/>
    <x v="5"/>
    <n v="40.61"/>
    <n v="9"/>
    <n v="18.2745"/>
    <n v="383.7645"/>
    <d v="2019-02-01T00:00:00"/>
    <d v="1899-12-30T13:40:00"/>
    <x v="1"/>
    <n v="365.49"/>
    <n v="4.7619047620000003"/>
    <x v="422"/>
    <n v="7"/>
    <d v="2019-01-02T00:00:00"/>
    <n v="1"/>
    <n v="13"/>
    <x v="8"/>
  </r>
  <r>
    <s v="269-10-8440"/>
    <x v="0"/>
    <s v="Yangon"/>
    <x v="0"/>
    <x v="1"/>
    <x v="0"/>
    <n v="53.17"/>
    <n v="7"/>
    <n v="18.609500000000001"/>
    <n v="390.79950000000002"/>
    <s v="1/21/2019"/>
    <d v="1899-12-30T18:01:00"/>
    <x v="1"/>
    <n v="372.19"/>
    <n v="4.7619047620000003"/>
    <x v="423"/>
    <n v="8.9"/>
    <d v="2019-01-21T00:00:00"/>
    <n v="1"/>
    <n v="18"/>
    <x v="16"/>
  </r>
  <r>
    <s v="650-98-6268"/>
    <x v="2"/>
    <s v="Mandalay"/>
    <x v="0"/>
    <x v="0"/>
    <x v="4"/>
    <n v="20.87"/>
    <n v="3"/>
    <n v="3.1305000000000001"/>
    <n v="65.740499999999997"/>
    <s v="3/20/2019"/>
    <d v="1899-12-30T13:53:00"/>
    <x v="2"/>
    <n v="62.61"/>
    <n v="4.7619047620000003"/>
    <x v="424"/>
    <n v="8"/>
    <d v="2019-03-20T00:00:00"/>
    <n v="3"/>
    <n v="13"/>
    <x v="7"/>
  </r>
  <r>
    <s v="741-73-3559"/>
    <x v="2"/>
    <s v="Mandalay"/>
    <x v="1"/>
    <x v="1"/>
    <x v="3"/>
    <n v="67.27"/>
    <n v="5"/>
    <n v="16.817499999999999"/>
    <n v="353.16750000000002"/>
    <s v="2/27/2019"/>
    <d v="1899-12-30T17:27:00"/>
    <x v="1"/>
    <n v="336.35"/>
    <n v="4.7619047620000003"/>
    <x v="425"/>
    <n v="6.9"/>
    <d v="2019-02-27T00:00:00"/>
    <n v="2"/>
    <n v="17"/>
    <x v="3"/>
  </r>
  <r>
    <s v="325-77-6186"/>
    <x v="0"/>
    <s v="Yangon"/>
    <x v="0"/>
    <x v="0"/>
    <x v="2"/>
    <n v="90.65"/>
    <n v="10"/>
    <n v="45.325000000000003"/>
    <n v="951.82500000000005"/>
    <d v="2019-08-03T00:00:00"/>
    <d v="1899-12-30T10:53:00"/>
    <x v="0"/>
    <n v="906.5"/>
    <n v="4.7619047620000003"/>
    <x v="426"/>
    <n v="7.3"/>
    <d v="2019-03-08T00:00:00"/>
    <n v="3"/>
    <n v="10"/>
    <x v="1"/>
  </r>
  <r>
    <s v="286-75-7818"/>
    <x v="2"/>
    <s v="Mandalay"/>
    <x v="1"/>
    <x v="1"/>
    <x v="5"/>
    <n v="69.08"/>
    <n v="2"/>
    <n v="6.9080000000000004"/>
    <n v="145.06800000000001"/>
    <s v="1/31/2019"/>
    <d v="1899-12-30T19:48:00"/>
    <x v="2"/>
    <n v="138.16"/>
    <n v="4.7619047620000003"/>
    <x v="427"/>
    <n v="6.9"/>
    <d v="2019-01-31T00:00:00"/>
    <n v="1"/>
    <n v="19"/>
    <x v="30"/>
  </r>
  <r>
    <s v="574-57-9721"/>
    <x v="1"/>
    <s v="Naypyitaw"/>
    <x v="1"/>
    <x v="1"/>
    <x v="4"/>
    <n v="43.27"/>
    <n v="2"/>
    <n v="4.327"/>
    <n v="90.867000000000004"/>
    <d v="2019-08-03T00:00:00"/>
    <d v="1899-12-30T16:53:00"/>
    <x v="0"/>
    <n v="86.54"/>
    <n v="4.7619047620000003"/>
    <x v="428"/>
    <n v="5.7"/>
    <d v="2019-03-08T00:00:00"/>
    <n v="3"/>
    <n v="16"/>
    <x v="1"/>
  </r>
  <r>
    <s v="459-50-7686"/>
    <x v="0"/>
    <s v="Yangon"/>
    <x v="1"/>
    <x v="0"/>
    <x v="1"/>
    <n v="23.46"/>
    <n v="6"/>
    <n v="7.0380000000000003"/>
    <n v="147.798"/>
    <s v="1/13/2019"/>
    <d v="1899-12-30T19:14:00"/>
    <x v="0"/>
    <n v="140.76"/>
    <n v="4.7619047620000003"/>
    <x v="429"/>
    <n v="6.4"/>
    <d v="2019-01-13T00:00:00"/>
    <n v="1"/>
    <n v="19"/>
    <x v="26"/>
  </r>
  <r>
    <s v="616-87-0016"/>
    <x v="2"/>
    <s v="Mandalay"/>
    <x v="1"/>
    <x v="1"/>
    <x v="5"/>
    <n v="95.54"/>
    <n v="7"/>
    <n v="33.439"/>
    <n v="702.21900000000005"/>
    <d v="2019-09-03T00:00:00"/>
    <d v="1899-12-30T14:36:00"/>
    <x v="2"/>
    <n v="668.78"/>
    <n v="4.7619047620000003"/>
    <x v="430"/>
    <n v="9.6"/>
    <d v="2019-03-09T00:00:00"/>
    <n v="3"/>
    <n v="14"/>
    <x v="9"/>
  </r>
  <r>
    <s v="837-55-7229"/>
    <x v="2"/>
    <s v="Mandalay"/>
    <x v="1"/>
    <x v="0"/>
    <x v="5"/>
    <n v="47.44"/>
    <n v="1"/>
    <n v="2.3719999999999999"/>
    <n v="49.811999999999998"/>
    <s v="2/22/2019"/>
    <d v="1899-12-30T18:19:00"/>
    <x v="2"/>
    <n v="47.44"/>
    <n v="4.7619047620000003"/>
    <x v="431"/>
    <n v="6.8"/>
    <d v="2019-02-22T00:00:00"/>
    <n v="2"/>
    <n v="18"/>
    <x v="18"/>
  </r>
  <r>
    <s v="751-69-0068"/>
    <x v="1"/>
    <s v="Naypyitaw"/>
    <x v="1"/>
    <x v="1"/>
    <x v="3"/>
    <n v="99.24"/>
    <n v="9"/>
    <n v="44.658000000000001"/>
    <n v="937.81799999999998"/>
    <s v="3/19/2019"/>
    <d v="1899-12-30T19:09:00"/>
    <x v="0"/>
    <n v="893.16"/>
    <n v="4.7619047620000003"/>
    <x v="432"/>
    <n v="9"/>
    <d v="2019-03-19T00:00:00"/>
    <n v="3"/>
    <n v="19"/>
    <x v="24"/>
  </r>
  <r>
    <s v="257-73-1380"/>
    <x v="1"/>
    <s v="Naypyitaw"/>
    <x v="0"/>
    <x v="1"/>
    <x v="3"/>
    <n v="82.93"/>
    <n v="4"/>
    <n v="16.585999999999999"/>
    <n v="348.30599999999998"/>
    <s v="1/20/2019"/>
    <d v="1899-12-30T16:51:00"/>
    <x v="0"/>
    <n v="331.72"/>
    <n v="4.7619047620000003"/>
    <x v="433"/>
    <n v="9.6"/>
    <d v="2019-01-20T00:00:00"/>
    <n v="1"/>
    <n v="16"/>
    <x v="7"/>
  </r>
  <r>
    <s v="345-08-4992"/>
    <x v="0"/>
    <s v="Yangon"/>
    <x v="1"/>
    <x v="1"/>
    <x v="2"/>
    <n v="33.99"/>
    <n v="6"/>
    <n v="10.196999999999999"/>
    <n v="214.137"/>
    <d v="2019-08-03T00:00:00"/>
    <d v="1899-12-30T15:37:00"/>
    <x v="2"/>
    <n v="203.94"/>
    <n v="4.7619047620000003"/>
    <x v="434"/>
    <n v="7.7"/>
    <d v="2019-03-08T00:00:00"/>
    <n v="3"/>
    <n v="15"/>
    <x v="1"/>
  </r>
  <r>
    <s v="549-96-4200"/>
    <x v="1"/>
    <s v="Naypyitaw"/>
    <x v="0"/>
    <x v="1"/>
    <x v="4"/>
    <n v="17.04"/>
    <n v="4"/>
    <n v="3.4079999999999999"/>
    <n v="71.567999999999998"/>
    <d v="2019-08-03T00:00:00"/>
    <d v="1899-12-30T20:15:00"/>
    <x v="0"/>
    <n v="68.16"/>
    <n v="4.7619047620000003"/>
    <x v="435"/>
    <n v="7"/>
    <d v="2019-03-08T00:00:00"/>
    <n v="3"/>
    <n v="20"/>
    <x v="1"/>
  </r>
  <r>
    <s v="810-60-6344"/>
    <x v="1"/>
    <s v="Naypyitaw"/>
    <x v="1"/>
    <x v="0"/>
    <x v="1"/>
    <n v="40.86"/>
    <n v="8"/>
    <n v="16.344000000000001"/>
    <n v="343.22399999999999"/>
    <d v="2019-07-02T00:00:00"/>
    <d v="1899-12-30T14:38:00"/>
    <x v="2"/>
    <n v="326.88"/>
    <n v="4.7619047620000003"/>
    <x v="436"/>
    <n v="6.5"/>
    <d v="2019-02-07T00:00:00"/>
    <n v="2"/>
    <n v="14"/>
    <x v="11"/>
  </r>
  <r>
    <s v="450-28-2866"/>
    <x v="1"/>
    <s v="Naypyitaw"/>
    <x v="0"/>
    <x v="1"/>
    <x v="4"/>
    <n v="17.440000000000001"/>
    <n v="5"/>
    <n v="4.3600000000000003"/>
    <n v="91.56"/>
    <s v="1/15/2019"/>
    <d v="1899-12-30T19:25:00"/>
    <x v="1"/>
    <n v="87.2"/>
    <n v="4.7619047620000003"/>
    <x v="437"/>
    <n v="8.1"/>
    <d v="2019-01-15T00:00:00"/>
    <n v="1"/>
    <n v="19"/>
    <x v="13"/>
  </r>
  <r>
    <s v="394-30-3170"/>
    <x v="2"/>
    <s v="Mandalay"/>
    <x v="0"/>
    <x v="0"/>
    <x v="3"/>
    <n v="88.43"/>
    <n v="8"/>
    <n v="35.372"/>
    <n v="742.81200000000001"/>
    <s v="3/22/2019"/>
    <d v="1899-12-30T19:35:00"/>
    <x v="2"/>
    <n v="707.44"/>
    <n v="4.7619047620000003"/>
    <x v="438"/>
    <n v="4.3"/>
    <d v="2019-03-22T00:00:00"/>
    <n v="3"/>
    <n v="19"/>
    <x v="18"/>
  </r>
  <r>
    <s v="138-17-5109"/>
    <x v="0"/>
    <s v="Yangon"/>
    <x v="0"/>
    <x v="0"/>
    <x v="2"/>
    <n v="89.21"/>
    <n v="9"/>
    <n v="40.144500000000001"/>
    <n v="843.03449999999998"/>
    <s v="1/15/2019"/>
    <d v="1899-12-30T15:42:00"/>
    <x v="2"/>
    <n v="802.89"/>
    <n v="4.7619047620000003"/>
    <x v="439"/>
    <n v="6.5"/>
    <d v="2019-01-15T00:00:00"/>
    <n v="1"/>
    <n v="15"/>
    <x v="13"/>
  </r>
  <r>
    <s v="192-98-7397"/>
    <x v="1"/>
    <s v="Naypyitaw"/>
    <x v="1"/>
    <x v="1"/>
    <x v="5"/>
    <n v="12.78"/>
    <n v="1"/>
    <n v="0.63900000000000001"/>
    <n v="13.419"/>
    <d v="2019-08-01T00:00:00"/>
    <d v="1899-12-30T14:11:00"/>
    <x v="0"/>
    <n v="12.78"/>
    <n v="4.7619047620000003"/>
    <x v="440"/>
    <n v="9.5"/>
    <d v="2019-01-08T00:00:00"/>
    <n v="1"/>
    <n v="14"/>
    <x v="1"/>
  </r>
  <r>
    <s v="301-11-9629"/>
    <x v="0"/>
    <s v="Yangon"/>
    <x v="1"/>
    <x v="0"/>
    <x v="3"/>
    <n v="19.100000000000001"/>
    <n v="7"/>
    <n v="6.6849999999999996"/>
    <n v="140.38499999999999"/>
    <s v="1/15/2019"/>
    <d v="1899-12-30T10:43:00"/>
    <x v="1"/>
    <n v="133.69999999999999"/>
    <n v="4.7619047620000003"/>
    <x v="441"/>
    <n v="9.6999999999999993"/>
    <d v="2019-01-15T00:00:00"/>
    <n v="1"/>
    <n v="10"/>
    <x v="13"/>
  </r>
  <r>
    <s v="390-80-5128"/>
    <x v="2"/>
    <s v="Mandalay"/>
    <x v="0"/>
    <x v="0"/>
    <x v="0"/>
    <n v="19.149999999999999"/>
    <n v="1"/>
    <n v="0.95750000000000002"/>
    <n v="20.107500000000002"/>
    <s v="1/28/2019"/>
    <d v="1899-12-30T17:58:00"/>
    <x v="2"/>
    <n v="19.149999999999999"/>
    <n v="4.7619047620000003"/>
    <x v="442"/>
    <n v="9.5"/>
    <d v="2019-01-28T00:00:00"/>
    <n v="1"/>
    <n v="17"/>
    <x v="19"/>
  </r>
  <r>
    <s v="235-46-8343"/>
    <x v="1"/>
    <s v="Naypyitaw"/>
    <x v="0"/>
    <x v="1"/>
    <x v="4"/>
    <n v="27.66"/>
    <n v="10"/>
    <n v="13.83"/>
    <n v="290.43"/>
    <s v="2/14/2019"/>
    <d v="1899-12-30T11:26:00"/>
    <x v="2"/>
    <n v="276.60000000000002"/>
    <n v="4.7619047620000003"/>
    <x v="443"/>
    <n v="8.9"/>
    <d v="2019-02-14T00:00:00"/>
    <n v="2"/>
    <n v="11"/>
    <x v="25"/>
  </r>
  <r>
    <s v="453-12-7053"/>
    <x v="1"/>
    <s v="Naypyitaw"/>
    <x v="1"/>
    <x v="1"/>
    <x v="5"/>
    <n v="45.74"/>
    <n v="3"/>
    <n v="6.8609999999999998"/>
    <n v="144.08099999999999"/>
    <d v="2019-10-03T00:00:00"/>
    <d v="1899-12-30T17:38:00"/>
    <x v="2"/>
    <n v="137.22"/>
    <n v="4.7619047620000003"/>
    <x v="444"/>
    <n v="6.5"/>
    <d v="2019-03-10T00:00:00"/>
    <n v="3"/>
    <n v="17"/>
    <x v="6"/>
  </r>
  <r>
    <s v="296-11-7041"/>
    <x v="2"/>
    <s v="Mandalay"/>
    <x v="0"/>
    <x v="0"/>
    <x v="0"/>
    <n v="27.07"/>
    <n v="1"/>
    <n v="1.3534999999999999"/>
    <n v="28.423500000000001"/>
    <d v="2019-12-01T00:00:00"/>
    <d v="1899-12-30T20:07:00"/>
    <x v="2"/>
    <n v="27.07"/>
    <n v="4.7619047620000003"/>
    <x v="445"/>
    <n v="5.3"/>
    <d v="2019-01-12T00:00:00"/>
    <n v="1"/>
    <n v="20"/>
    <x v="10"/>
  </r>
  <r>
    <s v="449-27-2918"/>
    <x v="2"/>
    <s v="Mandalay"/>
    <x v="0"/>
    <x v="0"/>
    <x v="3"/>
    <n v="39.119999999999997"/>
    <n v="1"/>
    <n v="1.956"/>
    <n v="41.076000000000001"/>
    <s v="3/26/2019"/>
    <d v="1899-12-30T11:02:00"/>
    <x v="2"/>
    <n v="39.119999999999997"/>
    <n v="4.7619047620000003"/>
    <x v="446"/>
    <n v="9.6"/>
    <d v="2019-03-26T00:00:00"/>
    <n v="3"/>
    <n v="11"/>
    <x v="27"/>
  </r>
  <r>
    <s v="891-01-7034"/>
    <x v="2"/>
    <s v="Mandalay"/>
    <x v="1"/>
    <x v="0"/>
    <x v="1"/>
    <n v="74.709999999999994"/>
    <n v="6"/>
    <n v="22.413"/>
    <n v="470.673"/>
    <d v="2019-01-01T00:00:00"/>
    <d v="1899-12-30T19:07:00"/>
    <x v="1"/>
    <n v="448.26"/>
    <n v="4.7619047620000003"/>
    <x v="447"/>
    <n v="6.7"/>
    <d v="2019-01-01T00:00:00"/>
    <n v="1"/>
    <n v="19"/>
    <x v="15"/>
  </r>
  <r>
    <s v="744-09-5786"/>
    <x v="2"/>
    <s v="Mandalay"/>
    <x v="1"/>
    <x v="1"/>
    <x v="1"/>
    <n v="22.01"/>
    <n v="6"/>
    <n v="6.6029999999999998"/>
    <n v="138.66300000000001"/>
    <d v="2019-02-01T00:00:00"/>
    <d v="1899-12-30T18:50:00"/>
    <x v="1"/>
    <n v="132.06"/>
    <n v="4.7619047620000003"/>
    <x v="448"/>
    <n v="7.6"/>
    <d v="2019-01-02T00:00:00"/>
    <n v="1"/>
    <n v="18"/>
    <x v="8"/>
  </r>
  <r>
    <s v="727-17-0390"/>
    <x v="0"/>
    <s v="Yangon"/>
    <x v="1"/>
    <x v="0"/>
    <x v="4"/>
    <n v="63.61"/>
    <n v="5"/>
    <n v="15.9025"/>
    <n v="333.95249999999999"/>
    <s v="3/16/2019"/>
    <d v="1899-12-30T12:43:00"/>
    <x v="0"/>
    <n v="318.05"/>
    <n v="4.7619047620000003"/>
    <x v="449"/>
    <n v="4.8"/>
    <d v="2019-03-16T00:00:00"/>
    <n v="3"/>
    <n v="12"/>
    <x v="23"/>
  </r>
  <r>
    <s v="568-88-3448"/>
    <x v="0"/>
    <s v="Yangon"/>
    <x v="1"/>
    <x v="1"/>
    <x v="0"/>
    <n v="25"/>
    <n v="1"/>
    <n v="1.25"/>
    <n v="26.25"/>
    <d v="2019-03-03T00:00:00"/>
    <d v="1899-12-30T15:09:00"/>
    <x v="0"/>
    <n v="25"/>
    <n v="4.7619047620000003"/>
    <x v="450"/>
    <n v="5.5"/>
    <d v="2019-03-03T00:00:00"/>
    <n v="3"/>
    <n v="15"/>
    <x v="2"/>
  </r>
  <r>
    <s v="187-83-5490"/>
    <x v="0"/>
    <s v="Yangon"/>
    <x v="0"/>
    <x v="1"/>
    <x v="1"/>
    <n v="20.77"/>
    <n v="4"/>
    <n v="4.1539999999999999"/>
    <n v="87.233999999999995"/>
    <s v="1/31/2019"/>
    <d v="1899-12-30T13:47:00"/>
    <x v="1"/>
    <n v="83.08"/>
    <n v="4.7619047620000003"/>
    <x v="451"/>
    <n v="4.7"/>
    <d v="2019-01-31T00:00:00"/>
    <n v="1"/>
    <n v="13"/>
    <x v="30"/>
  </r>
  <r>
    <s v="767-54-1907"/>
    <x v="2"/>
    <s v="Mandalay"/>
    <x v="0"/>
    <x v="0"/>
    <x v="5"/>
    <n v="29.56"/>
    <n v="5"/>
    <n v="7.39"/>
    <n v="155.19"/>
    <s v="2/13/2019"/>
    <d v="1899-12-30T16:59:00"/>
    <x v="1"/>
    <n v="147.80000000000001"/>
    <n v="4.7619047620000003"/>
    <x v="452"/>
    <n v="6.9"/>
    <d v="2019-02-13T00:00:00"/>
    <n v="2"/>
    <n v="16"/>
    <x v="26"/>
  </r>
  <r>
    <s v="710-46-4433"/>
    <x v="2"/>
    <s v="Mandalay"/>
    <x v="0"/>
    <x v="0"/>
    <x v="4"/>
    <n v="77.400000000000006"/>
    <n v="9"/>
    <n v="34.83"/>
    <n v="731.43"/>
    <s v="2/15/2019"/>
    <d v="1899-12-30T14:15:00"/>
    <x v="2"/>
    <n v="696.6"/>
    <n v="4.7619047620000003"/>
    <x v="453"/>
    <n v="4.5"/>
    <d v="2019-02-15T00:00:00"/>
    <n v="2"/>
    <n v="14"/>
    <x v="13"/>
  </r>
  <r>
    <s v="533-33-5337"/>
    <x v="2"/>
    <s v="Mandalay"/>
    <x v="1"/>
    <x v="1"/>
    <x v="1"/>
    <n v="79.39"/>
    <n v="10"/>
    <n v="39.695"/>
    <n v="833.59500000000003"/>
    <d v="2019-07-02T00:00:00"/>
    <d v="1899-12-30T20:24:00"/>
    <x v="1"/>
    <n v="793.9"/>
    <n v="4.7619047620000003"/>
    <x v="454"/>
    <n v="6.2"/>
    <d v="2019-02-07T00:00:00"/>
    <n v="2"/>
    <n v="20"/>
    <x v="11"/>
  </r>
  <r>
    <s v="325-90-8763"/>
    <x v="1"/>
    <s v="Naypyitaw"/>
    <x v="0"/>
    <x v="0"/>
    <x v="1"/>
    <n v="46.57"/>
    <n v="10"/>
    <n v="23.285"/>
    <n v="488.98500000000001"/>
    <s v="1/27/2019"/>
    <d v="1899-12-30T13:58:00"/>
    <x v="1"/>
    <n v="465.7"/>
    <n v="4.7619047620000003"/>
    <x v="455"/>
    <n v="7.6"/>
    <d v="2019-01-27T00:00:00"/>
    <n v="1"/>
    <n v="13"/>
    <x v="3"/>
  </r>
  <r>
    <s v="729-46-7422"/>
    <x v="1"/>
    <s v="Naypyitaw"/>
    <x v="1"/>
    <x v="1"/>
    <x v="4"/>
    <n v="35.89"/>
    <n v="1"/>
    <n v="1.7945"/>
    <n v="37.6845"/>
    <s v="2/23/2019"/>
    <d v="1899-12-30T16:52:00"/>
    <x v="2"/>
    <n v="35.89"/>
    <n v="4.7619047620000003"/>
    <x v="456"/>
    <n v="7.9"/>
    <d v="2019-02-23T00:00:00"/>
    <n v="2"/>
    <n v="16"/>
    <x v="21"/>
  </r>
  <r>
    <s v="639-76-1242"/>
    <x v="1"/>
    <s v="Naypyitaw"/>
    <x v="1"/>
    <x v="1"/>
    <x v="4"/>
    <n v="40.520000000000003"/>
    <n v="5"/>
    <n v="10.130000000000001"/>
    <n v="212.73"/>
    <d v="2019-03-02T00:00:00"/>
    <d v="1899-12-30T15:19:00"/>
    <x v="1"/>
    <n v="202.6"/>
    <n v="4.7619047620000003"/>
    <x v="457"/>
    <n v="4.5"/>
    <d v="2019-02-03T00:00:00"/>
    <n v="2"/>
    <n v="15"/>
    <x v="2"/>
  </r>
  <r>
    <s v="234-03-4040"/>
    <x v="2"/>
    <s v="Mandalay"/>
    <x v="0"/>
    <x v="0"/>
    <x v="4"/>
    <n v="73.05"/>
    <n v="10"/>
    <n v="36.524999999999999"/>
    <n v="767.02499999999998"/>
    <d v="2019-03-03T00:00:00"/>
    <d v="1899-12-30T12:25:00"/>
    <x v="2"/>
    <n v="730.5"/>
    <n v="4.7619047620000003"/>
    <x v="458"/>
    <n v="8.6999999999999993"/>
    <d v="2019-03-03T00:00:00"/>
    <n v="3"/>
    <n v="12"/>
    <x v="2"/>
  </r>
  <r>
    <s v="326-71-2155"/>
    <x v="1"/>
    <s v="Naypyitaw"/>
    <x v="1"/>
    <x v="0"/>
    <x v="3"/>
    <n v="73.95"/>
    <n v="4"/>
    <n v="14.79"/>
    <n v="310.58999999999997"/>
    <d v="2019-03-02T00:00:00"/>
    <d v="1899-12-30T10:02:00"/>
    <x v="1"/>
    <n v="295.8"/>
    <n v="4.7619047620000003"/>
    <x v="459"/>
    <n v="6.1"/>
    <d v="2019-02-03T00:00:00"/>
    <n v="2"/>
    <n v="10"/>
    <x v="2"/>
  </r>
  <r>
    <s v="320-32-8842"/>
    <x v="1"/>
    <s v="Naypyitaw"/>
    <x v="0"/>
    <x v="0"/>
    <x v="4"/>
    <n v="22.62"/>
    <n v="1"/>
    <n v="1.131"/>
    <n v="23.751000000000001"/>
    <s v="3/17/2019"/>
    <d v="1899-12-30T18:58:00"/>
    <x v="1"/>
    <n v="22.62"/>
    <n v="4.7619047620000003"/>
    <x v="460"/>
    <n v="6.4"/>
    <d v="2019-03-17T00:00:00"/>
    <n v="3"/>
    <n v="18"/>
    <x v="17"/>
  </r>
  <r>
    <s v="470-32-9057"/>
    <x v="0"/>
    <s v="Yangon"/>
    <x v="0"/>
    <x v="1"/>
    <x v="4"/>
    <n v="51.34"/>
    <n v="5"/>
    <n v="12.835000000000001"/>
    <n v="269.53500000000003"/>
    <s v="3/28/2019"/>
    <d v="1899-12-30T15:31:00"/>
    <x v="2"/>
    <n v="256.7"/>
    <n v="4.7619047620000003"/>
    <x v="461"/>
    <n v="9.1"/>
    <d v="2019-03-28T00:00:00"/>
    <n v="3"/>
    <n v="15"/>
    <x v="19"/>
  </r>
  <r>
    <s v="878-30-2331"/>
    <x v="1"/>
    <s v="Naypyitaw"/>
    <x v="0"/>
    <x v="0"/>
    <x v="3"/>
    <n v="54.55"/>
    <n v="10"/>
    <n v="27.274999999999999"/>
    <n v="572.77499999999998"/>
    <d v="2019-02-03T00:00:00"/>
    <d v="1899-12-30T11:22:00"/>
    <x v="2"/>
    <n v="545.5"/>
    <n v="4.7619047620000003"/>
    <x v="462"/>
    <n v="7.1"/>
    <d v="2019-03-02T00:00:00"/>
    <n v="3"/>
    <n v="11"/>
    <x v="8"/>
  </r>
  <r>
    <s v="440-59-5691"/>
    <x v="1"/>
    <s v="Naypyitaw"/>
    <x v="0"/>
    <x v="0"/>
    <x v="0"/>
    <n v="37.15"/>
    <n v="7"/>
    <n v="13.0025"/>
    <n v="273.05250000000001"/>
    <d v="2019-08-02T00:00:00"/>
    <d v="1899-12-30T13:12:00"/>
    <x v="2"/>
    <n v="260.05"/>
    <n v="4.7619047620000003"/>
    <x v="463"/>
    <n v="7.7"/>
    <d v="2019-02-08T00:00:00"/>
    <n v="2"/>
    <n v="13"/>
    <x v="1"/>
  </r>
  <r>
    <s v="554-53-3790"/>
    <x v="2"/>
    <s v="Mandalay"/>
    <x v="1"/>
    <x v="1"/>
    <x v="3"/>
    <n v="37.020000000000003"/>
    <n v="6"/>
    <n v="11.106"/>
    <n v="233.226"/>
    <s v="3/22/2019"/>
    <d v="1899-12-30T18:33:00"/>
    <x v="1"/>
    <n v="222.12"/>
    <n v="4.7619047620000003"/>
    <x v="464"/>
    <n v="4.5"/>
    <d v="2019-03-22T00:00:00"/>
    <n v="3"/>
    <n v="18"/>
    <x v="18"/>
  </r>
  <r>
    <s v="746-19-0921"/>
    <x v="1"/>
    <s v="Naypyitaw"/>
    <x v="1"/>
    <x v="1"/>
    <x v="4"/>
    <n v="21.58"/>
    <n v="1"/>
    <n v="1.079"/>
    <n v="22.658999999999999"/>
    <d v="2019-09-02T00:00:00"/>
    <d v="1899-12-30T10:02:00"/>
    <x v="0"/>
    <n v="21.58"/>
    <n v="4.7619047620000003"/>
    <x v="465"/>
    <n v="7.2"/>
    <d v="2019-02-09T00:00:00"/>
    <n v="2"/>
    <n v="10"/>
    <x v="9"/>
  </r>
  <r>
    <s v="233-34-0817"/>
    <x v="1"/>
    <s v="Naypyitaw"/>
    <x v="0"/>
    <x v="0"/>
    <x v="1"/>
    <n v="98.84"/>
    <n v="1"/>
    <n v="4.9420000000000002"/>
    <n v="103.782"/>
    <s v="2/15/2019"/>
    <d v="1899-12-30T11:21:00"/>
    <x v="1"/>
    <n v="98.84"/>
    <n v="4.7619047620000003"/>
    <x v="466"/>
    <n v="8.4"/>
    <d v="2019-02-15T00:00:00"/>
    <n v="2"/>
    <n v="11"/>
    <x v="13"/>
  </r>
  <r>
    <s v="767-05-1286"/>
    <x v="1"/>
    <s v="Naypyitaw"/>
    <x v="0"/>
    <x v="0"/>
    <x v="2"/>
    <n v="83.77"/>
    <n v="6"/>
    <n v="25.131"/>
    <n v="527.75099999999998"/>
    <s v="1/23/2019"/>
    <d v="1899-12-30T12:10:00"/>
    <x v="0"/>
    <n v="502.62"/>
    <n v="4.7619047620000003"/>
    <x v="467"/>
    <n v="5.4"/>
    <d v="2019-01-23T00:00:00"/>
    <n v="1"/>
    <n v="12"/>
    <x v="21"/>
  </r>
  <r>
    <s v="340-21-9136"/>
    <x v="0"/>
    <s v="Yangon"/>
    <x v="0"/>
    <x v="0"/>
    <x v="3"/>
    <n v="40.049999999999997"/>
    <n v="4"/>
    <n v="8.01"/>
    <n v="168.21"/>
    <s v="1/25/2019"/>
    <d v="1899-12-30T11:40:00"/>
    <x v="1"/>
    <n v="160.19999999999999"/>
    <n v="4.7619047620000003"/>
    <x v="468"/>
    <n v="9.6999999999999993"/>
    <d v="2019-01-25T00:00:00"/>
    <n v="1"/>
    <n v="11"/>
    <x v="4"/>
  </r>
  <r>
    <s v="405-31-3305"/>
    <x v="0"/>
    <s v="Yangon"/>
    <x v="0"/>
    <x v="1"/>
    <x v="5"/>
    <n v="43.13"/>
    <n v="10"/>
    <n v="21.565000000000001"/>
    <n v="452.86500000000001"/>
    <d v="2019-02-02T00:00:00"/>
    <d v="1899-12-30T18:31:00"/>
    <x v="2"/>
    <n v="431.3"/>
    <n v="4.7619047620000003"/>
    <x v="469"/>
    <n v="5.5"/>
    <d v="2019-02-02T00:00:00"/>
    <n v="2"/>
    <n v="18"/>
    <x v="8"/>
  </r>
  <r>
    <s v="731-59-7531"/>
    <x v="2"/>
    <s v="Mandalay"/>
    <x v="0"/>
    <x v="1"/>
    <x v="0"/>
    <n v="72.569999999999993"/>
    <n v="8"/>
    <n v="29.027999999999999"/>
    <n v="609.58799999999997"/>
    <s v="3/30/2019"/>
    <d v="1899-12-30T17:58:00"/>
    <x v="1"/>
    <n v="580.55999999999995"/>
    <n v="4.7619047620000003"/>
    <x v="470"/>
    <n v="4.5999999999999996"/>
    <d v="2019-03-30T00:00:00"/>
    <n v="3"/>
    <n v="17"/>
    <x v="29"/>
  </r>
  <r>
    <s v="676-39-6028"/>
    <x v="0"/>
    <s v="Yangon"/>
    <x v="0"/>
    <x v="0"/>
    <x v="1"/>
    <n v="64.44"/>
    <n v="5"/>
    <n v="16.11"/>
    <n v="338.31"/>
    <s v="3/30/2019"/>
    <d v="1899-12-30T17:04:00"/>
    <x v="1"/>
    <n v="322.2"/>
    <n v="4.7619047620000003"/>
    <x v="471"/>
    <n v="6.6"/>
    <d v="2019-03-30T00:00:00"/>
    <n v="3"/>
    <n v="17"/>
    <x v="29"/>
  </r>
  <r>
    <s v="502-05-1910"/>
    <x v="0"/>
    <s v="Yangon"/>
    <x v="1"/>
    <x v="1"/>
    <x v="0"/>
    <n v="65.180000000000007"/>
    <n v="3"/>
    <n v="9.7769999999999992"/>
    <n v="205.31700000000001"/>
    <s v="2/25/2019"/>
    <d v="1899-12-30T20:35:00"/>
    <x v="2"/>
    <n v="195.54"/>
    <n v="4.7619047620000003"/>
    <x v="472"/>
    <n v="6.3"/>
    <d v="2019-02-25T00:00:00"/>
    <n v="2"/>
    <n v="20"/>
    <x v="4"/>
  </r>
  <r>
    <s v="485-30-8700"/>
    <x v="0"/>
    <s v="Yangon"/>
    <x v="1"/>
    <x v="0"/>
    <x v="3"/>
    <n v="33.26"/>
    <n v="5"/>
    <n v="8.3149999999999995"/>
    <n v="174.61500000000001"/>
    <s v="3/18/2019"/>
    <d v="1899-12-30T16:10:00"/>
    <x v="2"/>
    <n v="166.3"/>
    <n v="4.7619047620000003"/>
    <x v="473"/>
    <n v="4.2"/>
    <d v="2019-03-18T00:00:00"/>
    <n v="3"/>
    <n v="16"/>
    <x v="28"/>
  </r>
  <r>
    <s v="598-47-9715"/>
    <x v="1"/>
    <s v="Naypyitaw"/>
    <x v="1"/>
    <x v="1"/>
    <x v="1"/>
    <n v="84.07"/>
    <n v="4"/>
    <n v="16.814"/>
    <n v="353.09399999999999"/>
    <d v="2019-07-03T00:00:00"/>
    <d v="1899-12-30T16:54:00"/>
    <x v="0"/>
    <n v="336.28"/>
    <n v="4.7619047620000003"/>
    <x v="474"/>
    <n v="4.4000000000000004"/>
    <d v="2019-03-07T00:00:00"/>
    <n v="3"/>
    <n v="16"/>
    <x v="11"/>
  </r>
  <r>
    <s v="701-69-8742"/>
    <x v="2"/>
    <s v="Mandalay"/>
    <x v="1"/>
    <x v="1"/>
    <x v="3"/>
    <n v="34.369999999999997"/>
    <n v="10"/>
    <n v="17.184999999999999"/>
    <n v="360.88499999999999"/>
    <s v="3/16/2019"/>
    <d v="1899-12-30T10:11:00"/>
    <x v="0"/>
    <n v="343.7"/>
    <n v="4.7619047620000003"/>
    <x v="475"/>
    <n v="6.7"/>
    <d v="2019-03-16T00:00:00"/>
    <n v="3"/>
    <n v="10"/>
    <x v="23"/>
  </r>
  <r>
    <s v="575-67-1508"/>
    <x v="0"/>
    <s v="Yangon"/>
    <x v="1"/>
    <x v="1"/>
    <x v="1"/>
    <n v="38.6"/>
    <n v="1"/>
    <n v="1.93"/>
    <n v="40.53"/>
    <s v="1/29/2019"/>
    <d v="1899-12-30T11:26:00"/>
    <x v="0"/>
    <n v="38.6"/>
    <n v="4.7619047620000003"/>
    <x v="476"/>
    <n v="6.7"/>
    <d v="2019-01-29T00:00:00"/>
    <n v="1"/>
    <n v="11"/>
    <x v="12"/>
  </r>
  <r>
    <s v="541-08-3113"/>
    <x v="1"/>
    <s v="Naypyitaw"/>
    <x v="1"/>
    <x v="1"/>
    <x v="4"/>
    <n v="65.97"/>
    <n v="8"/>
    <n v="26.388000000000002"/>
    <n v="554.14800000000002"/>
    <d v="2019-02-02T00:00:00"/>
    <d v="1899-12-30T20:29:00"/>
    <x v="1"/>
    <n v="527.76"/>
    <n v="4.7619047620000003"/>
    <x v="477"/>
    <n v="8.4"/>
    <d v="2019-02-02T00:00:00"/>
    <n v="2"/>
    <n v="20"/>
    <x v="8"/>
  </r>
  <r>
    <s v="246-11-3901"/>
    <x v="1"/>
    <s v="Naypyitaw"/>
    <x v="1"/>
    <x v="0"/>
    <x v="1"/>
    <n v="32.799999999999997"/>
    <n v="10"/>
    <n v="16.399999999999999"/>
    <n v="344.4"/>
    <s v="2/15/2019"/>
    <d v="1899-12-30T12:12:00"/>
    <x v="1"/>
    <n v="328"/>
    <n v="4.7619047620000003"/>
    <x v="478"/>
    <n v="6.2"/>
    <d v="2019-02-15T00:00:00"/>
    <n v="2"/>
    <n v="12"/>
    <x v="13"/>
  </r>
  <r>
    <s v="674-15-9296"/>
    <x v="0"/>
    <s v="Yangon"/>
    <x v="1"/>
    <x v="1"/>
    <x v="3"/>
    <n v="37.14"/>
    <n v="5"/>
    <n v="9.2850000000000001"/>
    <n v="194.98500000000001"/>
    <d v="2019-08-01T00:00:00"/>
    <d v="1899-12-30T13:05:00"/>
    <x v="0"/>
    <n v="185.7"/>
    <n v="4.7619047620000003"/>
    <x v="479"/>
    <n v="5"/>
    <d v="2019-01-08T00:00:00"/>
    <n v="1"/>
    <n v="13"/>
    <x v="1"/>
  </r>
  <r>
    <s v="305-18-3552"/>
    <x v="2"/>
    <s v="Mandalay"/>
    <x v="0"/>
    <x v="1"/>
    <x v="2"/>
    <n v="60.38"/>
    <n v="10"/>
    <n v="30.19"/>
    <n v="633.99"/>
    <d v="2019-12-02T00:00:00"/>
    <d v="1899-12-30T16:19:00"/>
    <x v="1"/>
    <n v="603.79999999999995"/>
    <n v="4.7619047620000003"/>
    <x v="480"/>
    <n v="6"/>
    <d v="2019-02-12T00:00:00"/>
    <n v="2"/>
    <n v="16"/>
    <x v="10"/>
  </r>
  <r>
    <s v="493-65-6248"/>
    <x v="1"/>
    <s v="Naypyitaw"/>
    <x v="0"/>
    <x v="0"/>
    <x v="3"/>
    <n v="36.979999999999997"/>
    <n v="10"/>
    <n v="18.489999999999998"/>
    <n v="388.29"/>
    <d v="2019-01-01T00:00:00"/>
    <d v="1899-12-30T19:48:00"/>
    <x v="2"/>
    <n v="369.8"/>
    <n v="4.7619047620000003"/>
    <x v="481"/>
    <n v="7"/>
    <d v="2019-01-01T00:00:00"/>
    <n v="1"/>
    <n v="19"/>
    <x v="15"/>
  </r>
  <r>
    <s v="438-01-4015"/>
    <x v="2"/>
    <s v="Mandalay"/>
    <x v="0"/>
    <x v="0"/>
    <x v="3"/>
    <n v="49.49"/>
    <n v="4"/>
    <n v="9.8979999999999997"/>
    <n v="207.858"/>
    <s v="3/21/2019"/>
    <d v="1899-12-30T15:25:00"/>
    <x v="0"/>
    <n v="197.96"/>
    <n v="4.7619047620000003"/>
    <x v="482"/>
    <n v="6.6"/>
    <d v="2019-03-21T00:00:00"/>
    <n v="3"/>
    <n v="15"/>
    <x v="16"/>
  </r>
  <r>
    <s v="709-58-4068"/>
    <x v="2"/>
    <s v="Mandalay"/>
    <x v="1"/>
    <x v="0"/>
    <x v="5"/>
    <n v="41.09"/>
    <n v="10"/>
    <n v="20.545000000000002"/>
    <n v="431.44499999999999"/>
    <s v="2/28/2019"/>
    <d v="1899-12-30T14:42:00"/>
    <x v="1"/>
    <n v="410.9"/>
    <n v="4.7619047620000003"/>
    <x v="483"/>
    <n v="7.3"/>
    <d v="2019-02-28T00:00:00"/>
    <n v="2"/>
    <n v="14"/>
    <x v="19"/>
  </r>
  <r>
    <s v="795-49-7276"/>
    <x v="0"/>
    <s v="Yangon"/>
    <x v="1"/>
    <x v="1"/>
    <x v="5"/>
    <n v="37.15"/>
    <n v="4"/>
    <n v="7.43"/>
    <n v="156.03"/>
    <s v="3/23/2019"/>
    <d v="1899-12-30T18:59:00"/>
    <x v="0"/>
    <n v="148.6"/>
    <n v="4.7619047620000003"/>
    <x v="484"/>
    <n v="8.3000000000000007"/>
    <d v="2019-03-23T00:00:00"/>
    <n v="3"/>
    <n v="18"/>
    <x v="21"/>
  </r>
  <r>
    <s v="556-72-8512"/>
    <x v="1"/>
    <s v="Naypyitaw"/>
    <x v="1"/>
    <x v="1"/>
    <x v="2"/>
    <n v="22.96"/>
    <n v="1"/>
    <n v="1.1479999999999999"/>
    <n v="24.108000000000001"/>
    <s v="1/30/2019"/>
    <d v="1899-12-30T20:47:00"/>
    <x v="1"/>
    <n v="22.96"/>
    <n v="4.7619047620000003"/>
    <x v="485"/>
    <n v="4.3"/>
    <d v="2019-01-30T00:00:00"/>
    <n v="1"/>
    <n v="20"/>
    <x v="29"/>
  </r>
  <r>
    <s v="627-95-3243"/>
    <x v="2"/>
    <s v="Mandalay"/>
    <x v="0"/>
    <x v="0"/>
    <x v="2"/>
    <n v="77.680000000000007"/>
    <n v="9"/>
    <n v="34.956000000000003"/>
    <n v="734.07600000000002"/>
    <d v="2019-04-02T00:00:00"/>
    <d v="1899-12-30T13:21:00"/>
    <x v="0"/>
    <n v="699.12"/>
    <n v="4.7619047620000003"/>
    <x v="486"/>
    <n v="9.8000000000000007"/>
    <d v="2019-02-04T00:00:00"/>
    <n v="2"/>
    <n v="13"/>
    <x v="22"/>
  </r>
  <r>
    <s v="686-41-0932"/>
    <x v="2"/>
    <s v="Mandalay"/>
    <x v="1"/>
    <x v="0"/>
    <x v="5"/>
    <n v="34.700000000000003"/>
    <n v="2"/>
    <n v="3.47"/>
    <n v="72.87"/>
    <s v="3/13/2019"/>
    <d v="1899-12-30T19:48:00"/>
    <x v="0"/>
    <n v="69.400000000000006"/>
    <n v="4.7619047620000003"/>
    <x v="487"/>
    <n v="8.1999999999999993"/>
    <d v="2019-03-13T00:00:00"/>
    <n v="3"/>
    <n v="19"/>
    <x v="26"/>
  </r>
  <r>
    <s v="510-09-5628"/>
    <x v="0"/>
    <s v="Yangon"/>
    <x v="0"/>
    <x v="0"/>
    <x v="5"/>
    <n v="19.66"/>
    <n v="10"/>
    <n v="9.83"/>
    <n v="206.43"/>
    <s v="3/15/2019"/>
    <d v="1899-12-30T18:20:00"/>
    <x v="2"/>
    <n v="196.6"/>
    <n v="4.7619047620000003"/>
    <x v="488"/>
    <n v="7.2"/>
    <d v="2019-03-15T00:00:00"/>
    <n v="3"/>
    <n v="18"/>
    <x v="13"/>
  </r>
  <r>
    <s v="608-04-3797"/>
    <x v="2"/>
    <s v="Mandalay"/>
    <x v="0"/>
    <x v="0"/>
    <x v="0"/>
    <n v="25.32"/>
    <n v="8"/>
    <n v="10.128"/>
    <n v="212.68799999999999"/>
    <d v="2019-05-03T00:00:00"/>
    <d v="1899-12-30T20:24:00"/>
    <x v="0"/>
    <n v="202.56"/>
    <n v="4.7619047620000003"/>
    <x v="489"/>
    <n v="8.6999999999999993"/>
    <d v="2019-03-05T00:00:00"/>
    <n v="3"/>
    <n v="20"/>
    <x v="0"/>
  </r>
  <r>
    <s v="148-82-2527"/>
    <x v="1"/>
    <s v="Naypyitaw"/>
    <x v="0"/>
    <x v="0"/>
    <x v="2"/>
    <n v="12.12"/>
    <n v="10"/>
    <n v="6.06"/>
    <n v="127.26"/>
    <d v="2019-05-03T00:00:00"/>
    <d v="1899-12-30T13:44:00"/>
    <x v="2"/>
    <n v="121.2"/>
    <n v="4.7619047620000003"/>
    <x v="490"/>
    <n v="8.4"/>
    <d v="2019-03-05T00:00:00"/>
    <n v="3"/>
    <n v="13"/>
    <x v="0"/>
  </r>
  <r>
    <s v="437-53-3084"/>
    <x v="2"/>
    <s v="Mandalay"/>
    <x v="1"/>
    <x v="1"/>
    <x v="5"/>
    <n v="99.89"/>
    <n v="2"/>
    <n v="9.9890000000000008"/>
    <n v="209.76900000000001"/>
    <s v="2/26/2019"/>
    <d v="1899-12-30T11:48:00"/>
    <x v="0"/>
    <n v="199.78"/>
    <n v="4.7619047620000003"/>
    <x v="491"/>
    <n v="7.1"/>
    <d v="2019-02-26T00:00:00"/>
    <n v="2"/>
    <n v="11"/>
    <x v="27"/>
  </r>
  <r>
    <s v="632-32-4574"/>
    <x v="2"/>
    <s v="Mandalay"/>
    <x v="1"/>
    <x v="1"/>
    <x v="3"/>
    <n v="75.92"/>
    <n v="8"/>
    <n v="30.367999999999999"/>
    <n v="637.72799999999995"/>
    <s v="3/20/2019"/>
    <d v="1899-12-30T14:14:00"/>
    <x v="1"/>
    <n v="607.36"/>
    <n v="4.7619047620000003"/>
    <x v="492"/>
    <n v="5.5"/>
    <d v="2019-03-20T00:00:00"/>
    <n v="3"/>
    <n v="14"/>
    <x v="7"/>
  </r>
  <r>
    <s v="556-97-7101"/>
    <x v="1"/>
    <s v="Naypyitaw"/>
    <x v="1"/>
    <x v="0"/>
    <x v="1"/>
    <n v="63.22"/>
    <n v="2"/>
    <n v="6.3220000000000001"/>
    <n v="132.762"/>
    <d v="2019-01-01T00:00:00"/>
    <d v="1899-12-30T15:51:00"/>
    <x v="1"/>
    <n v="126.44"/>
    <n v="4.7619047620000003"/>
    <x v="493"/>
    <n v="8.5"/>
    <d v="2019-01-01T00:00:00"/>
    <n v="1"/>
    <n v="15"/>
    <x v="15"/>
  </r>
  <r>
    <s v="862-59-8517"/>
    <x v="1"/>
    <s v="Naypyitaw"/>
    <x v="1"/>
    <x v="0"/>
    <x v="4"/>
    <n v="90.24"/>
    <n v="6"/>
    <n v="27.071999999999999"/>
    <n v="568.51199999999994"/>
    <s v="1/27/2019"/>
    <d v="1899-12-30T11:17:00"/>
    <x v="1"/>
    <n v="541.44000000000005"/>
    <n v="4.7619047620000003"/>
    <x v="494"/>
    <n v="6.2"/>
    <d v="2019-01-27T00:00:00"/>
    <n v="1"/>
    <n v="11"/>
    <x v="3"/>
  </r>
  <r>
    <s v="401-18-8016"/>
    <x v="2"/>
    <s v="Mandalay"/>
    <x v="0"/>
    <x v="0"/>
    <x v="3"/>
    <n v="98.13"/>
    <n v="1"/>
    <n v="4.9065000000000003"/>
    <n v="103.0365"/>
    <s v="1/21/2019"/>
    <d v="1899-12-30T17:36:00"/>
    <x v="1"/>
    <n v="98.13"/>
    <n v="4.7619047620000003"/>
    <x v="495"/>
    <n v="8.9"/>
    <d v="2019-01-21T00:00:00"/>
    <n v="1"/>
    <n v="17"/>
    <x v="16"/>
  </r>
  <r>
    <s v="420-18-8989"/>
    <x v="0"/>
    <s v="Yangon"/>
    <x v="0"/>
    <x v="0"/>
    <x v="3"/>
    <n v="51.52"/>
    <n v="8"/>
    <n v="20.608000000000001"/>
    <n v="432.76799999999997"/>
    <d v="2019-02-02T00:00:00"/>
    <d v="1899-12-30T15:47:00"/>
    <x v="1"/>
    <n v="412.16"/>
    <n v="4.7619047620000003"/>
    <x v="496"/>
    <n v="9.6"/>
    <d v="2019-02-02T00:00:00"/>
    <n v="2"/>
    <n v="15"/>
    <x v="8"/>
  </r>
  <r>
    <s v="277-63-2961"/>
    <x v="2"/>
    <s v="Mandalay"/>
    <x v="0"/>
    <x v="1"/>
    <x v="3"/>
    <n v="73.97"/>
    <n v="1"/>
    <n v="3.6985000000000001"/>
    <n v="77.668499999999995"/>
    <d v="2019-03-02T00:00:00"/>
    <d v="1899-12-30T15:53:00"/>
    <x v="2"/>
    <n v="73.97"/>
    <n v="4.7619047620000003"/>
    <x v="497"/>
    <n v="5.4"/>
    <d v="2019-02-03T00:00:00"/>
    <n v="2"/>
    <n v="15"/>
    <x v="2"/>
  </r>
  <r>
    <s v="573-98-8548"/>
    <x v="1"/>
    <s v="Naypyitaw"/>
    <x v="0"/>
    <x v="0"/>
    <x v="5"/>
    <n v="31.9"/>
    <n v="1"/>
    <n v="1.595"/>
    <n v="33.494999999999997"/>
    <d v="2019-05-01T00:00:00"/>
    <d v="1899-12-30T12:40:00"/>
    <x v="0"/>
    <n v="31.9"/>
    <n v="4.7619047620000003"/>
    <x v="498"/>
    <n v="9.1"/>
    <d v="2019-01-05T00:00:00"/>
    <n v="1"/>
    <n v="12"/>
    <x v="0"/>
  </r>
  <r>
    <s v="620-02-2046"/>
    <x v="1"/>
    <s v="Naypyitaw"/>
    <x v="1"/>
    <x v="1"/>
    <x v="2"/>
    <n v="69.400000000000006"/>
    <n v="2"/>
    <n v="6.94"/>
    <n v="145.74"/>
    <s v="1/27/2019"/>
    <d v="1899-12-30T19:48:00"/>
    <x v="0"/>
    <n v="138.80000000000001"/>
    <n v="4.7619047620000003"/>
    <x v="499"/>
    <n v="9"/>
    <d v="2019-01-27T00:00:00"/>
    <n v="1"/>
    <n v="19"/>
    <x v="3"/>
  </r>
  <r>
    <s v="282-35-2475"/>
    <x v="2"/>
    <s v="Mandalay"/>
    <x v="1"/>
    <x v="0"/>
    <x v="3"/>
    <n v="93.31"/>
    <n v="2"/>
    <n v="9.3309999999999995"/>
    <n v="195.95099999999999"/>
    <s v="3/25/2019"/>
    <d v="1899-12-30T17:53:00"/>
    <x v="1"/>
    <n v="186.62"/>
    <n v="4.7619047620000003"/>
    <x v="500"/>
    <n v="6.3"/>
    <d v="2019-03-25T00:00:00"/>
    <n v="3"/>
    <n v="17"/>
    <x v="4"/>
  </r>
  <r>
    <s v="511-54-3087"/>
    <x v="2"/>
    <s v="Mandalay"/>
    <x v="1"/>
    <x v="1"/>
    <x v="3"/>
    <n v="88.45"/>
    <n v="1"/>
    <n v="4.4225000000000003"/>
    <n v="92.872500000000002"/>
    <s v="2/25/2019"/>
    <d v="1899-12-30T16:36:00"/>
    <x v="2"/>
    <n v="88.45"/>
    <n v="4.7619047620000003"/>
    <x v="501"/>
    <n v="9.5"/>
    <d v="2019-02-25T00:00:00"/>
    <n v="2"/>
    <n v="16"/>
    <x v="4"/>
  </r>
  <r>
    <s v="726-29-6793"/>
    <x v="0"/>
    <s v="Yangon"/>
    <x v="0"/>
    <x v="1"/>
    <x v="1"/>
    <n v="24.18"/>
    <n v="8"/>
    <n v="9.6720000000000006"/>
    <n v="203.11199999999999"/>
    <s v="1/28/2019"/>
    <d v="1899-12-30T20:54:00"/>
    <x v="0"/>
    <n v="193.44"/>
    <n v="4.7619047620000003"/>
    <x v="502"/>
    <n v="9.8000000000000007"/>
    <d v="2019-01-28T00:00:00"/>
    <n v="1"/>
    <n v="20"/>
    <x v="19"/>
  </r>
  <r>
    <s v="387-49-4215"/>
    <x v="2"/>
    <s v="Mandalay"/>
    <x v="0"/>
    <x v="0"/>
    <x v="3"/>
    <n v="48.5"/>
    <n v="3"/>
    <n v="7.2750000000000004"/>
    <n v="152.77500000000001"/>
    <d v="2019-08-01T00:00:00"/>
    <d v="1899-12-30T12:50:00"/>
    <x v="1"/>
    <n v="145.5"/>
    <n v="4.7619047620000003"/>
    <x v="503"/>
    <n v="6.7"/>
    <d v="2019-01-08T00:00:00"/>
    <n v="1"/>
    <n v="12"/>
    <x v="1"/>
  </r>
  <r>
    <s v="862-17-9201"/>
    <x v="2"/>
    <s v="Mandalay"/>
    <x v="1"/>
    <x v="0"/>
    <x v="4"/>
    <n v="84.05"/>
    <n v="6"/>
    <n v="25.215"/>
    <n v="529.51499999999999"/>
    <s v="1/29/2019"/>
    <d v="1899-12-30T10:48:00"/>
    <x v="2"/>
    <n v="504.3"/>
    <n v="4.7619047620000003"/>
    <x v="504"/>
    <n v="7.7"/>
    <d v="2019-01-29T00:00:00"/>
    <n v="1"/>
    <n v="10"/>
    <x v="12"/>
  </r>
  <r>
    <s v="291-21-5991"/>
    <x v="2"/>
    <s v="Mandalay"/>
    <x v="0"/>
    <x v="1"/>
    <x v="0"/>
    <n v="61.29"/>
    <n v="5"/>
    <n v="15.3225"/>
    <n v="321.77249999999998"/>
    <s v="3/29/2019"/>
    <d v="1899-12-30T14:28:00"/>
    <x v="1"/>
    <n v="306.45"/>
    <n v="4.7619047620000003"/>
    <x v="505"/>
    <n v="7"/>
    <d v="2019-03-29T00:00:00"/>
    <n v="3"/>
    <n v="14"/>
    <x v="12"/>
  </r>
  <r>
    <s v="602-80-9671"/>
    <x v="1"/>
    <s v="Naypyitaw"/>
    <x v="0"/>
    <x v="0"/>
    <x v="2"/>
    <n v="15.95"/>
    <n v="6"/>
    <n v="4.7850000000000001"/>
    <n v="100.485"/>
    <d v="2019-09-02T00:00:00"/>
    <d v="1899-12-30T17:15:00"/>
    <x v="2"/>
    <n v="95.7"/>
    <n v="4.7619047620000003"/>
    <x v="506"/>
    <n v="5.0999999999999996"/>
    <d v="2019-02-09T00:00:00"/>
    <n v="2"/>
    <n v="17"/>
    <x v="9"/>
  </r>
  <r>
    <s v="347-72-6115"/>
    <x v="2"/>
    <s v="Mandalay"/>
    <x v="0"/>
    <x v="0"/>
    <x v="3"/>
    <n v="90.74"/>
    <n v="7"/>
    <n v="31.759"/>
    <n v="666.93899999999996"/>
    <s v="1/16/2019"/>
    <d v="1899-12-30T18:03:00"/>
    <x v="2"/>
    <n v="635.17999999999995"/>
    <n v="4.7619047620000003"/>
    <x v="507"/>
    <n v="6.2"/>
    <d v="2019-01-16T00:00:00"/>
    <n v="1"/>
    <n v="18"/>
    <x v="23"/>
  </r>
  <r>
    <s v="209-61-0206"/>
    <x v="0"/>
    <s v="Yangon"/>
    <x v="1"/>
    <x v="0"/>
    <x v="2"/>
    <n v="42.91"/>
    <n v="5"/>
    <n v="10.727499999999999"/>
    <n v="225.2775"/>
    <d v="2019-05-01T00:00:00"/>
    <d v="1899-12-30T17:29:00"/>
    <x v="0"/>
    <n v="214.55"/>
    <n v="4.7619047620000003"/>
    <x v="508"/>
    <n v="6.1"/>
    <d v="2019-01-05T00:00:00"/>
    <n v="1"/>
    <n v="17"/>
    <x v="0"/>
  </r>
  <r>
    <s v="595-27-4851"/>
    <x v="0"/>
    <s v="Yangon"/>
    <x v="1"/>
    <x v="0"/>
    <x v="5"/>
    <n v="54.28"/>
    <n v="7"/>
    <n v="18.998000000000001"/>
    <n v="398.95800000000003"/>
    <s v="1/27/2019"/>
    <d v="1899-12-30T18:05:00"/>
    <x v="0"/>
    <n v="379.96"/>
    <n v="4.7619047620000003"/>
    <x v="509"/>
    <n v="9.3000000000000007"/>
    <d v="2019-01-27T00:00:00"/>
    <n v="1"/>
    <n v="18"/>
    <x v="3"/>
  </r>
  <r>
    <s v="189-52-0236"/>
    <x v="0"/>
    <s v="Yangon"/>
    <x v="1"/>
    <x v="1"/>
    <x v="1"/>
    <n v="99.55"/>
    <n v="7"/>
    <n v="34.842500000000001"/>
    <n v="731.6925"/>
    <s v="3/14/2019"/>
    <d v="1899-12-30T12:07:00"/>
    <x v="1"/>
    <n v="696.85"/>
    <n v="4.7619047620000003"/>
    <x v="510"/>
    <n v="7.6"/>
    <d v="2019-03-14T00:00:00"/>
    <n v="3"/>
    <n v="12"/>
    <x v="25"/>
  </r>
  <r>
    <s v="503-07-0930"/>
    <x v="1"/>
    <s v="Naypyitaw"/>
    <x v="0"/>
    <x v="1"/>
    <x v="3"/>
    <n v="58.39"/>
    <n v="7"/>
    <n v="20.436499999999999"/>
    <n v="429.16649999999998"/>
    <s v="2/23/2019"/>
    <d v="1899-12-30T19:49:00"/>
    <x v="2"/>
    <n v="408.73"/>
    <n v="4.7619047620000003"/>
    <x v="511"/>
    <n v="8.1999999999999993"/>
    <d v="2019-02-23T00:00:00"/>
    <n v="2"/>
    <n v="19"/>
    <x v="21"/>
  </r>
  <r>
    <s v="413-20-6708"/>
    <x v="1"/>
    <s v="Naypyitaw"/>
    <x v="0"/>
    <x v="0"/>
    <x v="5"/>
    <n v="51.47"/>
    <n v="1"/>
    <n v="2.5735000000000001"/>
    <n v="54.043500000000002"/>
    <s v="3/18/2019"/>
    <d v="1899-12-30T15:52:00"/>
    <x v="0"/>
    <n v="51.47"/>
    <n v="4.7619047620000003"/>
    <x v="512"/>
    <n v="8.5"/>
    <d v="2019-03-18T00:00:00"/>
    <n v="3"/>
    <n v="15"/>
    <x v="28"/>
  </r>
  <r>
    <s v="425-85-2085"/>
    <x v="2"/>
    <s v="Mandalay"/>
    <x v="0"/>
    <x v="1"/>
    <x v="0"/>
    <n v="54.86"/>
    <n v="5"/>
    <n v="13.715"/>
    <n v="288.01499999999999"/>
    <s v="3/29/2019"/>
    <d v="1899-12-30T16:48:00"/>
    <x v="0"/>
    <n v="274.3"/>
    <n v="4.7619047620000003"/>
    <x v="513"/>
    <n v="9.8000000000000007"/>
    <d v="2019-03-29T00:00:00"/>
    <n v="3"/>
    <n v="16"/>
    <x v="12"/>
  </r>
  <r>
    <s v="521-18-7827"/>
    <x v="1"/>
    <s v="Naypyitaw"/>
    <x v="0"/>
    <x v="1"/>
    <x v="2"/>
    <n v="39.39"/>
    <n v="5"/>
    <n v="9.8475000000000001"/>
    <n v="206.79750000000001"/>
    <s v="1/22/2019"/>
    <d v="1899-12-30T20:46:00"/>
    <x v="2"/>
    <n v="196.95"/>
    <n v="4.7619047620000003"/>
    <x v="514"/>
    <n v="8.6999999999999993"/>
    <d v="2019-01-22T00:00:00"/>
    <n v="1"/>
    <n v="20"/>
    <x v="18"/>
  </r>
  <r>
    <s v="220-28-1851"/>
    <x v="0"/>
    <s v="Yangon"/>
    <x v="1"/>
    <x v="1"/>
    <x v="2"/>
    <n v="34.729999999999997"/>
    <n v="2"/>
    <n v="3.4729999999999999"/>
    <n v="72.933000000000007"/>
    <d v="2019-01-03T00:00:00"/>
    <d v="1899-12-30T18:14:00"/>
    <x v="0"/>
    <n v="69.459999999999994"/>
    <n v="4.7619047620000003"/>
    <x v="515"/>
    <n v="9.6999999999999993"/>
    <d v="2019-03-01T00:00:00"/>
    <n v="3"/>
    <n v="18"/>
    <x v="15"/>
  </r>
  <r>
    <s v="600-38-9738"/>
    <x v="1"/>
    <s v="Naypyitaw"/>
    <x v="0"/>
    <x v="1"/>
    <x v="3"/>
    <n v="71.92"/>
    <n v="5"/>
    <n v="17.98"/>
    <n v="377.58"/>
    <s v="1/17/2019"/>
    <d v="1899-12-30T15:05:00"/>
    <x v="2"/>
    <n v="359.6"/>
    <n v="4.7619047620000003"/>
    <x v="516"/>
    <n v="4.3"/>
    <d v="2019-01-17T00:00:00"/>
    <n v="1"/>
    <n v="15"/>
    <x v="17"/>
  </r>
  <r>
    <s v="734-91-1155"/>
    <x v="2"/>
    <s v="Mandalay"/>
    <x v="1"/>
    <x v="0"/>
    <x v="1"/>
    <n v="45.71"/>
    <n v="3"/>
    <n v="6.8564999999999996"/>
    <n v="143.98650000000001"/>
    <s v="3/26/2019"/>
    <d v="1899-12-30T10:34:00"/>
    <x v="2"/>
    <n v="137.13"/>
    <n v="4.7619047620000003"/>
    <x v="517"/>
    <n v="7.7"/>
    <d v="2019-03-26T00:00:00"/>
    <n v="3"/>
    <n v="10"/>
    <x v="27"/>
  </r>
  <r>
    <s v="451-28-5717"/>
    <x v="1"/>
    <s v="Naypyitaw"/>
    <x v="0"/>
    <x v="0"/>
    <x v="2"/>
    <n v="83.17"/>
    <n v="6"/>
    <n v="24.951000000000001"/>
    <n v="523.971"/>
    <s v="3/20/2019"/>
    <d v="1899-12-30T11:23:00"/>
    <x v="1"/>
    <n v="499.02"/>
    <n v="4.7619047620000003"/>
    <x v="518"/>
    <n v="7.3"/>
    <d v="2019-03-20T00:00:00"/>
    <n v="3"/>
    <n v="11"/>
    <x v="7"/>
  </r>
  <r>
    <s v="609-81-8548"/>
    <x v="0"/>
    <s v="Yangon"/>
    <x v="0"/>
    <x v="0"/>
    <x v="2"/>
    <n v="37.44"/>
    <n v="6"/>
    <n v="11.231999999999999"/>
    <n v="235.87200000000001"/>
    <d v="2019-06-02T00:00:00"/>
    <d v="1899-12-30T13:55:00"/>
    <x v="2"/>
    <n v="224.64"/>
    <n v="4.7619047620000003"/>
    <x v="519"/>
    <n v="5.9"/>
    <d v="2019-02-06T00:00:00"/>
    <n v="2"/>
    <n v="13"/>
    <x v="20"/>
  </r>
  <r>
    <s v="133-14-7229"/>
    <x v="1"/>
    <s v="Naypyitaw"/>
    <x v="1"/>
    <x v="1"/>
    <x v="0"/>
    <n v="62.87"/>
    <n v="2"/>
    <n v="6.2869999999999999"/>
    <n v="132.02699999999999"/>
    <d v="2019-01-01T00:00:00"/>
    <d v="1899-12-30T11:43:00"/>
    <x v="1"/>
    <n v="125.74"/>
    <n v="4.7619047620000003"/>
    <x v="520"/>
    <n v="5"/>
    <d v="2019-01-01T00:00:00"/>
    <n v="1"/>
    <n v="11"/>
    <x v="15"/>
  </r>
  <r>
    <s v="534-01-4457"/>
    <x v="0"/>
    <s v="Yangon"/>
    <x v="1"/>
    <x v="1"/>
    <x v="4"/>
    <n v="81.709999999999994"/>
    <n v="6"/>
    <n v="24.513000000000002"/>
    <n v="514.77300000000002"/>
    <s v="1/27/2019"/>
    <d v="1899-12-30T14:36:00"/>
    <x v="2"/>
    <n v="490.26"/>
    <n v="4.7619047620000003"/>
    <x v="521"/>
    <n v="8"/>
    <d v="2019-01-27T00:00:00"/>
    <n v="1"/>
    <n v="14"/>
    <x v="3"/>
  </r>
  <r>
    <s v="719-89-8991"/>
    <x v="0"/>
    <s v="Yangon"/>
    <x v="0"/>
    <x v="0"/>
    <x v="3"/>
    <n v="91.41"/>
    <n v="5"/>
    <n v="22.852499999999999"/>
    <n v="479.90249999999997"/>
    <s v="2/25/2019"/>
    <d v="1899-12-30T16:03:00"/>
    <x v="0"/>
    <n v="457.05"/>
    <n v="4.7619047620000003"/>
    <x v="522"/>
    <n v="7.1"/>
    <d v="2019-02-25T00:00:00"/>
    <n v="2"/>
    <n v="16"/>
    <x v="4"/>
  </r>
  <r>
    <s v="286-62-6248"/>
    <x v="2"/>
    <s v="Mandalay"/>
    <x v="1"/>
    <x v="1"/>
    <x v="5"/>
    <n v="39.21"/>
    <n v="4"/>
    <n v="7.8419999999999996"/>
    <n v="164.68199999999999"/>
    <s v="1/16/2019"/>
    <d v="1899-12-30T20:03:00"/>
    <x v="2"/>
    <n v="156.84"/>
    <n v="4.7619047620000003"/>
    <x v="523"/>
    <n v="9"/>
    <d v="2019-01-16T00:00:00"/>
    <n v="1"/>
    <n v="20"/>
    <x v="23"/>
  </r>
  <r>
    <s v="339-38-9982"/>
    <x v="2"/>
    <s v="Mandalay"/>
    <x v="0"/>
    <x v="1"/>
    <x v="5"/>
    <n v="59.86"/>
    <n v="2"/>
    <n v="5.9859999999999998"/>
    <n v="125.706"/>
    <s v="1/13/2019"/>
    <d v="1899-12-30T14:55:00"/>
    <x v="0"/>
    <n v="119.72"/>
    <n v="4.7619047620000003"/>
    <x v="524"/>
    <n v="6.7"/>
    <d v="2019-01-13T00:00:00"/>
    <n v="1"/>
    <n v="14"/>
    <x v="26"/>
  </r>
  <r>
    <s v="827-44-5872"/>
    <x v="2"/>
    <s v="Mandalay"/>
    <x v="0"/>
    <x v="0"/>
    <x v="4"/>
    <n v="54.36"/>
    <n v="10"/>
    <n v="27.18"/>
    <n v="570.78"/>
    <d v="2019-07-02T00:00:00"/>
    <d v="1899-12-30T11:28:00"/>
    <x v="2"/>
    <n v="543.6"/>
    <n v="4.7619047620000003"/>
    <x v="525"/>
    <n v="6.1"/>
    <d v="2019-02-07T00:00:00"/>
    <n v="2"/>
    <n v="11"/>
    <x v="11"/>
  </r>
  <r>
    <s v="827-77-7633"/>
    <x v="0"/>
    <s v="Yangon"/>
    <x v="1"/>
    <x v="1"/>
    <x v="3"/>
    <n v="98.09"/>
    <n v="9"/>
    <n v="44.140500000000003"/>
    <n v="926.95050000000003"/>
    <s v="2/17/2019"/>
    <d v="1899-12-30T19:41:00"/>
    <x v="1"/>
    <n v="882.81"/>
    <n v="4.7619047620000003"/>
    <x v="526"/>
    <n v="9.3000000000000007"/>
    <d v="2019-02-17T00:00:00"/>
    <n v="2"/>
    <n v="19"/>
    <x v="17"/>
  </r>
  <r>
    <s v="287-83-1405"/>
    <x v="0"/>
    <s v="Yangon"/>
    <x v="1"/>
    <x v="1"/>
    <x v="0"/>
    <n v="25.43"/>
    <n v="6"/>
    <n v="7.6289999999999996"/>
    <n v="160.209"/>
    <d v="2019-12-02T00:00:00"/>
    <d v="1899-12-30T19:01:00"/>
    <x v="0"/>
    <n v="152.58000000000001"/>
    <n v="4.7619047620000003"/>
    <x v="527"/>
    <n v="7"/>
    <d v="2019-02-12T00:00:00"/>
    <n v="2"/>
    <n v="19"/>
    <x v="10"/>
  </r>
  <r>
    <s v="435-13-4908"/>
    <x v="0"/>
    <s v="Yangon"/>
    <x v="0"/>
    <x v="1"/>
    <x v="5"/>
    <n v="86.68"/>
    <n v="8"/>
    <n v="34.671999999999997"/>
    <n v="728.11199999999997"/>
    <s v="1/24/2019"/>
    <d v="1899-12-30T18:04:00"/>
    <x v="2"/>
    <n v="693.44"/>
    <n v="4.7619047620000003"/>
    <x v="528"/>
    <n v="7.2"/>
    <d v="2019-01-24T00:00:00"/>
    <n v="1"/>
    <n v="18"/>
    <x v="5"/>
  </r>
  <r>
    <s v="857-67-9057"/>
    <x v="2"/>
    <s v="Mandalay"/>
    <x v="1"/>
    <x v="1"/>
    <x v="1"/>
    <n v="22.95"/>
    <n v="10"/>
    <n v="11.475"/>
    <n v="240.97499999999999"/>
    <d v="2019-06-02T00:00:00"/>
    <d v="1899-12-30T19:20:00"/>
    <x v="0"/>
    <n v="229.5"/>
    <n v="4.7619047620000003"/>
    <x v="529"/>
    <n v="8.1999999999999993"/>
    <d v="2019-02-06T00:00:00"/>
    <n v="2"/>
    <n v="19"/>
    <x v="20"/>
  </r>
  <r>
    <s v="236-27-1144"/>
    <x v="1"/>
    <s v="Naypyitaw"/>
    <x v="1"/>
    <x v="0"/>
    <x v="4"/>
    <n v="16.309999999999999"/>
    <n v="9"/>
    <n v="7.3395000000000001"/>
    <n v="154.12950000000001"/>
    <s v="3/26/2019"/>
    <d v="1899-12-30T10:31:00"/>
    <x v="0"/>
    <n v="146.79"/>
    <n v="4.7619047620000003"/>
    <x v="530"/>
    <n v="8.4"/>
    <d v="2019-03-26T00:00:00"/>
    <n v="3"/>
    <n v="10"/>
    <x v="27"/>
  </r>
  <r>
    <s v="892-05-6689"/>
    <x v="0"/>
    <s v="Yangon"/>
    <x v="1"/>
    <x v="0"/>
    <x v="2"/>
    <n v="28.32"/>
    <n v="5"/>
    <n v="7.08"/>
    <n v="148.68"/>
    <d v="2019-11-03T00:00:00"/>
    <d v="1899-12-30T13:28:00"/>
    <x v="0"/>
    <n v="141.6"/>
    <n v="4.7619047620000003"/>
    <x v="531"/>
    <n v="6.2"/>
    <d v="2019-03-11T00:00:00"/>
    <n v="3"/>
    <n v="13"/>
    <x v="14"/>
  </r>
  <r>
    <s v="583-41-4548"/>
    <x v="1"/>
    <s v="Naypyitaw"/>
    <x v="1"/>
    <x v="1"/>
    <x v="2"/>
    <n v="16.670000000000002"/>
    <n v="7"/>
    <n v="5.8345000000000002"/>
    <n v="122.5245"/>
    <d v="2019-07-02T00:00:00"/>
    <d v="1899-12-30T11:36:00"/>
    <x v="0"/>
    <n v="116.69"/>
    <n v="4.7619047620000003"/>
    <x v="532"/>
    <n v="7.4"/>
    <d v="2019-02-07T00:00:00"/>
    <n v="2"/>
    <n v="11"/>
    <x v="11"/>
  </r>
  <r>
    <s v="339-12-4827"/>
    <x v="2"/>
    <s v="Mandalay"/>
    <x v="0"/>
    <x v="0"/>
    <x v="5"/>
    <n v="73.959999999999994"/>
    <n v="1"/>
    <n v="3.698"/>
    <n v="77.658000000000001"/>
    <d v="2019-05-01T00:00:00"/>
    <d v="1899-12-30T11:32:00"/>
    <x v="2"/>
    <n v="73.959999999999994"/>
    <n v="4.7619047620000003"/>
    <x v="533"/>
    <n v="5"/>
    <d v="2019-01-05T00:00:00"/>
    <n v="1"/>
    <n v="11"/>
    <x v="0"/>
  </r>
  <r>
    <s v="643-38-7867"/>
    <x v="0"/>
    <s v="Yangon"/>
    <x v="1"/>
    <x v="1"/>
    <x v="2"/>
    <n v="97.94"/>
    <n v="1"/>
    <n v="4.8970000000000002"/>
    <n v="102.837"/>
    <d v="2019-07-03T00:00:00"/>
    <d v="1899-12-30T11:44:00"/>
    <x v="0"/>
    <n v="97.94"/>
    <n v="4.7619047620000003"/>
    <x v="534"/>
    <n v="6.9"/>
    <d v="2019-03-07T00:00:00"/>
    <n v="3"/>
    <n v="11"/>
    <x v="11"/>
  </r>
  <r>
    <s v="308-81-0538"/>
    <x v="0"/>
    <s v="Yangon"/>
    <x v="1"/>
    <x v="0"/>
    <x v="5"/>
    <n v="73.05"/>
    <n v="4"/>
    <n v="14.61"/>
    <n v="306.81"/>
    <s v="2/25/2019"/>
    <d v="1899-12-30T17:16:00"/>
    <x v="2"/>
    <n v="292.2"/>
    <n v="4.7619047620000003"/>
    <x v="535"/>
    <n v="4.9000000000000004"/>
    <d v="2019-02-25T00:00:00"/>
    <n v="2"/>
    <n v="17"/>
    <x v="4"/>
  </r>
  <r>
    <s v="358-88-9262"/>
    <x v="1"/>
    <s v="Naypyitaw"/>
    <x v="0"/>
    <x v="0"/>
    <x v="4"/>
    <n v="87.48"/>
    <n v="6"/>
    <n v="26.244"/>
    <n v="551.12400000000002"/>
    <d v="2019-01-02T00:00:00"/>
    <d v="1899-12-30T18:43:00"/>
    <x v="0"/>
    <n v="524.88"/>
    <n v="4.7619047620000003"/>
    <x v="536"/>
    <n v="5.0999999999999996"/>
    <d v="2019-02-01T00:00:00"/>
    <n v="2"/>
    <n v="18"/>
    <x v="15"/>
  </r>
  <r>
    <s v="460-35-4390"/>
    <x v="0"/>
    <s v="Yangon"/>
    <x v="1"/>
    <x v="1"/>
    <x v="2"/>
    <n v="30.68"/>
    <n v="3"/>
    <n v="4.6020000000000003"/>
    <n v="96.641999999999996"/>
    <s v="1/22/2019"/>
    <d v="1899-12-30T11:00:00"/>
    <x v="0"/>
    <n v="92.04"/>
    <n v="4.7619047620000003"/>
    <x v="537"/>
    <n v="9.1"/>
    <d v="2019-01-22T00:00:00"/>
    <n v="1"/>
    <n v="11"/>
    <x v="18"/>
  </r>
  <r>
    <s v="343-87-0864"/>
    <x v="1"/>
    <s v="Naypyitaw"/>
    <x v="0"/>
    <x v="1"/>
    <x v="0"/>
    <n v="75.88"/>
    <n v="1"/>
    <n v="3.794"/>
    <n v="79.674000000000007"/>
    <d v="2019-03-01T00:00:00"/>
    <d v="1899-12-30T10:30:00"/>
    <x v="2"/>
    <n v="75.88"/>
    <n v="4.7619047620000003"/>
    <x v="538"/>
    <n v="7.1"/>
    <d v="2019-01-03T00:00:00"/>
    <n v="1"/>
    <n v="10"/>
    <x v="2"/>
  </r>
  <r>
    <s v="173-50-1108"/>
    <x v="2"/>
    <s v="Mandalay"/>
    <x v="0"/>
    <x v="0"/>
    <x v="3"/>
    <n v="20.18"/>
    <n v="4"/>
    <n v="4.0359999999999996"/>
    <n v="84.756"/>
    <s v="2/13/2019"/>
    <d v="1899-12-30T12:14:00"/>
    <x v="2"/>
    <n v="80.72"/>
    <n v="4.7619047620000003"/>
    <x v="539"/>
    <n v="5"/>
    <d v="2019-02-13T00:00:00"/>
    <n v="2"/>
    <n v="12"/>
    <x v="26"/>
  </r>
  <r>
    <s v="243-47-2663"/>
    <x v="1"/>
    <s v="Naypyitaw"/>
    <x v="0"/>
    <x v="1"/>
    <x v="1"/>
    <n v="18.77"/>
    <n v="6"/>
    <n v="5.6310000000000002"/>
    <n v="118.251"/>
    <s v="1/28/2019"/>
    <d v="1899-12-30T16:43:00"/>
    <x v="2"/>
    <n v="112.62"/>
    <n v="4.7619047620000003"/>
    <x v="540"/>
    <n v="5.5"/>
    <d v="2019-01-28T00:00:00"/>
    <n v="1"/>
    <n v="16"/>
    <x v="19"/>
  </r>
  <r>
    <s v="841-18-8232"/>
    <x v="2"/>
    <s v="Mandalay"/>
    <x v="1"/>
    <x v="0"/>
    <x v="4"/>
    <n v="71.2"/>
    <n v="1"/>
    <n v="3.56"/>
    <n v="74.760000000000005"/>
    <d v="2019-05-01T00:00:00"/>
    <d v="1899-12-30T20:40:00"/>
    <x v="2"/>
    <n v="71.2"/>
    <n v="4.7619047620000003"/>
    <x v="541"/>
    <n v="9.1999999999999993"/>
    <d v="2019-01-05T00:00:00"/>
    <n v="1"/>
    <n v="20"/>
    <x v="0"/>
  </r>
  <r>
    <s v="701-23-5550"/>
    <x v="2"/>
    <s v="Mandalay"/>
    <x v="0"/>
    <x v="1"/>
    <x v="2"/>
    <n v="38.81"/>
    <n v="4"/>
    <n v="7.7619999999999996"/>
    <n v="163.00200000000001"/>
    <s v="3/19/2019"/>
    <d v="1899-12-30T13:40:00"/>
    <x v="0"/>
    <n v="155.24"/>
    <n v="4.7619047620000003"/>
    <x v="542"/>
    <n v="4.9000000000000004"/>
    <d v="2019-03-19T00:00:00"/>
    <n v="3"/>
    <n v="13"/>
    <x v="24"/>
  </r>
  <r>
    <s v="647-50-1224"/>
    <x v="0"/>
    <s v="Yangon"/>
    <x v="1"/>
    <x v="0"/>
    <x v="5"/>
    <n v="29.42"/>
    <n v="10"/>
    <n v="14.71"/>
    <n v="308.91000000000003"/>
    <d v="2019-12-01T00:00:00"/>
    <d v="1899-12-30T16:23:00"/>
    <x v="0"/>
    <n v="294.2"/>
    <n v="4.7619047620000003"/>
    <x v="543"/>
    <n v="8.9"/>
    <d v="2019-01-12T00:00:00"/>
    <n v="1"/>
    <n v="16"/>
    <x v="10"/>
  </r>
  <r>
    <s v="541-48-8554"/>
    <x v="0"/>
    <s v="Yangon"/>
    <x v="1"/>
    <x v="1"/>
    <x v="3"/>
    <n v="60.95"/>
    <n v="9"/>
    <n v="27.427499999999998"/>
    <n v="575.97749999999996"/>
    <d v="2019-07-01T00:00:00"/>
    <d v="1899-12-30T12:08:00"/>
    <x v="2"/>
    <n v="548.54999999999995"/>
    <n v="4.7619047620000003"/>
    <x v="544"/>
    <n v="6"/>
    <d v="2019-01-07T00:00:00"/>
    <n v="1"/>
    <n v="12"/>
    <x v="11"/>
  </r>
  <r>
    <s v="539-21-7227"/>
    <x v="2"/>
    <s v="Mandalay"/>
    <x v="1"/>
    <x v="0"/>
    <x v="3"/>
    <n v="51.54"/>
    <n v="5"/>
    <n v="12.885"/>
    <n v="270.58499999999998"/>
    <s v="1/26/2019"/>
    <d v="1899-12-30T17:45:00"/>
    <x v="1"/>
    <n v="257.7"/>
    <n v="4.7619047620000003"/>
    <x v="545"/>
    <n v="4.2"/>
    <d v="2019-01-26T00:00:00"/>
    <n v="1"/>
    <n v="17"/>
    <x v="27"/>
  </r>
  <r>
    <s v="213-32-1216"/>
    <x v="0"/>
    <s v="Yangon"/>
    <x v="1"/>
    <x v="0"/>
    <x v="1"/>
    <n v="66.06"/>
    <n v="6"/>
    <n v="19.818000000000001"/>
    <n v="416.178"/>
    <s v="1/23/2019"/>
    <d v="1899-12-30T10:28:00"/>
    <x v="1"/>
    <n v="396.36"/>
    <n v="4.7619047620000003"/>
    <x v="546"/>
    <n v="7.3"/>
    <d v="2019-01-23T00:00:00"/>
    <n v="1"/>
    <n v="10"/>
    <x v="21"/>
  </r>
  <r>
    <s v="747-58-7183"/>
    <x v="2"/>
    <s v="Mandalay"/>
    <x v="1"/>
    <x v="1"/>
    <x v="5"/>
    <n v="57.27"/>
    <n v="3"/>
    <n v="8.5905000000000005"/>
    <n v="180.40049999999999"/>
    <d v="2019-09-02T00:00:00"/>
    <d v="1899-12-30T20:31:00"/>
    <x v="0"/>
    <n v="171.81"/>
    <n v="4.7619047620000003"/>
    <x v="547"/>
    <n v="6.5"/>
    <d v="2019-02-09T00:00:00"/>
    <n v="2"/>
    <n v="20"/>
    <x v="9"/>
  </r>
  <r>
    <s v="582-52-8065"/>
    <x v="2"/>
    <s v="Mandalay"/>
    <x v="1"/>
    <x v="0"/>
    <x v="5"/>
    <n v="54.31"/>
    <n v="9"/>
    <n v="24.439499999999999"/>
    <n v="513.22950000000003"/>
    <s v="2/22/2019"/>
    <d v="1899-12-30T10:49:00"/>
    <x v="1"/>
    <n v="488.79"/>
    <n v="4.7619047620000003"/>
    <x v="548"/>
    <n v="8.9"/>
    <d v="2019-02-22T00:00:00"/>
    <n v="2"/>
    <n v="10"/>
    <x v="18"/>
  </r>
  <r>
    <s v="210-57-1719"/>
    <x v="2"/>
    <s v="Mandalay"/>
    <x v="1"/>
    <x v="0"/>
    <x v="0"/>
    <n v="58.24"/>
    <n v="9"/>
    <n v="26.207999999999998"/>
    <n v="550.36800000000005"/>
    <d v="2019-05-02T00:00:00"/>
    <d v="1899-12-30T12:34:00"/>
    <x v="1"/>
    <n v="524.16"/>
    <n v="4.7619047620000003"/>
    <x v="549"/>
    <n v="9.6999999999999993"/>
    <d v="2019-02-05T00:00:00"/>
    <n v="2"/>
    <n v="12"/>
    <x v="0"/>
  </r>
  <r>
    <s v="399-69-4630"/>
    <x v="1"/>
    <s v="Naypyitaw"/>
    <x v="1"/>
    <x v="1"/>
    <x v="1"/>
    <n v="22.21"/>
    <n v="6"/>
    <n v="6.6630000000000003"/>
    <n v="139.923"/>
    <d v="2019-07-03T00:00:00"/>
    <d v="1899-12-30T10:23:00"/>
    <x v="2"/>
    <n v="133.26"/>
    <n v="4.7619047620000003"/>
    <x v="550"/>
    <n v="8.6"/>
    <d v="2019-03-07T00:00:00"/>
    <n v="3"/>
    <n v="10"/>
    <x v="11"/>
  </r>
  <r>
    <s v="134-75-2619"/>
    <x v="0"/>
    <s v="Yangon"/>
    <x v="0"/>
    <x v="1"/>
    <x v="1"/>
    <n v="19.32"/>
    <n v="7"/>
    <n v="6.7619999999999996"/>
    <n v="142.00200000000001"/>
    <s v="3/25/2019"/>
    <d v="1899-12-30T18:51:00"/>
    <x v="1"/>
    <n v="135.24"/>
    <n v="4.7619047620000003"/>
    <x v="551"/>
    <n v="6.9"/>
    <d v="2019-03-25T00:00:00"/>
    <n v="3"/>
    <n v="18"/>
    <x v="4"/>
  </r>
  <r>
    <s v="356-44-8813"/>
    <x v="2"/>
    <s v="Mandalay"/>
    <x v="1"/>
    <x v="1"/>
    <x v="2"/>
    <n v="37.479999999999997"/>
    <n v="3"/>
    <n v="5.6219999999999999"/>
    <n v="118.062"/>
    <s v="1/20/2019"/>
    <d v="1899-12-30T13:45:00"/>
    <x v="2"/>
    <n v="112.44"/>
    <n v="4.7619047620000003"/>
    <x v="552"/>
    <n v="7.7"/>
    <d v="2019-01-20T00:00:00"/>
    <n v="1"/>
    <n v="13"/>
    <x v="7"/>
  </r>
  <r>
    <s v="198-66-9832"/>
    <x v="2"/>
    <s v="Mandalay"/>
    <x v="0"/>
    <x v="0"/>
    <x v="5"/>
    <n v="72.040000000000006"/>
    <n v="2"/>
    <n v="7.2039999999999997"/>
    <n v="151.28399999999999"/>
    <d v="2019-04-02T00:00:00"/>
    <d v="1899-12-30T19:38:00"/>
    <x v="1"/>
    <n v="144.08000000000001"/>
    <n v="4.7619047620000003"/>
    <x v="553"/>
    <n v="9.5"/>
    <d v="2019-02-04T00:00:00"/>
    <n v="2"/>
    <n v="19"/>
    <x v="22"/>
  </r>
  <r>
    <s v="283-26-5248"/>
    <x v="1"/>
    <s v="Naypyitaw"/>
    <x v="0"/>
    <x v="0"/>
    <x v="4"/>
    <n v="98.52"/>
    <n v="10"/>
    <n v="49.26"/>
    <n v="1034.46"/>
    <s v="1/30/2019"/>
    <d v="1899-12-30T20:23:00"/>
    <x v="0"/>
    <n v="985.2"/>
    <n v="4.7619047620000003"/>
    <x v="554"/>
    <n v="4.5"/>
    <d v="2019-01-30T00:00:00"/>
    <n v="1"/>
    <n v="20"/>
    <x v="29"/>
  </r>
  <r>
    <s v="712-39-0363"/>
    <x v="0"/>
    <s v="Yangon"/>
    <x v="0"/>
    <x v="1"/>
    <x v="4"/>
    <n v="41.66"/>
    <n v="6"/>
    <n v="12.497999999999999"/>
    <n v="262.45800000000003"/>
    <d v="2019-02-01T00:00:00"/>
    <d v="1899-12-30T15:24:00"/>
    <x v="0"/>
    <n v="249.96"/>
    <n v="4.7619047620000003"/>
    <x v="555"/>
    <n v="5.6"/>
    <d v="2019-01-02T00:00:00"/>
    <n v="1"/>
    <n v="15"/>
    <x v="8"/>
  </r>
  <r>
    <s v="218-59-9410"/>
    <x v="0"/>
    <s v="Yangon"/>
    <x v="0"/>
    <x v="0"/>
    <x v="2"/>
    <n v="72.42"/>
    <n v="3"/>
    <n v="10.863"/>
    <n v="228.12299999999999"/>
    <s v="3/29/2019"/>
    <d v="1899-12-30T16:54:00"/>
    <x v="0"/>
    <n v="217.26"/>
    <n v="4.7619047620000003"/>
    <x v="556"/>
    <n v="8.1999999999999993"/>
    <d v="2019-03-29T00:00:00"/>
    <n v="3"/>
    <n v="16"/>
    <x v="12"/>
  </r>
  <r>
    <s v="174-75-0888"/>
    <x v="2"/>
    <s v="Mandalay"/>
    <x v="1"/>
    <x v="1"/>
    <x v="1"/>
    <n v="21.58"/>
    <n v="9"/>
    <n v="9.7110000000000003"/>
    <n v="203.93100000000001"/>
    <s v="3/14/2019"/>
    <d v="1899-12-30T12:32:00"/>
    <x v="1"/>
    <n v="194.22"/>
    <n v="4.7619047620000003"/>
    <x v="557"/>
    <n v="7.3"/>
    <d v="2019-03-14T00:00:00"/>
    <n v="3"/>
    <n v="12"/>
    <x v="25"/>
  </r>
  <r>
    <s v="866-99-7614"/>
    <x v="1"/>
    <s v="Naypyitaw"/>
    <x v="1"/>
    <x v="1"/>
    <x v="4"/>
    <n v="89.2"/>
    <n v="10"/>
    <n v="44.6"/>
    <n v="936.6"/>
    <d v="2019-11-02T00:00:00"/>
    <d v="1899-12-30T15:42:00"/>
    <x v="2"/>
    <n v="892"/>
    <n v="4.7619047620000003"/>
    <x v="558"/>
    <n v="4.4000000000000004"/>
    <d v="2019-02-11T00:00:00"/>
    <n v="2"/>
    <n v="15"/>
    <x v="14"/>
  </r>
  <r>
    <s v="134-54-4720"/>
    <x v="2"/>
    <s v="Mandalay"/>
    <x v="1"/>
    <x v="0"/>
    <x v="1"/>
    <n v="42.42"/>
    <n v="8"/>
    <n v="16.968"/>
    <n v="356.32799999999997"/>
    <s v="1/30/2019"/>
    <d v="1899-12-30T13:58:00"/>
    <x v="0"/>
    <n v="339.36"/>
    <n v="4.7619047620000003"/>
    <x v="559"/>
    <n v="5.7"/>
    <d v="2019-01-30T00:00:00"/>
    <n v="1"/>
    <n v="13"/>
    <x v="29"/>
  </r>
  <r>
    <s v="760-90-2357"/>
    <x v="0"/>
    <s v="Yangon"/>
    <x v="0"/>
    <x v="1"/>
    <x v="1"/>
    <n v="74.510000000000005"/>
    <n v="6"/>
    <n v="22.353000000000002"/>
    <n v="469.41300000000001"/>
    <s v="3/20/2019"/>
    <d v="1899-12-30T15:08:00"/>
    <x v="0"/>
    <n v="447.06"/>
    <n v="4.7619047620000003"/>
    <x v="560"/>
    <n v="5"/>
    <d v="2019-03-20T00:00:00"/>
    <n v="3"/>
    <n v="15"/>
    <x v="7"/>
  </r>
  <r>
    <s v="514-37-2845"/>
    <x v="2"/>
    <s v="Mandalay"/>
    <x v="1"/>
    <x v="1"/>
    <x v="5"/>
    <n v="99.25"/>
    <n v="2"/>
    <n v="9.9250000000000007"/>
    <n v="208.42500000000001"/>
    <s v="3/20/2019"/>
    <d v="1899-12-30T13:02:00"/>
    <x v="1"/>
    <n v="198.5"/>
    <n v="4.7619047620000003"/>
    <x v="561"/>
    <n v="9"/>
    <d v="2019-03-20T00:00:00"/>
    <n v="3"/>
    <n v="13"/>
    <x v="7"/>
  </r>
  <r>
    <s v="698-98-5964"/>
    <x v="0"/>
    <s v="Yangon"/>
    <x v="1"/>
    <x v="0"/>
    <x v="4"/>
    <n v="81.209999999999994"/>
    <n v="10"/>
    <n v="40.604999999999997"/>
    <n v="852.70500000000004"/>
    <s v="1/17/2019"/>
    <d v="1899-12-30T13:01:00"/>
    <x v="2"/>
    <n v="812.1"/>
    <n v="4.7619047620000003"/>
    <x v="562"/>
    <n v="6.3"/>
    <d v="2019-01-17T00:00:00"/>
    <n v="1"/>
    <n v="13"/>
    <x v="17"/>
  </r>
  <r>
    <s v="718-57-9773"/>
    <x v="1"/>
    <s v="Naypyitaw"/>
    <x v="1"/>
    <x v="0"/>
    <x v="3"/>
    <n v="49.33"/>
    <n v="10"/>
    <n v="24.664999999999999"/>
    <n v="517.96500000000003"/>
    <d v="2019-03-02T00:00:00"/>
    <d v="1899-12-30T16:40:00"/>
    <x v="2"/>
    <n v="493.3"/>
    <n v="4.7619047620000003"/>
    <x v="563"/>
    <n v="9.4"/>
    <d v="2019-02-03T00:00:00"/>
    <n v="2"/>
    <n v="16"/>
    <x v="2"/>
  </r>
  <r>
    <s v="651-88-7328"/>
    <x v="0"/>
    <s v="Yangon"/>
    <x v="1"/>
    <x v="0"/>
    <x v="5"/>
    <n v="65.739999999999995"/>
    <n v="9"/>
    <n v="29.582999999999998"/>
    <n v="621.24300000000005"/>
    <d v="2019-01-01T00:00:00"/>
    <d v="1899-12-30T13:55:00"/>
    <x v="1"/>
    <n v="591.66"/>
    <n v="4.7619047620000003"/>
    <x v="564"/>
    <n v="7.7"/>
    <d v="2019-01-01T00:00:00"/>
    <n v="1"/>
    <n v="13"/>
    <x v="15"/>
  </r>
  <r>
    <s v="241-11-2261"/>
    <x v="2"/>
    <s v="Mandalay"/>
    <x v="1"/>
    <x v="0"/>
    <x v="5"/>
    <n v="79.86"/>
    <n v="7"/>
    <n v="27.951000000000001"/>
    <n v="586.971"/>
    <d v="2019-10-01T00:00:00"/>
    <d v="1899-12-30T10:33:00"/>
    <x v="2"/>
    <n v="559.02"/>
    <n v="4.7619047620000003"/>
    <x v="565"/>
    <n v="5.5"/>
    <d v="2019-01-10T00:00:00"/>
    <n v="1"/>
    <n v="10"/>
    <x v="6"/>
  </r>
  <r>
    <s v="408-26-9866"/>
    <x v="1"/>
    <s v="Naypyitaw"/>
    <x v="1"/>
    <x v="0"/>
    <x v="3"/>
    <n v="73.98"/>
    <n v="7"/>
    <n v="25.893000000000001"/>
    <n v="543.75300000000004"/>
    <d v="2019-02-03T00:00:00"/>
    <d v="1899-12-30T16:42:00"/>
    <x v="0"/>
    <n v="517.86"/>
    <n v="4.7619047620000003"/>
    <x v="566"/>
    <n v="4.0999999999999996"/>
    <d v="2019-03-02T00:00:00"/>
    <n v="3"/>
    <n v="16"/>
    <x v="8"/>
  </r>
  <r>
    <s v="834-83-1826"/>
    <x v="2"/>
    <s v="Mandalay"/>
    <x v="0"/>
    <x v="0"/>
    <x v="2"/>
    <n v="82.04"/>
    <n v="5"/>
    <n v="20.51"/>
    <n v="430.71"/>
    <s v="2/25/2019"/>
    <d v="1899-12-30T17:16:00"/>
    <x v="2"/>
    <n v="410.2"/>
    <n v="4.7619047620000003"/>
    <x v="567"/>
    <n v="7.6"/>
    <d v="2019-02-25T00:00:00"/>
    <n v="2"/>
    <n v="17"/>
    <x v="4"/>
  </r>
  <r>
    <s v="343-61-3544"/>
    <x v="2"/>
    <s v="Mandalay"/>
    <x v="0"/>
    <x v="1"/>
    <x v="3"/>
    <n v="26.67"/>
    <n v="10"/>
    <n v="13.335000000000001"/>
    <n v="280.03500000000003"/>
    <s v="1/29/2019"/>
    <d v="1899-12-30T11:48:00"/>
    <x v="1"/>
    <n v="266.7"/>
    <n v="4.7619047620000003"/>
    <x v="568"/>
    <n v="8.6"/>
    <d v="2019-01-29T00:00:00"/>
    <n v="1"/>
    <n v="11"/>
    <x v="12"/>
  </r>
  <r>
    <s v="239-48-4278"/>
    <x v="0"/>
    <s v="Yangon"/>
    <x v="0"/>
    <x v="1"/>
    <x v="4"/>
    <n v="10.130000000000001"/>
    <n v="7"/>
    <n v="3.5455000000000001"/>
    <n v="74.455500000000001"/>
    <d v="2019-10-03T00:00:00"/>
    <d v="1899-12-30T19:35:00"/>
    <x v="0"/>
    <n v="70.91"/>
    <n v="4.7619047620000003"/>
    <x v="569"/>
    <n v="8.3000000000000007"/>
    <d v="2019-03-10T00:00:00"/>
    <n v="3"/>
    <n v="19"/>
    <x v="6"/>
  </r>
  <r>
    <s v="355-34-6244"/>
    <x v="2"/>
    <s v="Mandalay"/>
    <x v="1"/>
    <x v="1"/>
    <x v="4"/>
    <n v="72.39"/>
    <n v="2"/>
    <n v="7.2389999999999999"/>
    <n v="152.01900000000001"/>
    <s v="1/13/2019"/>
    <d v="1899-12-30T19:55:00"/>
    <x v="2"/>
    <n v="144.78"/>
    <n v="4.7619047620000003"/>
    <x v="570"/>
    <n v="8.1"/>
    <d v="2019-01-13T00:00:00"/>
    <n v="1"/>
    <n v="19"/>
    <x v="26"/>
  </r>
  <r>
    <s v="550-84-8664"/>
    <x v="0"/>
    <s v="Yangon"/>
    <x v="1"/>
    <x v="1"/>
    <x v="3"/>
    <n v="85.91"/>
    <n v="5"/>
    <n v="21.477499999999999"/>
    <n v="451.02749999999997"/>
    <s v="3/22/2019"/>
    <d v="1899-12-30T14:33:00"/>
    <x v="2"/>
    <n v="429.55"/>
    <n v="4.7619047620000003"/>
    <x v="571"/>
    <n v="8.6"/>
    <d v="2019-03-22T00:00:00"/>
    <n v="3"/>
    <n v="14"/>
    <x v="18"/>
  </r>
  <r>
    <s v="339-96-8318"/>
    <x v="2"/>
    <s v="Mandalay"/>
    <x v="0"/>
    <x v="1"/>
    <x v="5"/>
    <n v="81.31"/>
    <n v="7"/>
    <n v="28.458500000000001"/>
    <n v="597.62850000000003"/>
    <d v="2019-01-03T00:00:00"/>
    <d v="1899-12-30T19:49:00"/>
    <x v="0"/>
    <n v="569.16999999999996"/>
    <n v="4.7619047620000003"/>
    <x v="572"/>
    <n v="6.3"/>
    <d v="2019-03-01T00:00:00"/>
    <n v="3"/>
    <n v="19"/>
    <x v="15"/>
  </r>
  <r>
    <s v="458-61-0011"/>
    <x v="2"/>
    <s v="Mandalay"/>
    <x v="1"/>
    <x v="1"/>
    <x v="4"/>
    <n v="60.3"/>
    <n v="4"/>
    <n v="12.06"/>
    <n v="253.26"/>
    <s v="2/20/2019"/>
    <d v="1899-12-30T18:43:00"/>
    <x v="1"/>
    <n v="241.2"/>
    <n v="4.7619047620000003"/>
    <x v="573"/>
    <n v="5.8"/>
    <d v="2019-02-20T00:00:00"/>
    <n v="2"/>
    <n v="18"/>
    <x v="7"/>
  </r>
  <r>
    <s v="592-34-6155"/>
    <x v="1"/>
    <s v="Naypyitaw"/>
    <x v="1"/>
    <x v="1"/>
    <x v="4"/>
    <n v="31.77"/>
    <n v="4"/>
    <n v="6.3540000000000001"/>
    <n v="133.434"/>
    <s v="1/14/2019"/>
    <d v="1899-12-30T14:43:00"/>
    <x v="0"/>
    <n v="127.08"/>
    <n v="4.7619047620000003"/>
    <x v="574"/>
    <n v="6.2"/>
    <d v="2019-01-14T00:00:00"/>
    <n v="1"/>
    <n v="14"/>
    <x v="25"/>
  </r>
  <r>
    <s v="797-88-0493"/>
    <x v="0"/>
    <s v="Yangon"/>
    <x v="1"/>
    <x v="0"/>
    <x v="0"/>
    <n v="64.27"/>
    <n v="4"/>
    <n v="12.853999999999999"/>
    <n v="269.93400000000003"/>
    <s v="3/26/2019"/>
    <d v="1899-12-30T13:54:00"/>
    <x v="1"/>
    <n v="257.08"/>
    <n v="4.7619047620000003"/>
    <x v="575"/>
    <n v="7.7"/>
    <d v="2019-03-26T00:00:00"/>
    <n v="3"/>
    <n v="13"/>
    <x v="27"/>
  </r>
  <r>
    <s v="207-73-1363"/>
    <x v="2"/>
    <s v="Mandalay"/>
    <x v="1"/>
    <x v="1"/>
    <x v="0"/>
    <n v="69.510000000000005"/>
    <n v="2"/>
    <n v="6.9509999999999996"/>
    <n v="145.971"/>
    <d v="2019-01-03T00:00:00"/>
    <d v="1899-12-30T12:15:00"/>
    <x v="0"/>
    <n v="139.02000000000001"/>
    <n v="4.7619047620000003"/>
    <x v="576"/>
    <n v="8.1"/>
    <d v="2019-03-01T00:00:00"/>
    <n v="3"/>
    <n v="12"/>
    <x v="15"/>
  </r>
  <r>
    <s v="390-31-6381"/>
    <x v="1"/>
    <s v="Naypyitaw"/>
    <x v="1"/>
    <x v="1"/>
    <x v="4"/>
    <n v="27.22"/>
    <n v="3"/>
    <n v="4.0830000000000002"/>
    <n v="85.742999999999995"/>
    <d v="2019-07-01T00:00:00"/>
    <d v="1899-12-30T12:37:00"/>
    <x v="1"/>
    <n v="81.66"/>
    <n v="4.7619047620000003"/>
    <x v="577"/>
    <n v="7.3"/>
    <d v="2019-01-07T00:00:00"/>
    <n v="1"/>
    <n v="12"/>
    <x v="11"/>
  </r>
  <r>
    <s v="443-82-0585"/>
    <x v="0"/>
    <s v="Yangon"/>
    <x v="0"/>
    <x v="0"/>
    <x v="0"/>
    <n v="77.680000000000007"/>
    <n v="4"/>
    <n v="15.536"/>
    <n v="326.25599999999997"/>
    <d v="2019-01-02T00:00:00"/>
    <d v="1899-12-30T19:54:00"/>
    <x v="1"/>
    <n v="310.72000000000003"/>
    <n v="4.7619047620000003"/>
    <x v="578"/>
    <n v="8.4"/>
    <d v="2019-02-01T00:00:00"/>
    <n v="2"/>
    <n v="19"/>
    <x v="15"/>
  </r>
  <r>
    <s v="339-18-7061"/>
    <x v="1"/>
    <s v="Naypyitaw"/>
    <x v="0"/>
    <x v="0"/>
    <x v="5"/>
    <n v="92.98"/>
    <n v="2"/>
    <n v="9.298"/>
    <n v="195.25800000000001"/>
    <s v="2/13/2019"/>
    <d v="1899-12-30T15:06:00"/>
    <x v="2"/>
    <n v="185.96"/>
    <n v="4.7619047620000003"/>
    <x v="579"/>
    <n v="8"/>
    <d v="2019-02-13T00:00:00"/>
    <n v="2"/>
    <n v="15"/>
    <x v="26"/>
  </r>
  <r>
    <s v="359-90-3665"/>
    <x v="2"/>
    <s v="Mandalay"/>
    <x v="0"/>
    <x v="0"/>
    <x v="5"/>
    <n v="18.079999999999998"/>
    <n v="4"/>
    <n v="3.6160000000000001"/>
    <n v="75.936000000000007"/>
    <s v="1/14/2019"/>
    <d v="1899-12-30T18:03:00"/>
    <x v="2"/>
    <n v="72.319999999999993"/>
    <n v="4.7619047620000003"/>
    <x v="580"/>
    <n v="9.5"/>
    <d v="2019-01-14T00:00:00"/>
    <n v="1"/>
    <n v="18"/>
    <x v="25"/>
  </r>
  <r>
    <s v="375-72-3056"/>
    <x v="2"/>
    <s v="Mandalay"/>
    <x v="1"/>
    <x v="1"/>
    <x v="3"/>
    <n v="63.06"/>
    <n v="3"/>
    <n v="9.4589999999999996"/>
    <n v="198.63900000000001"/>
    <s v="1/19/2019"/>
    <d v="1899-12-30T15:58:00"/>
    <x v="0"/>
    <n v="189.18"/>
    <n v="4.7619047620000003"/>
    <x v="581"/>
    <n v="7"/>
    <d v="2019-01-19T00:00:00"/>
    <n v="1"/>
    <n v="15"/>
    <x v="24"/>
  </r>
  <r>
    <s v="127-47-6963"/>
    <x v="0"/>
    <s v="Yangon"/>
    <x v="1"/>
    <x v="1"/>
    <x v="0"/>
    <n v="51.71"/>
    <n v="4"/>
    <n v="10.342000000000001"/>
    <n v="217.18199999999999"/>
    <d v="2019-09-03T00:00:00"/>
    <d v="1899-12-30T13:53:00"/>
    <x v="2"/>
    <n v="206.84"/>
    <n v="4.7619047620000003"/>
    <x v="582"/>
    <n v="9.8000000000000007"/>
    <d v="2019-03-09T00:00:00"/>
    <n v="3"/>
    <n v="13"/>
    <x v="9"/>
  </r>
  <r>
    <s v="278-86-2735"/>
    <x v="0"/>
    <s v="Yangon"/>
    <x v="1"/>
    <x v="0"/>
    <x v="4"/>
    <n v="52.34"/>
    <n v="3"/>
    <n v="7.851"/>
    <n v="164.87100000000001"/>
    <s v="3/27/2019"/>
    <d v="1899-12-30T14:03:00"/>
    <x v="1"/>
    <n v="157.02000000000001"/>
    <n v="4.7619047620000003"/>
    <x v="583"/>
    <n v="9.1999999999999993"/>
    <d v="2019-03-27T00:00:00"/>
    <n v="3"/>
    <n v="14"/>
    <x v="3"/>
  </r>
  <r>
    <s v="695-28-6250"/>
    <x v="0"/>
    <s v="Yangon"/>
    <x v="1"/>
    <x v="0"/>
    <x v="3"/>
    <n v="43.06"/>
    <n v="5"/>
    <n v="10.765000000000001"/>
    <n v="226.065"/>
    <d v="2019-04-02T00:00:00"/>
    <d v="1899-12-30T16:38:00"/>
    <x v="0"/>
    <n v="215.3"/>
    <n v="4.7619047620000003"/>
    <x v="584"/>
    <n v="7.7"/>
    <d v="2019-02-04T00:00:00"/>
    <n v="2"/>
    <n v="16"/>
    <x v="22"/>
  </r>
  <r>
    <s v="379-17-6588"/>
    <x v="1"/>
    <s v="Naypyitaw"/>
    <x v="1"/>
    <x v="1"/>
    <x v="5"/>
    <n v="59.61"/>
    <n v="10"/>
    <n v="29.805"/>
    <n v="625.90499999999997"/>
    <s v="3/14/2019"/>
    <d v="1899-12-30T11:07:00"/>
    <x v="1"/>
    <n v="596.1"/>
    <n v="4.7619047620000003"/>
    <x v="585"/>
    <n v="5.3"/>
    <d v="2019-03-14T00:00:00"/>
    <n v="3"/>
    <n v="11"/>
    <x v="25"/>
  </r>
  <r>
    <s v="227-50-3718"/>
    <x v="0"/>
    <s v="Yangon"/>
    <x v="1"/>
    <x v="1"/>
    <x v="0"/>
    <n v="14.62"/>
    <n v="5"/>
    <n v="3.6549999999999998"/>
    <n v="76.754999999999995"/>
    <d v="2019-04-03T00:00:00"/>
    <d v="1899-12-30T12:23:00"/>
    <x v="1"/>
    <n v="73.099999999999994"/>
    <n v="4.7619047620000003"/>
    <x v="586"/>
    <n v="4.4000000000000004"/>
    <d v="2019-03-04T00:00:00"/>
    <n v="3"/>
    <n v="12"/>
    <x v="22"/>
  </r>
  <r>
    <s v="302-15-2162"/>
    <x v="1"/>
    <s v="Naypyitaw"/>
    <x v="0"/>
    <x v="1"/>
    <x v="0"/>
    <n v="46.53"/>
    <n v="6"/>
    <n v="13.959"/>
    <n v="293.13900000000001"/>
    <d v="2019-03-03T00:00:00"/>
    <d v="1899-12-30T10:54:00"/>
    <x v="2"/>
    <n v="279.18"/>
    <n v="4.7619047620000003"/>
    <x v="587"/>
    <n v="4.3"/>
    <d v="2019-03-03T00:00:00"/>
    <n v="3"/>
    <n v="10"/>
    <x v="2"/>
  </r>
  <r>
    <s v="788-07-8452"/>
    <x v="1"/>
    <s v="Naypyitaw"/>
    <x v="0"/>
    <x v="0"/>
    <x v="2"/>
    <n v="24.24"/>
    <n v="7"/>
    <n v="8.484"/>
    <n v="178.16399999999999"/>
    <s v="1/27/2019"/>
    <d v="1899-12-30T17:38:00"/>
    <x v="0"/>
    <n v="169.68"/>
    <n v="4.7619047620000003"/>
    <x v="588"/>
    <n v="9.4"/>
    <d v="2019-01-27T00:00:00"/>
    <n v="1"/>
    <n v="17"/>
    <x v="3"/>
  </r>
  <r>
    <s v="560-49-6611"/>
    <x v="0"/>
    <s v="Yangon"/>
    <x v="0"/>
    <x v="0"/>
    <x v="3"/>
    <n v="45.58"/>
    <n v="1"/>
    <n v="2.2789999999999999"/>
    <n v="47.859000000000002"/>
    <d v="2019-07-02T00:00:00"/>
    <d v="1899-12-30T14:13:00"/>
    <x v="1"/>
    <n v="45.58"/>
    <n v="4.7619047620000003"/>
    <x v="589"/>
    <n v="9.8000000000000007"/>
    <d v="2019-02-07T00:00:00"/>
    <n v="2"/>
    <n v="14"/>
    <x v="11"/>
  </r>
  <r>
    <s v="880-35-0356"/>
    <x v="0"/>
    <s v="Yangon"/>
    <x v="0"/>
    <x v="0"/>
    <x v="3"/>
    <n v="75.2"/>
    <n v="3"/>
    <n v="11.28"/>
    <n v="236.88"/>
    <d v="2019-05-02T00:00:00"/>
    <d v="1899-12-30T11:51:00"/>
    <x v="0"/>
    <n v="225.6"/>
    <n v="4.7619047620000003"/>
    <x v="590"/>
    <n v="4.8"/>
    <d v="2019-02-05T00:00:00"/>
    <n v="2"/>
    <n v="11"/>
    <x v="0"/>
  </r>
  <r>
    <s v="585-11-6748"/>
    <x v="2"/>
    <s v="Mandalay"/>
    <x v="0"/>
    <x v="1"/>
    <x v="3"/>
    <n v="96.8"/>
    <n v="3"/>
    <n v="14.52"/>
    <n v="304.92"/>
    <s v="3/15/2019"/>
    <d v="1899-12-30T13:05:00"/>
    <x v="1"/>
    <n v="290.39999999999998"/>
    <n v="4.7619047620000003"/>
    <x v="591"/>
    <n v="5.3"/>
    <d v="2019-03-15T00:00:00"/>
    <n v="3"/>
    <n v="13"/>
    <x v="13"/>
  </r>
  <r>
    <s v="470-31-3286"/>
    <x v="2"/>
    <s v="Mandalay"/>
    <x v="1"/>
    <x v="1"/>
    <x v="0"/>
    <n v="14.82"/>
    <n v="3"/>
    <n v="2.2229999999999999"/>
    <n v="46.683"/>
    <d v="2019-01-03T00:00:00"/>
    <d v="1899-12-30T11:30:00"/>
    <x v="2"/>
    <n v="44.46"/>
    <n v="4.7619047620000003"/>
    <x v="592"/>
    <n v="8.6999999999999993"/>
    <d v="2019-03-01T00:00:00"/>
    <n v="3"/>
    <n v="11"/>
    <x v="15"/>
  </r>
  <r>
    <s v="152-68-2907"/>
    <x v="0"/>
    <s v="Yangon"/>
    <x v="1"/>
    <x v="1"/>
    <x v="4"/>
    <n v="52.2"/>
    <n v="3"/>
    <n v="7.83"/>
    <n v="164.43"/>
    <s v="2/15/2019"/>
    <d v="1899-12-30T13:30:00"/>
    <x v="2"/>
    <n v="156.6"/>
    <n v="4.7619047620000003"/>
    <x v="593"/>
    <n v="9.5"/>
    <d v="2019-02-15T00:00:00"/>
    <n v="2"/>
    <n v="13"/>
    <x v="13"/>
  </r>
  <r>
    <s v="123-35-4896"/>
    <x v="1"/>
    <s v="Naypyitaw"/>
    <x v="1"/>
    <x v="0"/>
    <x v="3"/>
    <n v="46.66"/>
    <n v="9"/>
    <n v="20.997"/>
    <n v="440.93700000000001"/>
    <s v="2/17/2019"/>
    <d v="1899-12-30T19:11:00"/>
    <x v="0"/>
    <n v="419.94"/>
    <n v="4.7619047620000003"/>
    <x v="594"/>
    <n v="5.3"/>
    <d v="2019-02-17T00:00:00"/>
    <n v="2"/>
    <n v="19"/>
    <x v="17"/>
  </r>
  <r>
    <s v="258-69-7810"/>
    <x v="1"/>
    <s v="Naypyitaw"/>
    <x v="1"/>
    <x v="0"/>
    <x v="5"/>
    <n v="36.85"/>
    <n v="5"/>
    <n v="9.2125000000000004"/>
    <n v="193.46250000000001"/>
    <s v="1/26/2019"/>
    <d v="1899-12-30T18:53:00"/>
    <x v="1"/>
    <n v="184.25"/>
    <n v="4.7619047620000003"/>
    <x v="595"/>
    <n v="9.1999999999999993"/>
    <d v="2019-01-26T00:00:00"/>
    <n v="1"/>
    <n v="18"/>
    <x v="27"/>
  </r>
  <r>
    <s v="334-64-2006"/>
    <x v="0"/>
    <s v="Yangon"/>
    <x v="0"/>
    <x v="0"/>
    <x v="2"/>
    <n v="70.319999999999993"/>
    <n v="2"/>
    <n v="7.032"/>
    <n v="147.672"/>
    <s v="3/24/2019"/>
    <d v="1899-12-30T14:22:00"/>
    <x v="0"/>
    <n v="140.63999999999999"/>
    <n v="4.7619047620000003"/>
    <x v="596"/>
    <n v="9.6"/>
    <d v="2019-03-24T00:00:00"/>
    <n v="3"/>
    <n v="14"/>
    <x v="5"/>
  </r>
  <r>
    <s v="219-61-4139"/>
    <x v="1"/>
    <s v="Naypyitaw"/>
    <x v="1"/>
    <x v="1"/>
    <x v="1"/>
    <n v="83.08"/>
    <n v="1"/>
    <n v="4.1539999999999999"/>
    <n v="87.233999999999995"/>
    <s v="1/23/2019"/>
    <d v="1899-12-30T17:16:00"/>
    <x v="0"/>
    <n v="83.08"/>
    <n v="4.7619047620000003"/>
    <x v="451"/>
    <n v="6.4"/>
    <d v="2019-01-23T00:00:00"/>
    <n v="1"/>
    <n v="17"/>
    <x v="21"/>
  </r>
  <r>
    <s v="881-41-7302"/>
    <x v="1"/>
    <s v="Naypyitaw"/>
    <x v="1"/>
    <x v="0"/>
    <x v="5"/>
    <n v="64.989999999999995"/>
    <n v="1"/>
    <n v="3.2494999999999998"/>
    <n v="68.239500000000007"/>
    <s v="1/26/2019"/>
    <d v="1899-12-30T10:06:00"/>
    <x v="2"/>
    <n v="64.989999999999995"/>
    <n v="4.7619047620000003"/>
    <x v="597"/>
    <n v="4.5"/>
    <d v="2019-01-26T00:00:00"/>
    <n v="1"/>
    <n v="10"/>
    <x v="27"/>
  </r>
  <r>
    <s v="373-09-4567"/>
    <x v="1"/>
    <s v="Naypyitaw"/>
    <x v="1"/>
    <x v="1"/>
    <x v="4"/>
    <n v="77.56"/>
    <n v="10"/>
    <n v="38.78"/>
    <n v="814.38"/>
    <s v="3/14/2019"/>
    <d v="1899-12-30T20:35:00"/>
    <x v="0"/>
    <n v="775.6"/>
    <n v="4.7619047620000003"/>
    <x v="598"/>
    <n v="6.9"/>
    <d v="2019-03-14T00:00:00"/>
    <n v="3"/>
    <n v="20"/>
    <x v="25"/>
  </r>
  <r>
    <s v="642-30-6693"/>
    <x v="2"/>
    <s v="Mandalay"/>
    <x v="1"/>
    <x v="0"/>
    <x v="3"/>
    <n v="54.51"/>
    <n v="6"/>
    <n v="16.353000000000002"/>
    <n v="343.41300000000001"/>
    <s v="3/17/2019"/>
    <d v="1899-12-30T13:54:00"/>
    <x v="0"/>
    <n v="327.06"/>
    <n v="4.7619047620000003"/>
    <x v="599"/>
    <n v="7.8"/>
    <d v="2019-03-17T00:00:00"/>
    <n v="3"/>
    <n v="13"/>
    <x v="17"/>
  </r>
  <r>
    <s v="484-22-8230"/>
    <x v="1"/>
    <s v="Naypyitaw"/>
    <x v="0"/>
    <x v="0"/>
    <x v="5"/>
    <n v="51.89"/>
    <n v="7"/>
    <n v="18.1615"/>
    <n v="381.39150000000001"/>
    <d v="2019-08-01T00:00:00"/>
    <d v="1899-12-30T20:08:00"/>
    <x v="1"/>
    <n v="363.23"/>
    <n v="4.7619047620000003"/>
    <x v="600"/>
    <n v="4.5"/>
    <d v="2019-01-08T00:00:00"/>
    <n v="1"/>
    <n v="20"/>
    <x v="1"/>
  </r>
  <r>
    <s v="830-58-2383"/>
    <x v="2"/>
    <s v="Mandalay"/>
    <x v="1"/>
    <x v="1"/>
    <x v="2"/>
    <n v="31.75"/>
    <n v="4"/>
    <n v="6.35"/>
    <n v="133.35"/>
    <d v="2019-08-02T00:00:00"/>
    <d v="1899-12-30T15:26:00"/>
    <x v="1"/>
    <n v="127"/>
    <n v="4.7619047620000003"/>
    <x v="601"/>
    <n v="8.6"/>
    <d v="2019-02-08T00:00:00"/>
    <n v="2"/>
    <n v="15"/>
    <x v="1"/>
  </r>
  <r>
    <s v="559-98-9873"/>
    <x v="0"/>
    <s v="Yangon"/>
    <x v="0"/>
    <x v="0"/>
    <x v="5"/>
    <n v="53.65"/>
    <n v="7"/>
    <n v="18.7775"/>
    <n v="394.32749999999999"/>
    <d v="2019-10-02T00:00:00"/>
    <d v="1899-12-30T12:56:00"/>
    <x v="0"/>
    <n v="375.55"/>
    <n v="4.7619047620000003"/>
    <x v="602"/>
    <n v="5.2"/>
    <d v="2019-02-10T00:00:00"/>
    <n v="2"/>
    <n v="12"/>
    <x v="6"/>
  </r>
  <r>
    <s v="544-32-5024"/>
    <x v="1"/>
    <s v="Naypyitaw"/>
    <x v="0"/>
    <x v="0"/>
    <x v="4"/>
    <n v="49.79"/>
    <n v="4"/>
    <n v="9.9580000000000002"/>
    <n v="209.11799999999999"/>
    <s v="3/28/2019"/>
    <d v="1899-12-30T19:16:00"/>
    <x v="2"/>
    <n v="199.16"/>
    <n v="4.7619047620000003"/>
    <x v="603"/>
    <n v="6.4"/>
    <d v="2019-03-28T00:00:00"/>
    <n v="3"/>
    <n v="19"/>
    <x v="19"/>
  </r>
  <r>
    <s v="318-12-0304"/>
    <x v="0"/>
    <s v="Yangon"/>
    <x v="1"/>
    <x v="1"/>
    <x v="5"/>
    <n v="30.61"/>
    <n v="1"/>
    <n v="1.5305"/>
    <n v="32.140500000000003"/>
    <s v="1/23/2019"/>
    <d v="1899-12-30T12:20:00"/>
    <x v="0"/>
    <n v="30.61"/>
    <n v="4.7619047620000003"/>
    <x v="604"/>
    <n v="5.2"/>
    <d v="2019-01-23T00:00:00"/>
    <n v="1"/>
    <n v="12"/>
    <x v="21"/>
  </r>
  <r>
    <s v="349-97-8902"/>
    <x v="2"/>
    <s v="Mandalay"/>
    <x v="0"/>
    <x v="1"/>
    <x v="4"/>
    <n v="57.89"/>
    <n v="2"/>
    <n v="5.7889999999999997"/>
    <n v="121.569"/>
    <s v="1/17/2019"/>
    <d v="1899-12-30T10:37:00"/>
    <x v="0"/>
    <n v="115.78"/>
    <n v="4.7619047620000003"/>
    <x v="605"/>
    <n v="8.9"/>
    <d v="2019-01-17T00:00:00"/>
    <n v="1"/>
    <n v="10"/>
    <x v="17"/>
  </r>
  <r>
    <s v="421-95-9805"/>
    <x v="0"/>
    <s v="Yangon"/>
    <x v="1"/>
    <x v="0"/>
    <x v="1"/>
    <n v="28.96"/>
    <n v="1"/>
    <n v="1.448"/>
    <n v="30.408000000000001"/>
    <d v="2019-07-02T00:00:00"/>
    <d v="1899-12-30T10:18:00"/>
    <x v="2"/>
    <n v="28.96"/>
    <n v="4.7619047620000003"/>
    <x v="606"/>
    <n v="6.2"/>
    <d v="2019-02-07T00:00:00"/>
    <n v="2"/>
    <n v="10"/>
    <x v="11"/>
  </r>
  <r>
    <s v="277-35-5865"/>
    <x v="1"/>
    <s v="Naypyitaw"/>
    <x v="0"/>
    <x v="0"/>
    <x v="4"/>
    <n v="98.97"/>
    <n v="9"/>
    <n v="44.536499999999997"/>
    <n v="935.26649999999995"/>
    <d v="2019-09-03T00:00:00"/>
    <d v="1899-12-30T11:23:00"/>
    <x v="1"/>
    <n v="890.73"/>
    <n v="4.7619047620000003"/>
    <x v="607"/>
    <n v="6.7"/>
    <d v="2019-03-09T00:00:00"/>
    <n v="3"/>
    <n v="11"/>
    <x v="9"/>
  </r>
  <r>
    <s v="789-23-8625"/>
    <x v="2"/>
    <s v="Mandalay"/>
    <x v="0"/>
    <x v="1"/>
    <x v="5"/>
    <n v="93.22"/>
    <n v="3"/>
    <n v="13.983000000000001"/>
    <n v="293.64299999999997"/>
    <s v="1/24/2019"/>
    <d v="1899-12-30T11:45:00"/>
    <x v="1"/>
    <n v="279.66000000000003"/>
    <n v="4.7619047620000003"/>
    <x v="608"/>
    <n v="7.2"/>
    <d v="2019-01-24T00:00:00"/>
    <n v="1"/>
    <n v="11"/>
    <x v="5"/>
  </r>
  <r>
    <s v="284-54-4231"/>
    <x v="1"/>
    <s v="Naypyitaw"/>
    <x v="0"/>
    <x v="1"/>
    <x v="3"/>
    <n v="80.930000000000007"/>
    <n v="1"/>
    <n v="4.0465"/>
    <n v="84.976500000000001"/>
    <s v="1/19/2019"/>
    <d v="1899-12-30T16:08:00"/>
    <x v="2"/>
    <n v="80.930000000000007"/>
    <n v="4.7619047620000003"/>
    <x v="609"/>
    <n v="9"/>
    <d v="2019-01-19T00:00:00"/>
    <n v="1"/>
    <n v="16"/>
    <x v="24"/>
  </r>
  <r>
    <s v="443-59-0061"/>
    <x v="0"/>
    <s v="Yangon"/>
    <x v="0"/>
    <x v="1"/>
    <x v="4"/>
    <n v="67.45"/>
    <n v="10"/>
    <n v="33.725000000000001"/>
    <n v="708.22500000000002"/>
    <d v="2019-03-02T00:00:00"/>
    <d v="1899-12-30T11:25:00"/>
    <x v="0"/>
    <n v="674.5"/>
    <n v="4.7619047620000003"/>
    <x v="610"/>
    <n v="4.2"/>
    <d v="2019-02-03T00:00:00"/>
    <n v="2"/>
    <n v="11"/>
    <x v="2"/>
  </r>
  <r>
    <s v="509-29-3912"/>
    <x v="0"/>
    <s v="Yangon"/>
    <x v="0"/>
    <x v="0"/>
    <x v="3"/>
    <n v="38.72"/>
    <n v="9"/>
    <n v="17.423999999999999"/>
    <n v="365.904"/>
    <s v="3/20/2019"/>
    <d v="1899-12-30T12:24:00"/>
    <x v="0"/>
    <n v="348.48"/>
    <n v="4.7619047620000003"/>
    <x v="611"/>
    <n v="4.2"/>
    <d v="2019-03-20T00:00:00"/>
    <n v="3"/>
    <n v="12"/>
    <x v="7"/>
  </r>
  <r>
    <s v="327-40-9673"/>
    <x v="2"/>
    <s v="Mandalay"/>
    <x v="0"/>
    <x v="1"/>
    <x v="3"/>
    <n v="72.599999999999994"/>
    <n v="6"/>
    <n v="21.78"/>
    <n v="457.38"/>
    <s v="1/13/2019"/>
    <d v="1899-12-30T19:51:00"/>
    <x v="1"/>
    <n v="435.6"/>
    <n v="4.7619047620000003"/>
    <x v="612"/>
    <n v="6.9"/>
    <d v="2019-01-13T00:00:00"/>
    <n v="1"/>
    <n v="19"/>
    <x v="26"/>
  </r>
  <r>
    <s v="840-19-2096"/>
    <x v="1"/>
    <s v="Naypyitaw"/>
    <x v="0"/>
    <x v="1"/>
    <x v="1"/>
    <n v="87.91"/>
    <n v="5"/>
    <n v="21.977499999999999"/>
    <n v="461.52749999999997"/>
    <s v="3/14/2019"/>
    <d v="1899-12-30T18:10:00"/>
    <x v="0"/>
    <n v="439.55"/>
    <n v="4.7619047620000003"/>
    <x v="613"/>
    <n v="4.4000000000000004"/>
    <d v="2019-03-14T00:00:00"/>
    <n v="3"/>
    <n v="18"/>
    <x v="25"/>
  </r>
  <r>
    <s v="828-46-6863"/>
    <x v="0"/>
    <s v="Yangon"/>
    <x v="0"/>
    <x v="1"/>
    <x v="4"/>
    <n v="98.53"/>
    <n v="6"/>
    <n v="29.559000000000001"/>
    <n v="620.73900000000003"/>
    <s v="1/23/2019"/>
    <d v="1899-12-30T11:22:00"/>
    <x v="2"/>
    <n v="591.17999999999995"/>
    <n v="4.7619047620000003"/>
    <x v="614"/>
    <n v="4"/>
    <d v="2019-01-23T00:00:00"/>
    <n v="1"/>
    <n v="11"/>
    <x v="21"/>
  </r>
  <r>
    <s v="641-96-3695"/>
    <x v="1"/>
    <s v="Naypyitaw"/>
    <x v="0"/>
    <x v="0"/>
    <x v="5"/>
    <n v="43.46"/>
    <n v="6"/>
    <n v="13.038"/>
    <n v="273.798"/>
    <d v="2019-07-02T00:00:00"/>
    <d v="1899-12-30T17:55:00"/>
    <x v="0"/>
    <n v="260.76"/>
    <n v="4.7619047620000003"/>
    <x v="615"/>
    <n v="8.5"/>
    <d v="2019-02-07T00:00:00"/>
    <n v="2"/>
    <n v="17"/>
    <x v="11"/>
  </r>
  <r>
    <s v="420-97-3340"/>
    <x v="0"/>
    <s v="Yangon"/>
    <x v="1"/>
    <x v="0"/>
    <x v="4"/>
    <n v="71.680000000000007"/>
    <n v="3"/>
    <n v="10.752000000000001"/>
    <n v="225.792"/>
    <s v="3/28/2019"/>
    <d v="1899-12-30T15:30:00"/>
    <x v="2"/>
    <n v="215.04"/>
    <n v="4.7619047620000003"/>
    <x v="616"/>
    <n v="9.1999999999999993"/>
    <d v="2019-03-28T00:00:00"/>
    <n v="3"/>
    <n v="15"/>
    <x v="19"/>
  </r>
  <r>
    <s v="436-54-4512"/>
    <x v="0"/>
    <s v="Yangon"/>
    <x v="0"/>
    <x v="0"/>
    <x v="4"/>
    <n v="91.61"/>
    <n v="1"/>
    <n v="4.5804999999999998"/>
    <n v="96.1905"/>
    <s v="3/20/2019"/>
    <d v="1899-12-30T19:44:00"/>
    <x v="1"/>
    <n v="91.61"/>
    <n v="4.7619047620000003"/>
    <x v="617"/>
    <n v="9.8000000000000007"/>
    <d v="2019-03-20T00:00:00"/>
    <n v="3"/>
    <n v="19"/>
    <x v="7"/>
  </r>
  <r>
    <s v="670-79-6321"/>
    <x v="2"/>
    <s v="Mandalay"/>
    <x v="0"/>
    <x v="0"/>
    <x v="2"/>
    <n v="94.59"/>
    <n v="7"/>
    <n v="33.106499999999997"/>
    <n v="695.23649999999998"/>
    <s v="1/17/2019"/>
    <d v="1899-12-30T15:27:00"/>
    <x v="2"/>
    <n v="662.13"/>
    <n v="4.7619047620000003"/>
    <x v="618"/>
    <n v="4.9000000000000004"/>
    <d v="2019-01-17T00:00:00"/>
    <n v="1"/>
    <n v="15"/>
    <x v="17"/>
  </r>
  <r>
    <s v="852-62-7105"/>
    <x v="2"/>
    <s v="Mandalay"/>
    <x v="1"/>
    <x v="0"/>
    <x v="5"/>
    <n v="83.25"/>
    <n v="10"/>
    <n v="41.625"/>
    <n v="874.125"/>
    <d v="2019-12-01T00:00:00"/>
    <d v="1899-12-30T11:25:00"/>
    <x v="2"/>
    <n v="832.5"/>
    <n v="4.7619047620000003"/>
    <x v="619"/>
    <n v="4.4000000000000004"/>
    <d v="2019-01-12T00:00:00"/>
    <n v="1"/>
    <n v="11"/>
    <x v="10"/>
  </r>
  <r>
    <s v="598-06-7312"/>
    <x v="2"/>
    <s v="Mandalay"/>
    <x v="0"/>
    <x v="1"/>
    <x v="5"/>
    <n v="91.35"/>
    <n v="1"/>
    <n v="4.5674999999999999"/>
    <n v="95.917500000000004"/>
    <s v="2/16/2019"/>
    <d v="1899-12-30T15:42:00"/>
    <x v="1"/>
    <n v="91.35"/>
    <n v="4.7619047620000003"/>
    <x v="620"/>
    <n v="6.8"/>
    <d v="2019-02-16T00:00:00"/>
    <n v="2"/>
    <n v="15"/>
    <x v="23"/>
  </r>
  <r>
    <s v="135-13-8269"/>
    <x v="2"/>
    <s v="Mandalay"/>
    <x v="0"/>
    <x v="0"/>
    <x v="4"/>
    <n v="78.88"/>
    <n v="2"/>
    <n v="7.8879999999999999"/>
    <n v="165.648"/>
    <s v="1/26/2019"/>
    <d v="1899-12-30T16:04:00"/>
    <x v="1"/>
    <n v="157.76"/>
    <n v="4.7619047620000003"/>
    <x v="621"/>
    <n v="9.1"/>
    <d v="2019-01-26T00:00:00"/>
    <n v="1"/>
    <n v="16"/>
    <x v="27"/>
  </r>
  <r>
    <s v="816-57-2053"/>
    <x v="0"/>
    <s v="Yangon"/>
    <x v="1"/>
    <x v="1"/>
    <x v="3"/>
    <n v="60.87"/>
    <n v="2"/>
    <n v="6.0869999999999997"/>
    <n v="127.827"/>
    <d v="2019-09-03T00:00:00"/>
    <d v="1899-12-30T12:37:00"/>
    <x v="0"/>
    <n v="121.74"/>
    <n v="4.7619047620000003"/>
    <x v="622"/>
    <n v="8.6999999999999993"/>
    <d v="2019-03-09T00:00:00"/>
    <n v="3"/>
    <n v="12"/>
    <x v="9"/>
  </r>
  <r>
    <s v="628-90-8624"/>
    <x v="2"/>
    <s v="Mandalay"/>
    <x v="0"/>
    <x v="1"/>
    <x v="0"/>
    <n v="82.58"/>
    <n v="10"/>
    <n v="41.29"/>
    <n v="867.09"/>
    <s v="3/14/2019"/>
    <d v="1899-12-30T14:41:00"/>
    <x v="1"/>
    <n v="825.8"/>
    <n v="4.7619047620000003"/>
    <x v="623"/>
    <n v="5"/>
    <d v="2019-03-14T00:00:00"/>
    <n v="3"/>
    <n v="14"/>
    <x v="25"/>
  </r>
  <r>
    <s v="856-66-2701"/>
    <x v="0"/>
    <s v="Yangon"/>
    <x v="0"/>
    <x v="1"/>
    <x v="2"/>
    <n v="53.3"/>
    <n v="3"/>
    <n v="7.9950000000000001"/>
    <n v="167.89500000000001"/>
    <s v="1/25/2019"/>
    <d v="1899-12-30T14:19:00"/>
    <x v="0"/>
    <n v="159.9"/>
    <n v="4.7619047620000003"/>
    <x v="624"/>
    <n v="7.5"/>
    <d v="2019-01-25T00:00:00"/>
    <n v="1"/>
    <n v="14"/>
    <x v="4"/>
  </r>
  <r>
    <s v="308-39-1707"/>
    <x v="0"/>
    <s v="Yangon"/>
    <x v="1"/>
    <x v="0"/>
    <x v="5"/>
    <n v="12.09"/>
    <n v="1"/>
    <n v="0.60450000000000004"/>
    <n v="12.6945"/>
    <s v="1/26/2019"/>
    <d v="1899-12-30T18:19:00"/>
    <x v="2"/>
    <n v="12.09"/>
    <n v="4.7619047620000003"/>
    <x v="625"/>
    <n v="8.1999999999999993"/>
    <d v="2019-01-26T00:00:00"/>
    <n v="1"/>
    <n v="18"/>
    <x v="27"/>
  </r>
  <r>
    <s v="149-61-1929"/>
    <x v="0"/>
    <s v="Yangon"/>
    <x v="1"/>
    <x v="1"/>
    <x v="3"/>
    <n v="64.19"/>
    <n v="10"/>
    <n v="32.094999999999999"/>
    <n v="673.995"/>
    <s v="1/19/2019"/>
    <d v="1899-12-30T14:08:00"/>
    <x v="2"/>
    <n v="641.9"/>
    <n v="4.7619047620000003"/>
    <x v="626"/>
    <n v="6.7"/>
    <d v="2019-01-19T00:00:00"/>
    <n v="1"/>
    <n v="14"/>
    <x v="24"/>
  </r>
  <r>
    <s v="655-07-2265"/>
    <x v="0"/>
    <s v="Yangon"/>
    <x v="1"/>
    <x v="1"/>
    <x v="1"/>
    <n v="78.31"/>
    <n v="3"/>
    <n v="11.746499999999999"/>
    <n v="246.6765"/>
    <d v="2019-05-03T00:00:00"/>
    <d v="1899-12-30T16:38:00"/>
    <x v="0"/>
    <n v="234.93"/>
    <n v="4.7619047620000003"/>
    <x v="627"/>
    <n v="5.4"/>
    <d v="2019-03-05T00:00:00"/>
    <n v="3"/>
    <n v="16"/>
    <x v="0"/>
  </r>
  <r>
    <s v="589-02-8023"/>
    <x v="0"/>
    <s v="Yangon"/>
    <x v="0"/>
    <x v="1"/>
    <x v="4"/>
    <n v="83.77"/>
    <n v="2"/>
    <n v="8.3770000000000007"/>
    <n v="175.917"/>
    <s v="1/15/2019"/>
    <d v="1899-12-30T10:54:00"/>
    <x v="2"/>
    <n v="167.54"/>
    <n v="4.7619047620000003"/>
    <x v="628"/>
    <n v="7"/>
    <d v="2019-01-15T00:00:00"/>
    <n v="1"/>
    <n v="10"/>
    <x v="13"/>
  </r>
  <r>
    <s v="420-04-7590"/>
    <x v="2"/>
    <s v="Mandalay"/>
    <x v="1"/>
    <x v="1"/>
    <x v="2"/>
    <n v="99.7"/>
    <n v="3"/>
    <n v="14.955"/>
    <n v="314.05500000000001"/>
    <s v="3/18/2019"/>
    <d v="1899-12-30T11:29:00"/>
    <x v="0"/>
    <n v="299.10000000000002"/>
    <n v="4.7619047620000003"/>
    <x v="629"/>
    <n v="4.7"/>
    <d v="2019-03-18T00:00:00"/>
    <n v="3"/>
    <n v="11"/>
    <x v="28"/>
  </r>
  <r>
    <s v="182-88-2763"/>
    <x v="2"/>
    <s v="Mandalay"/>
    <x v="0"/>
    <x v="1"/>
    <x v="4"/>
    <n v="79.91"/>
    <n v="3"/>
    <n v="11.986499999999999"/>
    <n v="251.7165"/>
    <s v="3/20/2019"/>
    <d v="1899-12-30T19:28:00"/>
    <x v="2"/>
    <n v="239.73"/>
    <n v="4.7619047620000003"/>
    <x v="630"/>
    <n v="5"/>
    <d v="2019-03-20T00:00:00"/>
    <n v="3"/>
    <n v="19"/>
    <x v="7"/>
  </r>
  <r>
    <s v="188-55-0967"/>
    <x v="2"/>
    <s v="Mandalay"/>
    <x v="0"/>
    <x v="1"/>
    <x v="0"/>
    <n v="66.47"/>
    <n v="10"/>
    <n v="33.234999999999999"/>
    <n v="697.93499999999995"/>
    <s v="1/15/2019"/>
    <d v="1899-12-30T15:01:00"/>
    <x v="2"/>
    <n v="664.7"/>
    <n v="4.7619047620000003"/>
    <x v="631"/>
    <n v="5"/>
    <d v="2019-01-15T00:00:00"/>
    <n v="1"/>
    <n v="15"/>
    <x v="13"/>
  </r>
  <r>
    <s v="610-46-4100"/>
    <x v="0"/>
    <s v="Yangon"/>
    <x v="1"/>
    <x v="1"/>
    <x v="0"/>
    <n v="28.95"/>
    <n v="7"/>
    <n v="10.1325"/>
    <n v="212.7825"/>
    <d v="2019-03-03T00:00:00"/>
    <d v="1899-12-30T20:31:00"/>
    <x v="2"/>
    <n v="202.65"/>
    <n v="4.7619047620000003"/>
    <x v="632"/>
    <n v="6"/>
    <d v="2019-03-03T00:00:00"/>
    <n v="3"/>
    <n v="20"/>
    <x v="2"/>
  </r>
  <r>
    <s v="318-81-2368"/>
    <x v="1"/>
    <s v="Naypyitaw"/>
    <x v="1"/>
    <x v="0"/>
    <x v="1"/>
    <n v="46.2"/>
    <n v="1"/>
    <n v="2.31"/>
    <n v="48.51"/>
    <s v="3/19/2019"/>
    <d v="1899-12-30T12:16:00"/>
    <x v="1"/>
    <n v="46.2"/>
    <n v="4.7619047620000003"/>
    <x v="633"/>
    <n v="6.3"/>
    <d v="2019-03-19T00:00:00"/>
    <n v="3"/>
    <n v="12"/>
    <x v="24"/>
  </r>
  <r>
    <s v="364-33-8584"/>
    <x v="2"/>
    <s v="Mandalay"/>
    <x v="0"/>
    <x v="0"/>
    <x v="4"/>
    <n v="17.63"/>
    <n v="5"/>
    <n v="4.4074999999999998"/>
    <n v="92.557500000000005"/>
    <d v="2019-08-03T00:00:00"/>
    <d v="1899-12-30T15:27:00"/>
    <x v="1"/>
    <n v="88.15"/>
    <n v="4.7619047620000003"/>
    <x v="634"/>
    <n v="8.5"/>
    <d v="2019-03-08T00:00:00"/>
    <n v="3"/>
    <n v="15"/>
    <x v="1"/>
  </r>
  <r>
    <s v="665-63-9737"/>
    <x v="2"/>
    <s v="Mandalay"/>
    <x v="1"/>
    <x v="1"/>
    <x v="5"/>
    <n v="52.42"/>
    <n v="3"/>
    <n v="7.8630000000000004"/>
    <n v="165.12299999999999"/>
    <s v="2/27/2019"/>
    <d v="1899-12-30T17:36:00"/>
    <x v="0"/>
    <n v="157.26"/>
    <n v="4.7619047620000003"/>
    <x v="635"/>
    <n v="7.5"/>
    <d v="2019-02-27T00:00:00"/>
    <n v="2"/>
    <n v="17"/>
    <x v="3"/>
  </r>
  <r>
    <s v="695-09-5146"/>
    <x v="2"/>
    <s v="Mandalay"/>
    <x v="0"/>
    <x v="0"/>
    <x v="4"/>
    <n v="98.79"/>
    <n v="3"/>
    <n v="14.8185"/>
    <n v="311.18849999999998"/>
    <s v="2/23/2019"/>
    <d v="1899-12-30T20:00:00"/>
    <x v="0"/>
    <n v="296.37"/>
    <n v="4.7619047620000003"/>
    <x v="636"/>
    <n v="6.4"/>
    <d v="2019-02-23T00:00:00"/>
    <n v="2"/>
    <n v="20"/>
    <x v="21"/>
  </r>
  <r>
    <s v="155-45-3814"/>
    <x v="1"/>
    <s v="Naypyitaw"/>
    <x v="0"/>
    <x v="0"/>
    <x v="1"/>
    <n v="88.55"/>
    <n v="8"/>
    <n v="35.42"/>
    <n v="743.82"/>
    <s v="3/19/2019"/>
    <d v="1899-12-30T15:29:00"/>
    <x v="0"/>
    <n v="708.4"/>
    <n v="4.7619047620000003"/>
    <x v="637"/>
    <n v="4.7"/>
    <d v="2019-03-19T00:00:00"/>
    <n v="3"/>
    <n v="15"/>
    <x v="24"/>
  </r>
  <r>
    <s v="794-32-2436"/>
    <x v="2"/>
    <s v="Mandalay"/>
    <x v="0"/>
    <x v="1"/>
    <x v="1"/>
    <n v="55.67"/>
    <n v="2"/>
    <n v="5.5670000000000002"/>
    <n v="116.907"/>
    <s v="3/27/2019"/>
    <d v="1899-12-30T15:08:00"/>
    <x v="0"/>
    <n v="111.34"/>
    <n v="4.7619047620000003"/>
    <x v="638"/>
    <n v="6"/>
    <d v="2019-03-27T00:00:00"/>
    <n v="3"/>
    <n v="15"/>
    <x v="3"/>
  </r>
  <r>
    <s v="131-15-8856"/>
    <x v="1"/>
    <s v="Naypyitaw"/>
    <x v="0"/>
    <x v="0"/>
    <x v="4"/>
    <n v="72.52"/>
    <n v="8"/>
    <n v="29.007999999999999"/>
    <n v="609.16800000000001"/>
    <s v="3/30/2019"/>
    <d v="1899-12-30T19:26:00"/>
    <x v="2"/>
    <n v="580.16"/>
    <n v="4.7619047620000003"/>
    <x v="639"/>
    <n v="4"/>
    <d v="2019-03-30T00:00:00"/>
    <n v="3"/>
    <n v="19"/>
    <x v="29"/>
  </r>
  <r>
    <s v="273-84-2164"/>
    <x v="1"/>
    <s v="Naypyitaw"/>
    <x v="0"/>
    <x v="1"/>
    <x v="1"/>
    <n v="12.05"/>
    <n v="5"/>
    <n v="3.0125000000000002"/>
    <n v="63.262500000000003"/>
    <s v="2/16/2019"/>
    <d v="1899-12-30T15:53:00"/>
    <x v="0"/>
    <n v="60.25"/>
    <n v="4.7619047620000003"/>
    <x v="640"/>
    <n v="5.5"/>
    <d v="2019-02-16T00:00:00"/>
    <n v="2"/>
    <n v="15"/>
    <x v="23"/>
  </r>
  <r>
    <s v="706-36-6154"/>
    <x v="0"/>
    <s v="Yangon"/>
    <x v="0"/>
    <x v="1"/>
    <x v="2"/>
    <n v="19.36"/>
    <n v="9"/>
    <n v="8.7119999999999997"/>
    <n v="182.952"/>
    <s v="1/18/2019"/>
    <d v="1899-12-30T18:43:00"/>
    <x v="0"/>
    <n v="174.24"/>
    <n v="4.7619047620000003"/>
    <x v="641"/>
    <n v="8.6999999999999993"/>
    <d v="2019-01-18T00:00:00"/>
    <n v="1"/>
    <n v="18"/>
    <x v="28"/>
  </r>
  <r>
    <s v="778-89-7974"/>
    <x v="1"/>
    <s v="Naypyitaw"/>
    <x v="1"/>
    <x v="1"/>
    <x v="0"/>
    <n v="70.209999999999994"/>
    <n v="6"/>
    <n v="21.062999999999999"/>
    <n v="442.32299999999998"/>
    <s v="3/30/2019"/>
    <d v="1899-12-30T14:58:00"/>
    <x v="1"/>
    <n v="421.26"/>
    <n v="4.7619047620000003"/>
    <x v="642"/>
    <n v="7.4"/>
    <d v="2019-03-30T00:00:00"/>
    <n v="3"/>
    <n v="14"/>
    <x v="29"/>
  </r>
  <r>
    <s v="574-31-8277"/>
    <x v="2"/>
    <s v="Mandalay"/>
    <x v="0"/>
    <x v="1"/>
    <x v="5"/>
    <n v="33.630000000000003"/>
    <n v="1"/>
    <n v="1.6815"/>
    <n v="35.311500000000002"/>
    <s v="3/20/2019"/>
    <d v="1899-12-30T19:55:00"/>
    <x v="1"/>
    <n v="33.630000000000003"/>
    <n v="4.7619047620000003"/>
    <x v="643"/>
    <n v="5.6"/>
    <d v="2019-03-20T00:00:00"/>
    <n v="3"/>
    <n v="19"/>
    <x v="7"/>
  </r>
  <r>
    <s v="859-71-0933"/>
    <x v="1"/>
    <s v="Naypyitaw"/>
    <x v="0"/>
    <x v="0"/>
    <x v="3"/>
    <n v="15.49"/>
    <n v="2"/>
    <n v="1.5489999999999999"/>
    <n v="32.529000000000003"/>
    <s v="1/16/2019"/>
    <d v="1899-12-30T15:10:00"/>
    <x v="1"/>
    <n v="30.98"/>
    <n v="4.7619047620000003"/>
    <x v="644"/>
    <n v="6.3"/>
    <d v="2019-01-16T00:00:00"/>
    <n v="1"/>
    <n v="15"/>
    <x v="23"/>
  </r>
  <r>
    <s v="740-11-5257"/>
    <x v="1"/>
    <s v="Naypyitaw"/>
    <x v="1"/>
    <x v="1"/>
    <x v="1"/>
    <n v="24.74"/>
    <n v="10"/>
    <n v="12.37"/>
    <n v="259.77"/>
    <s v="2/24/2019"/>
    <d v="1899-12-30T16:44:00"/>
    <x v="1"/>
    <n v="247.4"/>
    <n v="4.7619047620000003"/>
    <x v="645"/>
    <n v="7.1"/>
    <d v="2019-02-24T00:00:00"/>
    <n v="2"/>
    <n v="16"/>
    <x v="5"/>
  </r>
  <r>
    <s v="369-82-2676"/>
    <x v="2"/>
    <s v="Mandalay"/>
    <x v="1"/>
    <x v="1"/>
    <x v="1"/>
    <n v="75.66"/>
    <n v="5"/>
    <n v="18.914999999999999"/>
    <n v="397.21499999999997"/>
    <s v="1/15/2019"/>
    <d v="1899-12-30T18:22:00"/>
    <x v="0"/>
    <n v="378.3"/>
    <n v="4.7619047620000003"/>
    <x v="646"/>
    <n v="7.8"/>
    <d v="2019-01-15T00:00:00"/>
    <n v="1"/>
    <n v="18"/>
    <x v="13"/>
  </r>
  <r>
    <s v="563-47-4072"/>
    <x v="2"/>
    <s v="Mandalay"/>
    <x v="1"/>
    <x v="0"/>
    <x v="0"/>
    <n v="55.81"/>
    <n v="6"/>
    <n v="16.742999999999999"/>
    <n v="351.60300000000001"/>
    <s v="1/22/2019"/>
    <d v="1899-12-30T11:52:00"/>
    <x v="1"/>
    <n v="334.86"/>
    <n v="4.7619047620000003"/>
    <x v="647"/>
    <n v="9.9"/>
    <d v="2019-01-22T00:00:00"/>
    <n v="1"/>
    <n v="11"/>
    <x v="18"/>
  </r>
  <r>
    <s v="742-04-5161"/>
    <x v="0"/>
    <s v="Yangon"/>
    <x v="0"/>
    <x v="1"/>
    <x v="2"/>
    <n v="72.78"/>
    <n v="10"/>
    <n v="36.39"/>
    <n v="764.19"/>
    <d v="2019-03-02T00:00:00"/>
    <d v="1899-12-30T17:24:00"/>
    <x v="1"/>
    <n v="727.8"/>
    <n v="4.7619047620000003"/>
    <x v="648"/>
    <n v="7.3"/>
    <d v="2019-02-03T00:00:00"/>
    <n v="2"/>
    <n v="17"/>
    <x v="2"/>
  </r>
  <r>
    <s v="149-15-7606"/>
    <x v="2"/>
    <s v="Mandalay"/>
    <x v="0"/>
    <x v="1"/>
    <x v="3"/>
    <n v="37.32"/>
    <n v="9"/>
    <n v="16.794"/>
    <n v="352.67399999999998"/>
    <d v="2019-06-03T00:00:00"/>
    <d v="1899-12-30T15:31:00"/>
    <x v="0"/>
    <n v="335.88"/>
    <n v="4.7619047620000003"/>
    <x v="649"/>
    <n v="5.0999999999999996"/>
    <d v="2019-03-06T00:00:00"/>
    <n v="3"/>
    <n v="15"/>
    <x v="20"/>
  </r>
  <r>
    <s v="133-77-3154"/>
    <x v="2"/>
    <s v="Mandalay"/>
    <x v="0"/>
    <x v="1"/>
    <x v="5"/>
    <n v="60.18"/>
    <n v="4"/>
    <n v="12.036"/>
    <n v="252.756"/>
    <s v="2/16/2019"/>
    <d v="1899-12-30T18:04:00"/>
    <x v="2"/>
    <n v="240.72"/>
    <n v="4.7619047620000003"/>
    <x v="650"/>
    <n v="9.4"/>
    <d v="2019-02-16T00:00:00"/>
    <n v="2"/>
    <n v="18"/>
    <x v="23"/>
  </r>
  <r>
    <s v="169-52-4504"/>
    <x v="0"/>
    <s v="Yangon"/>
    <x v="1"/>
    <x v="0"/>
    <x v="1"/>
    <n v="15.69"/>
    <n v="3"/>
    <n v="2.3534999999999999"/>
    <n v="49.423499999999997"/>
    <s v="3/14/2019"/>
    <d v="1899-12-30T14:13:00"/>
    <x v="2"/>
    <n v="47.07"/>
    <n v="4.7619047620000003"/>
    <x v="651"/>
    <n v="5.8"/>
    <d v="2019-03-14T00:00:00"/>
    <n v="3"/>
    <n v="14"/>
    <x v="25"/>
  </r>
  <r>
    <s v="250-81-7186"/>
    <x v="1"/>
    <s v="Naypyitaw"/>
    <x v="1"/>
    <x v="0"/>
    <x v="1"/>
    <n v="99.69"/>
    <n v="1"/>
    <n v="4.9844999999999997"/>
    <n v="104.67449999999999"/>
    <s v="2/27/2019"/>
    <d v="1899-12-30T10:23:00"/>
    <x v="2"/>
    <n v="99.69"/>
    <n v="4.7619047620000003"/>
    <x v="652"/>
    <n v="8"/>
    <d v="2019-02-27T00:00:00"/>
    <n v="2"/>
    <n v="10"/>
    <x v="3"/>
  </r>
  <r>
    <s v="562-12-5430"/>
    <x v="0"/>
    <s v="Yangon"/>
    <x v="0"/>
    <x v="0"/>
    <x v="5"/>
    <n v="88.15"/>
    <n v="3"/>
    <n v="13.2225"/>
    <n v="277.67250000000001"/>
    <s v="1/18/2019"/>
    <d v="1899-12-30T10:11:00"/>
    <x v="0"/>
    <n v="264.45"/>
    <n v="4.7619047620000003"/>
    <x v="653"/>
    <n v="7.9"/>
    <d v="2019-01-18T00:00:00"/>
    <n v="1"/>
    <n v="10"/>
    <x v="28"/>
  </r>
  <r>
    <s v="816-72-8853"/>
    <x v="0"/>
    <s v="Yangon"/>
    <x v="0"/>
    <x v="0"/>
    <x v="3"/>
    <n v="27.93"/>
    <n v="5"/>
    <n v="6.9824999999999999"/>
    <n v="146.63249999999999"/>
    <s v="1/29/2019"/>
    <d v="1899-12-30T15:48:00"/>
    <x v="1"/>
    <n v="139.65"/>
    <n v="4.7619047620000003"/>
    <x v="654"/>
    <n v="5.9"/>
    <d v="2019-01-29T00:00:00"/>
    <n v="1"/>
    <n v="15"/>
    <x v="12"/>
  </r>
  <r>
    <s v="491-38-3499"/>
    <x v="0"/>
    <s v="Yangon"/>
    <x v="0"/>
    <x v="1"/>
    <x v="5"/>
    <n v="55.45"/>
    <n v="1"/>
    <n v="2.7725"/>
    <n v="58.222499999999997"/>
    <s v="2/26/2019"/>
    <d v="1899-12-30T17:46:00"/>
    <x v="2"/>
    <n v="55.45"/>
    <n v="4.7619047620000003"/>
    <x v="655"/>
    <n v="4.9000000000000004"/>
    <d v="2019-02-26T00:00:00"/>
    <n v="2"/>
    <n v="17"/>
    <x v="27"/>
  </r>
  <r>
    <s v="322-02-2271"/>
    <x v="2"/>
    <s v="Mandalay"/>
    <x v="1"/>
    <x v="0"/>
    <x v="3"/>
    <n v="42.97"/>
    <n v="3"/>
    <n v="6.4455"/>
    <n v="135.35550000000001"/>
    <d v="2019-03-02T00:00:00"/>
    <d v="1899-12-30T11:46:00"/>
    <x v="1"/>
    <n v="128.91"/>
    <n v="4.7619047620000003"/>
    <x v="656"/>
    <n v="9.3000000000000007"/>
    <d v="2019-02-03T00:00:00"/>
    <n v="2"/>
    <n v="11"/>
    <x v="2"/>
  </r>
  <r>
    <s v="842-29-4695"/>
    <x v="1"/>
    <s v="Naypyitaw"/>
    <x v="0"/>
    <x v="1"/>
    <x v="3"/>
    <n v="17.14"/>
    <n v="7"/>
    <n v="5.9989999999999997"/>
    <n v="125.979"/>
    <s v="1/16/2019"/>
    <d v="1899-12-30T12:07:00"/>
    <x v="2"/>
    <n v="119.98"/>
    <n v="4.7619047620000003"/>
    <x v="657"/>
    <n v="7.9"/>
    <d v="2019-01-16T00:00:00"/>
    <n v="1"/>
    <n v="12"/>
    <x v="23"/>
  </r>
  <r>
    <s v="725-67-2480"/>
    <x v="2"/>
    <s v="Mandalay"/>
    <x v="0"/>
    <x v="0"/>
    <x v="5"/>
    <n v="58.75"/>
    <n v="6"/>
    <n v="17.625"/>
    <n v="370.125"/>
    <s v="3/24/2019"/>
    <d v="1899-12-30T18:14:00"/>
    <x v="2"/>
    <n v="352.5"/>
    <n v="4.7619047620000003"/>
    <x v="658"/>
    <n v="5.9"/>
    <d v="2019-03-24T00:00:00"/>
    <n v="3"/>
    <n v="18"/>
    <x v="5"/>
  </r>
  <r>
    <s v="641-51-2661"/>
    <x v="1"/>
    <s v="Naypyitaw"/>
    <x v="0"/>
    <x v="0"/>
    <x v="4"/>
    <n v="87.1"/>
    <n v="10"/>
    <n v="43.55"/>
    <n v="914.55"/>
    <d v="2019-12-02T00:00:00"/>
    <d v="1899-12-30T14:45:00"/>
    <x v="2"/>
    <n v="871"/>
    <n v="4.7619047620000003"/>
    <x v="659"/>
    <n v="9.9"/>
    <d v="2019-02-12T00:00:00"/>
    <n v="2"/>
    <n v="14"/>
    <x v="10"/>
  </r>
  <r>
    <s v="714-02-3114"/>
    <x v="1"/>
    <s v="Naypyitaw"/>
    <x v="1"/>
    <x v="0"/>
    <x v="3"/>
    <n v="98.8"/>
    <n v="2"/>
    <n v="9.8800000000000008"/>
    <n v="207.48"/>
    <s v="2/21/2019"/>
    <d v="1899-12-30T11:39:00"/>
    <x v="1"/>
    <n v="197.6"/>
    <n v="4.7619047620000003"/>
    <x v="660"/>
    <n v="7.7"/>
    <d v="2019-02-21T00:00:00"/>
    <n v="2"/>
    <n v="11"/>
    <x v="16"/>
  </r>
  <r>
    <s v="518-17-2983"/>
    <x v="0"/>
    <s v="Yangon"/>
    <x v="1"/>
    <x v="0"/>
    <x v="5"/>
    <n v="48.63"/>
    <n v="4"/>
    <n v="9.7260000000000009"/>
    <n v="204.24600000000001"/>
    <d v="2019-04-02T00:00:00"/>
    <d v="1899-12-30T15:44:00"/>
    <x v="0"/>
    <n v="194.52"/>
    <n v="4.7619047620000003"/>
    <x v="661"/>
    <n v="7.6"/>
    <d v="2019-02-04T00:00:00"/>
    <n v="2"/>
    <n v="15"/>
    <x v="22"/>
  </r>
  <r>
    <s v="779-42-2410"/>
    <x v="2"/>
    <s v="Mandalay"/>
    <x v="0"/>
    <x v="1"/>
    <x v="4"/>
    <n v="57.74"/>
    <n v="3"/>
    <n v="8.6609999999999996"/>
    <n v="181.881"/>
    <s v="2/20/2019"/>
    <d v="1899-12-30T13:06:00"/>
    <x v="0"/>
    <n v="173.22"/>
    <n v="4.7619047620000003"/>
    <x v="662"/>
    <n v="7.7"/>
    <d v="2019-02-20T00:00:00"/>
    <n v="2"/>
    <n v="13"/>
    <x v="7"/>
  </r>
  <r>
    <s v="190-14-3147"/>
    <x v="2"/>
    <s v="Mandalay"/>
    <x v="1"/>
    <x v="0"/>
    <x v="0"/>
    <n v="17.97"/>
    <n v="4"/>
    <n v="3.5939999999999999"/>
    <n v="75.474000000000004"/>
    <s v="2/23/2019"/>
    <d v="1899-12-30T20:43:00"/>
    <x v="0"/>
    <n v="71.88"/>
    <n v="4.7619047620000003"/>
    <x v="663"/>
    <n v="6.4"/>
    <d v="2019-02-23T00:00:00"/>
    <n v="2"/>
    <n v="20"/>
    <x v="21"/>
  </r>
  <r>
    <s v="408-66-6712"/>
    <x v="1"/>
    <s v="Naypyitaw"/>
    <x v="0"/>
    <x v="0"/>
    <x v="0"/>
    <n v="47.71"/>
    <n v="6"/>
    <n v="14.313000000000001"/>
    <n v="300.57299999999998"/>
    <s v="2/16/2019"/>
    <d v="1899-12-30T14:19:00"/>
    <x v="0"/>
    <n v="286.26"/>
    <n v="4.7619047620000003"/>
    <x v="664"/>
    <n v="4.4000000000000004"/>
    <d v="2019-02-16T00:00:00"/>
    <n v="2"/>
    <n v="14"/>
    <x v="23"/>
  </r>
  <r>
    <s v="679-22-6530"/>
    <x v="2"/>
    <s v="Mandalay"/>
    <x v="1"/>
    <x v="0"/>
    <x v="3"/>
    <n v="40.619999999999997"/>
    <n v="2"/>
    <n v="4.0620000000000003"/>
    <n v="85.302000000000007"/>
    <s v="1/17/2019"/>
    <d v="1899-12-30T10:01:00"/>
    <x v="2"/>
    <n v="81.239999999999995"/>
    <n v="4.7619047620000003"/>
    <x v="665"/>
    <n v="4.0999999999999996"/>
    <d v="2019-01-17T00:00:00"/>
    <n v="1"/>
    <n v="10"/>
    <x v="17"/>
  </r>
  <r>
    <s v="588-47-8641"/>
    <x v="0"/>
    <s v="Yangon"/>
    <x v="0"/>
    <x v="1"/>
    <x v="5"/>
    <n v="56.04"/>
    <n v="10"/>
    <n v="28.02"/>
    <n v="588.41999999999996"/>
    <s v="1/14/2019"/>
    <d v="1899-12-30T19:30:00"/>
    <x v="0"/>
    <n v="560.4"/>
    <n v="4.7619047620000003"/>
    <x v="666"/>
    <n v="4.4000000000000004"/>
    <d v="2019-01-14T00:00:00"/>
    <n v="1"/>
    <n v="19"/>
    <x v="25"/>
  </r>
  <r>
    <s v="642-61-4706"/>
    <x v="2"/>
    <s v="Mandalay"/>
    <x v="0"/>
    <x v="1"/>
    <x v="4"/>
    <n v="93.4"/>
    <n v="2"/>
    <n v="9.34"/>
    <n v="196.14"/>
    <s v="3/30/2019"/>
    <d v="1899-12-30T16:34:00"/>
    <x v="1"/>
    <n v="186.8"/>
    <n v="4.7619047620000003"/>
    <x v="667"/>
    <n v="5.5"/>
    <d v="2019-03-30T00:00:00"/>
    <n v="3"/>
    <n v="16"/>
    <x v="29"/>
  </r>
  <r>
    <s v="576-31-4774"/>
    <x v="2"/>
    <s v="Mandalay"/>
    <x v="1"/>
    <x v="0"/>
    <x v="0"/>
    <n v="73.41"/>
    <n v="3"/>
    <n v="11.0115"/>
    <n v="231.2415"/>
    <d v="2019-02-03T00:00:00"/>
    <d v="1899-12-30T13:10:00"/>
    <x v="0"/>
    <n v="220.23"/>
    <n v="4.7619047620000003"/>
    <x v="668"/>
    <n v="4"/>
    <d v="2019-03-02T00:00:00"/>
    <n v="3"/>
    <n v="13"/>
    <x v="8"/>
  </r>
  <r>
    <s v="556-41-6224"/>
    <x v="1"/>
    <s v="Naypyitaw"/>
    <x v="1"/>
    <x v="1"/>
    <x v="0"/>
    <n v="33.64"/>
    <n v="8"/>
    <n v="13.456"/>
    <n v="282.57600000000002"/>
    <s v="2/15/2019"/>
    <d v="1899-12-30T17:10:00"/>
    <x v="2"/>
    <n v="269.12"/>
    <n v="4.7619047620000003"/>
    <x v="669"/>
    <n v="9.3000000000000007"/>
    <d v="2019-02-15T00:00:00"/>
    <n v="2"/>
    <n v="17"/>
    <x v="13"/>
  </r>
  <r>
    <s v="811-03-8790"/>
    <x v="0"/>
    <s v="Yangon"/>
    <x v="1"/>
    <x v="0"/>
    <x v="1"/>
    <n v="45.48"/>
    <n v="10"/>
    <n v="22.74"/>
    <n v="477.54"/>
    <d v="2019-01-03T00:00:00"/>
    <d v="1899-12-30T10:22:00"/>
    <x v="2"/>
    <n v="454.8"/>
    <n v="4.7619047620000003"/>
    <x v="670"/>
    <n v="4.8"/>
    <d v="2019-03-01T00:00:00"/>
    <n v="3"/>
    <n v="10"/>
    <x v="15"/>
  </r>
  <r>
    <s v="242-11-3142"/>
    <x v="2"/>
    <s v="Mandalay"/>
    <x v="0"/>
    <x v="1"/>
    <x v="5"/>
    <n v="83.77"/>
    <n v="2"/>
    <n v="8.3770000000000007"/>
    <n v="175.917"/>
    <s v="2/24/2019"/>
    <d v="1899-12-30T19:57:00"/>
    <x v="1"/>
    <n v="167.54"/>
    <n v="4.7619047620000003"/>
    <x v="628"/>
    <n v="4.5999999999999996"/>
    <d v="2019-02-24T00:00:00"/>
    <n v="2"/>
    <n v="19"/>
    <x v="5"/>
  </r>
  <r>
    <s v="752-23-3760"/>
    <x v="2"/>
    <s v="Mandalay"/>
    <x v="0"/>
    <x v="0"/>
    <x v="3"/>
    <n v="64.08"/>
    <n v="7"/>
    <n v="22.428000000000001"/>
    <n v="470.988"/>
    <s v="2/19/2019"/>
    <d v="1899-12-30T19:29:00"/>
    <x v="2"/>
    <n v="448.56"/>
    <n v="4.7619047620000003"/>
    <x v="671"/>
    <n v="7.3"/>
    <d v="2019-02-19T00:00:00"/>
    <n v="2"/>
    <n v="19"/>
    <x v="24"/>
  </r>
  <r>
    <s v="274-05-5470"/>
    <x v="0"/>
    <s v="Yangon"/>
    <x v="0"/>
    <x v="0"/>
    <x v="4"/>
    <n v="73.47"/>
    <n v="4"/>
    <n v="14.694000000000001"/>
    <n v="308.57400000000001"/>
    <s v="2/23/2019"/>
    <d v="1899-12-30T18:30:00"/>
    <x v="1"/>
    <n v="293.88"/>
    <n v="4.7619047620000003"/>
    <x v="672"/>
    <n v="6"/>
    <d v="2019-02-23T00:00:00"/>
    <n v="2"/>
    <n v="18"/>
    <x v="21"/>
  </r>
  <r>
    <s v="648-94-3045"/>
    <x v="1"/>
    <s v="Naypyitaw"/>
    <x v="1"/>
    <x v="1"/>
    <x v="0"/>
    <n v="58.95"/>
    <n v="10"/>
    <n v="29.475000000000001"/>
    <n v="618.97500000000002"/>
    <d v="2019-07-02T00:00:00"/>
    <d v="1899-12-30T14:27:00"/>
    <x v="0"/>
    <n v="589.5"/>
    <n v="4.7619047620000003"/>
    <x v="673"/>
    <n v="8.1"/>
    <d v="2019-02-07T00:00:00"/>
    <n v="2"/>
    <n v="14"/>
    <x v="11"/>
  </r>
  <r>
    <s v="130-67-4723"/>
    <x v="0"/>
    <s v="Yangon"/>
    <x v="0"/>
    <x v="1"/>
    <x v="4"/>
    <n v="48.5"/>
    <n v="6"/>
    <n v="14.55"/>
    <n v="305.55"/>
    <d v="2019-11-01T00:00:00"/>
    <d v="1899-12-30T13:57:00"/>
    <x v="0"/>
    <n v="291"/>
    <n v="4.7619047620000003"/>
    <x v="674"/>
    <n v="9.4"/>
    <d v="2019-01-11T00:00:00"/>
    <n v="1"/>
    <n v="13"/>
    <x v="14"/>
  </r>
  <r>
    <s v="528-87-5606"/>
    <x v="2"/>
    <s v="Mandalay"/>
    <x v="0"/>
    <x v="0"/>
    <x v="1"/>
    <n v="39.479999999999997"/>
    <n v="1"/>
    <n v="1.974"/>
    <n v="41.454000000000001"/>
    <d v="2019-12-02T00:00:00"/>
    <d v="1899-12-30T19:43:00"/>
    <x v="1"/>
    <n v="39.479999999999997"/>
    <n v="4.7619047620000003"/>
    <x v="675"/>
    <n v="6.5"/>
    <d v="2019-02-12T00:00:00"/>
    <n v="2"/>
    <n v="19"/>
    <x v="10"/>
  </r>
  <r>
    <s v="320-85-2052"/>
    <x v="2"/>
    <s v="Mandalay"/>
    <x v="1"/>
    <x v="0"/>
    <x v="3"/>
    <n v="34.81"/>
    <n v="1"/>
    <n v="1.7404999999999999"/>
    <n v="36.5505"/>
    <s v="1/14/2019"/>
    <d v="1899-12-30T10:11:00"/>
    <x v="2"/>
    <n v="34.81"/>
    <n v="4.7619047620000003"/>
    <x v="676"/>
    <n v="7"/>
    <d v="2019-01-14T00:00:00"/>
    <n v="1"/>
    <n v="10"/>
    <x v="25"/>
  </r>
  <r>
    <s v="370-96-0655"/>
    <x v="1"/>
    <s v="Naypyitaw"/>
    <x v="1"/>
    <x v="0"/>
    <x v="5"/>
    <n v="49.32"/>
    <n v="6"/>
    <n v="14.795999999999999"/>
    <n v="310.71600000000001"/>
    <d v="2019-09-01T00:00:00"/>
    <d v="1899-12-30T13:46:00"/>
    <x v="0"/>
    <n v="295.92"/>
    <n v="4.7619047620000003"/>
    <x v="677"/>
    <n v="7.1"/>
    <d v="2019-01-09T00:00:00"/>
    <n v="1"/>
    <n v="13"/>
    <x v="9"/>
  </r>
  <r>
    <s v="105-10-6182"/>
    <x v="0"/>
    <s v="Yangon"/>
    <x v="0"/>
    <x v="1"/>
    <x v="5"/>
    <n v="21.48"/>
    <n v="2"/>
    <n v="2.1480000000000001"/>
    <n v="45.107999999999997"/>
    <s v="2/27/2019"/>
    <d v="1899-12-30T12:22:00"/>
    <x v="0"/>
    <n v="42.96"/>
    <n v="4.7619047620000003"/>
    <x v="678"/>
    <n v="6.6"/>
    <d v="2019-02-27T00:00:00"/>
    <n v="2"/>
    <n v="12"/>
    <x v="3"/>
  </r>
  <r>
    <s v="510-79-0415"/>
    <x v="2"/>
    <s v="Mandalay"/>
    <x v="0"/>
    <x v="0"/>
    <x v="3"/>
    <n v="23.08"/>
    <n v="6"/>
    <n v="6.9240000000000004"/>
    <n v="145.404"/>
    <s v="1/24/2019"/>
    <d v="1899-12-30T19:20:00"/>
    <x v="0"/>
    <n v="138.47999999999999"/>
    <n v="4.7619047620000003"/>
    <x v="679"/>
    <n v="4.9000000000000004"/>
    <d v="2019-01-24T00:00:00"/>
    <n v="1"/>
    <n v="19"/>
    <x v="5"/>
  </r>
  <r>
    <s v="241-96-5076"/>
    <x v="2"/>
    <s v="Mandalay"/>
    <x v="0"/>
    <x v="0"/>
    <x v="2"/>
    <n v="49.1"/>
    <n v="2"/>
    <n v="4.91"/>
    <n v="103.11"/>
    <d v="2019-08-01T00:00:00"/>
    <d v="1899-12-30T12:58:00"/>
    <x v="2"/>
    <n v="98.2"/>
    <n v="4.7619047620000003"/>
    <x v="680"/>
    <n v="6.4"/>
    <d v="2019-01-08T00:00:00"/>
    <n v="1"/>
    <n v="12"/>
    <x v="1"/>
  </r>
  <r>
    <s v="767-97-4650"/>
    <x v="2"/>
    <s v="Mandalay"/>
    <x v="0"/>
    <x v="0"/>
    <x v="3"/>
    <n v="64.83"/>
    <n v="2"/>
    <n v="6.4829999999999997"/>
    <n v="136.143"/>
    <d v="2019-08-01T00:00:00"/>
    <d v="1899-12-30T11:59:00"/>
    <x v="2"/>
    <n v="129.66"/>
    <n v="4.7619047620000003"/>
    <x v="681"/>
    <n v="8"/>
    <d v="2019-01-08T00:00:00"/>
    <n v="1"/>
    <n v="11"/>
    <x v="1"/>
  </r>
  <r>
    <s v="648-83-1321"/>
    <x v="0"/>
    <s v="Yangon"/>
    <x v="0"/>
    <x v="1"/>
    <x v="2"/>
    <n v="63.56"/>
    <n v="10"/>
    <n v="31.78"/>
    <n v="667.38"/>
    <s v="1/16/2019"/>
    <d v="1899-12-30T17:59:00"/>
    <x v="1"/>
    <n v="635.6"/>
    <n v="4.7619047620000003"/>
    <x v="682"/>
    <n v="4.3"/>
    <d v="2019-01-16T00:00:00"/>
    <n v="1"/>
    <n v="17"/>
    <x v="23"/>
  </r>
  <r>
    <s v="173-57-2300"/>
    <x v="1"/>
    <s v="Naypyitaw"/>
    <x v="0"/>
    <x v="1"/>
    <x v="3"/>
    <n v="72.88"/>
    <n v="2"/>
    <n v="7.2880000000000003"/>
    <n v="153.048"/>
    <s v="3/13/2019"/>
    <d v="1899-12-30T12:51:00"/>
    <x v="1"/>
    <n v="145.76"/>
    <n v="4.7619047620000003"/>
    <x v="683"/>
    <n v="6.1"/>
    <d v="2019-03-13T00:00:00"/>
    <n v="3"/>
    <n v="12"/>
    <x v="26"/>
  </r>
  <r>
    <s v="305-03-2383"/>
    <x v="0"/>
    <s v="Yangon"/>
    <x v="1"/>
    <x v="0"/>
    <x v="4"/>
    <n v="67.099999999999994"/>
    <n v="3"/>
    <n v="10.065"/>
    <n v="211.36500000000001"/>
    <s v="2/15/2019"/>
    <d v="1899-12-30T10:36:00"/>
    <x v="1"/>
    <n v="201.3"/>
    <n v="4.7619047620000003"/>
    <x v="684"/>
    <n v="7.5"/>
    <d v="2019-02-15T00:00:00"/>
    <n v="2"/>
    <n v="10"/>
    <x v="13"/>
  </r>
  <r>
    <s v="394-55-6384"/>
    <x v="1"/>
    <s v="Naypyitaw"/>
    <x v="0"/>
    <x v="0"/>
    <x v="3"/>
    <n v="70.19"/>
    <n v="9"/>
    <n v="31.5855"/>
    <n v="663.29549999999995"/>
    <s v="1/25/2019"/>
    <d v="1899-12-30T13:38:00"/>
    <x v="1"/>
    <n v="631.71"/>
    <n v="4.7619047620000003"/>
    <x v="685"/>
    <n v="6.7"/>
    <d v="2019-01-25T00:00:00"/>
    <n v="1"/>
    <n v="13"/>
    <x v="4"/>
  </r>
  <r>
    <s v="266-20-6657"/>
    <x v="1"/>
    <s v="Naypyitaw"/>
    <x v="0"/>
    <x v="1"/>
    <x v="4"/>
    <n v="55.04"/>
    <n v="7"/>
    <n v="19.263999999999999"/>
    <n v="404.54399999999998"/>
    <d v="2019-12-03T00:00:00"/>
    <d v="1899-12-30T19:39:00"/>
    <x v="0"/>
    <n v="385.28"/>
    <n v="4.7619047620000003"/>
    <x v="686"/>
    <n v="5.2"/>
    <d v="2019-03-12T00:00:00"/>
    <n v="3"/>
    <n v="19"/>
    <x v="10"/>
  </r>
  <r>
    <s v="689-05-1884"/>
    <x v="0"/>
    <s v="Yangon"/>
    <x v="0"/>
    <x v="1"/>
    <x v="0"/>
    <n v="48.63"/>
    <n v="10"/>
    <n v="24.315000000000001"/>
    <n v="510.61500000000001"/>
    <d v="2019-04-03T00:00:00"/>
    <d v="1899-12-30T12:44:00"/>
    <x v="1"/>
    <n v="486.3"/>
    <n v="4.7619047620000003"/>
    <x v="687"/>
    <n v="8.8000000000000007"/>
    <d v="2019-03-04T00:00:00"/>
    <n v="3"/>
    <n v="12"/>
    <x v="22"/>
  </r>
  <r>
    <s v="196-01-2849"/>
    <x v="1"/>
    <s v="Naypyitaw"/>
    <x v="0"/>
    <x v="0"/>
    <x v="5"/>
    <n v="73.38"/>
    <n v="7"/>
    <n v="25.683"/>
    <n v="539.34299999999996"/>
    <d v="2019-10-02T00:00:00"/>
    <d v="1899-12-30T13:56:00"/>
    <x v="1"/>
    <n v="513.66"/>
    <n v="4.7619047620000003"/>
    <x v="688"/>
    <n v="9.5"/>
    <d v="2019-02-10T00:00:00"/>
    <n v="2"/>
    <n v="13"/>
    <x v="6"/>
  </r>
  <r>
    <s v="372-62-5264"/>
    <x v="1"/>
    <s v="Naypyitaw"/>
    <x v="1"/>
    <x v="0"/>
    <x v="4"/>
    <n v="52.6"/>
    <n v="9"/>
    <n v="23.67"/>
    <n v="497.07"/>
    <s v="1/16/2019"/>
    <d v="1899-12-30T14:42:00"/>
    <x v="1"/>
    <n v="473.4"/>
    <n v="4.7619047620000003"/>
    <x v="689"/>
    <n v="7.6"/>
    <d v="2019-01-16T00:00:00"/>
    <n v="1"/>
    <n v="14"/>
    <x v="23"/>
  </r>
  <r>
    <s v="800-09-8606"/>
    <x v="0"/>
    <s v="Yangon"/>
    <x v="0"/>
    <x v="0"/>
    <x v="2"/>
    <n v="87.37"/>
    <n v="5"/>
    <n v="21.842500000000001"/>
    <n v="458.6925"/>
    <s v="1/29/2019"/>
    <d v="1899-12-30T19:45:00"/>
    <x v="1"/>
    <n v="436.85"/>
    <n v="4.7619047620000003"/>
    <x v="690"/>
    <n v="6.6"/>
    <d v="2019-01-29T00:00:00"/>
    <n v="1"/>
    <n v="19"/>
    <x v="12"/>
  </r>
  <r>
    <s v="182-52-7000"/>
    <x v="0"/>
    <s v="Yangon"/>
    <x v="0"/>
    <x v="0"/>
    <x v="3"/>
    <n v="27.04"/>
    <n v="4"/>
    <n v="5.4080000000000004"/>
    <n v="113.568"/>
    <d v="2019-01-01T00:00:00"/>
    <d v="1899-12-30T20:26:00"/>
    <x v="0"/>
    <n v="108.16"/>
    <n v="4.7619047620000003"/>
    <x v="691"/>
    <n v="6.9"/>
    <d v="2019-01-01T00:00:00"/>
    <n v="1"/>
    <n v="20"/>
    <x v="15"/>
  </r>
  <r>
    <s v="826-58-8051"/>
    <x v="2"/>
    <s v="Mandalay"/>
    <x v="1"/>
    <x v="1"/>
    <x v="2"/>
    <n v="62.19"/>
    <n v="4"/>
    <n v="12.438000000000001"/>
    <n v="261.19799999999998"/>
    <d v="2019-06-01T00:00:00"/>
    <d v="1899-12-30T19:46:00"/>
    <x v="0"/>
    <n v="248.76"/>
    <n v="4.7619047620000003"/>
    <x v="692"/>
    <n v="4.3"/>
    <d v="2019-01-06T00:00:00"/>
    <n v="1"/>
    <n v="19"/>
    <x v="20"/>
  </r>
  <r>
    <s v="868-06-0466"/>
    <x v="0"/>
    <s v="Yangon"/>
    <x v="0"/>
    <x v="1"/>
    <x v="1"/>
    <n v="69.58"/>
    <n v="9"/>
    <n v="31.311"/>
    <n v="657.53099999999995"/>
    <s v="2/19/2019"/>
    <d v="1899-12-30T19:38:00"/>
    <x v="2"/>
    <n v="626.22"/>
    <n v="4.7619047620000003"/>
    <x v="693"/>
    <n v="7.8"/>
    <d v="2019-02-19T00:00:00"/>
    <n v="2"/>
    <n v="19"/>
    <x v="24"/>
  </r>
  <r>
    <s v="751-41-9720"/>
    <x v="1"/>
    <s v="Naypyitaw"/>
    <x v="1"/>
    <x v="1"/>
    <x v="2"/>
    <n v="97.5"/>
    <n v="10"/>
    <n v="48.75"/>
    <n v="1023.75"/>
    <d v="2019-12-01T00:00:00"/>
    <d v="1899-12-30T16:18:00"/>
    <x v="0"/>
    <n v="975"/>
    <n v="4.7619047620000003"/>
    <x v="694"/>
    <n v="8"/>
    <d v="2019-01-12T00:00:00"/>
    <n v="1"/>
    <n v="16"/>
    <x v="10"/>
  </r>
  <r>
    <s v="626-43-7888"/>
    <x v="1"/>
    <s v="Naypyitaw"/>
    <x v="1"/>
    <x v="0"/>
    <x v="5"/>
    <n v="60.41"/>
    <n v="8"/>
    <n v="24.164000000000001"/>
    <n v="507.44400000000002"/>
    <d v="2019-07-02T00:00:00"/>
    <d v="1899-12-30T12:23:00"/>
    <x v="0"/>
    <n v="483.28"/>
    <n v="4.7619047620000003"/>
    <x v="695"/>
    <n v="9.6"/>
    <d v="2019-02-07T00:00:00"/>
    <n v="2"/>
    <n v="12"/>
    <x v="11"/>
  </r>
  <r>
    <s v="176-64-7711"/>
    <x v="2"/>
    <s v="Mandalay"/>
    <x v="1"/>
    <x v="1"/>
    <x v="4"/>
    <n v="32.32"/>
    <n v="3"/>
    <n v="4.8479999999999999"/>
    <n v="101.80800000000001"/>
    <s v="3/27/2019"/>
    <d v="1899-12-30T19:11:00"/>
    <x v="2"/>
    <n v="96.96"/>
    <n v="4.7619047620000003"/>
    <x v="696"/>
    <n v="4.3"/>
    <d v="2019-03-27T00:00:00"/>
    <n v="3"/>
    <n v="19"/>
    <x v="3"/>
  </r>
  <r>
    <s v="191-29-0321"/>
    <x v="2"/>
    <s v="Mandalay"/>
    <x v="0"/>
    <x v="0"/>
    <x v="5"/>
    <n v="19.77"/>
    <n v="10"/>
    <n v="9.8849999999999998"/>
    <n v="207.58500000000001"/>
    <s v="2/27/2019"/>
    <d v="1899-12-30T18:57:00"/>
    <x v="2"/>
    <n v="197.7"/>
    <n v="4.7619047620000003"/>
    <x v="697"/>
    <n v="5"/>
    <d v="2019-02-27T00:00:00"/>
    <n v="2"/>
    <n v="18"/>
    <x v="3"/>
  </r>
  <r>
    <s v="729-06-2010"/>
    <x v="2"/>
    <s v="Mandalay"/>
    <x v="0"/>
    <x v="1"/>
    <x v="0"/>
    <n v="80.47"/>
    <n v="9"/>
    <n v="36.211500000000001"/>
    <n v="760.44150000000002"/>
    <d v="2019-06-01T00:00:00"/>
    <d v="1899-12-30T11:18:00"/>
    <x v="1"/>
    <n v="724.23"/>
    <n v="4.7619047620000003"/>
    <x v="698"/>
    <n v="9.1999999999999993"/>
    <d v="2019-01-06T00:00:00"/>
    <n v="1"/>
    <n v="11"/>
    <x v="20"/>
  </r>
  <r>
    <s v="640-48-5028"/>
    <x v="2"/>
    <s v="Mandalay"/>
    <x v="0"/>
    <x v="0"/>
    <x v="2"/>
    <n v="88.39"/>
    <n v="9"/>
    <n v="39.775500000000001"/>
    <n v="835.28549999999996"/>
    <d v="2019-02-03T00:00:00"/>
    <d v="1899-12-30T12:40:00"/>
    <x v="1"/>
    <n v="795.51"/>
    <n v="4.7619047620000003"/>
    <x v="699"/>
    <n v="6.3"/>
    <d v="2019-03-02T00:00:00"/>
    <n v="3"/>
    <n v="12"/>
    <x v="8"/>
  </r>
  <r>
    <s v="186-79-9562"/>
    <x v="2"/>
    <s v="Mandalay"/>
    <x v="1"/>
    <x v="1"/>
    <x v="0"/>
    <n v="71.77"/>
    <n v="7"/>
    <n v="25.119499999999999"/>
    <n v="527.5095"/>
    <s v="3/29/2019"/>
    <d v="1899-12-30T14:06:00"/>
    <x v="1"/>
    <n v="502.39"/>
    <n v="4.7619047620000003"/>
    <x v="700"/>
    <n v="8.9"/>
    <d v="2019-03-29T00:00:00"/>
    <n v="3"/>
    <n v="14"/>
    <x v="12"/>
  </r>
  <r>
    <s v="834-45-5519"/>
    <x v="2"/>
    <s v="Mandalay"/>
    <x v="1"/>
    <x v="0"/>
    <x v="1"/>
    <n v="43"/>
    <n v="4"/>
    <n v="8.6"/>
    <n v="180.6"/>
    <s v="1/31/2019"/>
    <d v="1899-12-30T20:48:00"/>
    <x v="0"/>
    <n v="172"/>
    <n v="4.7619047620000003"/>
    <x v="701"/>
    <n v="7.6"/>
    <d v="2019-01-31T00:00:00"/>
    <n v="1"/>
    <n v="20"/>
    <x v="30"/>
  </r>
  <r>
    <s v="162-65-8559"/>
    <x v="1"/>
    <s v="Naypyitaw"/>
    <x v="0"/>
    <x v="1"/>
    <x v="4"/>
    <n v="68.98"/>
    <n v="1"/>
    <n v="3.4489999999999998"/>
    <n v="72.429000000000002"/>
    <s v="1/21/2019"/>
    <d v="1899-12-30T20:13:00"/>
    <x v="1"/>
    <n v="68.98"/>
    <n v="4.7619047620000003"/>
    <x v="702"/>
    <n v="4.8"/>
    <d v="2019-01-21T00:00:00"/>
    <n v="1"/>
    <n v="20"/>
    <x v="16"/>
  </r>
  <r>
    <s v="760-27-5490"/>
    <x v="1"/>
    <s v="Naypyitaw"/>
    <x v="1"/>
    <x v="1"/>
    <x v="5"/>
    <n v="15.62"/>
    <n v="8"/>
    <n v="6.2480000000000002"/>
    <n v="131.208"/>
    <s v="1/20/2019"/>
    <d v="1899-12-30T20:37:00"/>
    <x v="0"/>
    <n v="124.96"/>
    <n v="4.7619047620000003"/>
    <x v="703"/>
    <n v="9.1"/>
    <d v="2019-01-20T00:00:00"/>
    <n v="1"/>
    <n v="20"/>
    <x v="7"/>
  </r>
  <r>
    <s v="445-30-9252"/>
    <x v="0"/>
    <s v="Yangon"/>
    <x v="1"/>
    <x v="1"/>
    <x v="3"/>
    <n v="25.7"/>
    <n v="3"/>
    <n v="3.855"/>
    <n v="80.954999999999998"/>
    <s v="1/17/2019"/>
    <d v="1899-12-30T17:59:00"/>
    <x v="0"/>
    <n v="77.099999999999994"/>
    <n v="4.7619047620000003"/>
    <x v="704"/>
    <n v="6.1"/>
    <d v="2019-01-17T00:00:00"/>
    <n v="1"/>
    <n v="17"/>
    <x v="17"/>
  </r>
  <r>
    <s v="786-94-2700"/>
    <x v="0"/>
    <s v="Yangon"/>
    <x v="0"/>
    <x v="1"/>
    <x v="4"/>
    <n v="80.62"/>
    <n v="6"/>
    <n v="24.186"/>
    <n v="507.90600000000001"/>
    <s v="2/28/2019"/>
    <d v="1899-12-30T20:18:00"/>
    <x v="1"/>
    <n v="483.72"/>
    <n v="4.7619047620000003"/>
    <x v="705"/>
    <n v="9.1"/>
    <d v="2019-02-28T00:00:00"/>
    <n v="2"/>
    <n v="20"/>
    <x v="19"/>
  </r>
  <r>
    <s v="728-88-7867"/>
    <x v="1"/>
    <s v="Naypyitaw"/>
    <x v="0"/>
    <x v="0"/>
    <x v="2"/>
    <n v="75.53"/>
    <n v="4"/>
    <n v="15.106"/>
    <n v="317.226"/>
    <s v="3/19/2019"/>
    <d v="1899-12-30T15:52:00"/>
    <x v="0"/>
    <n v="302.12"/>
    <n v="4.7619047620000003"/>
    <x v="706"/>
    <n v="8.3000000000000007"/>
    <d v="2019-03-19T00:00:00"/>
    <n v="3"/>
    <n v="15"/>
    <x v="24"/>
  </r>
  <r>
    <s v="183-21-3799"/>
    <x v="1"/>
    <s v="Naypyitaw"/>
    <x v="1"/>
    <x v="0"/>
    <x v="1"/>
    <n v="77.63"/>
    <n v="9"/>
    <n v="34.933500000000002"/>
    <n v="733.60350000000005"/>
    <s v="2/19/2019"/>
    <d v="1899-12-30T15:14:00"/>
    <x v="0"/>
    <n v="698.67"/>
    <n v="4.7619047620000003"/>
    <x v="707"/>
    <n v="7.2"/>
    <d v="2019-02-19T00:00:00"/>
    <n v="2"/>
    <n v="15"/>
    <x v="24"/>
  </r>
  <r>
    <s v="268-20-3585"/>
    <x v="1"/>
    <s v="Naypyitaw"/>
    <x v="1"/>
    <x v="0"/>
    <x v="0"/>
    <n v="13.85"/>
    <n v="9"/>
    <n v="6.2324999999999999"/>
    <n v="130.88249999999999"/>
    <d v="2019-04-02T00:00:00"/>
    <d v="1899-12-30T12:50:00"/>
    <x v="0"/>
    <n v="124.65"/>
    <n v="4.7619047620000003"/>
    <x v="708"/>
    <n v="6"/>
    <d v="2019-02-04T00:00:00"/>
    <n v="2"/>
    <n v="12"/>
    <x v="22"/>
  </r>
  <r>
    <s v="735-32-9839"/>
    <x v="1"/>
    <s v="Naypyitaw"/>
    <x v="0"/>
    <x v="1"/>
    <x v="5"/>
    <n v="98.7"/>
    <n v="8"/>
    <n v="39.479999999999997"/>
    <n v="829.08"/>
    <s v="1/31/2019"/>
    <d v="1899-12-30T10:36:00"/>
    <x v="0"/>
    <n v="789.6"/>
    <n v="4.7619047620000003"/>
    <x v="43"/>
    <n v="8.5"/>
    <d v="2019-01-31T00:00:00"/>
    <n v="1"/>
    <n v="10"/>
    <x v="30"/>
  </r>
  <r>
    <s v="258-92-7466"/>
    <x v="0"/>
    <s v="Yangon"/>
    <x v="1"/>
    <x v="0"/>
    <x v="0"/>
    <n v="35.68"/>
    <n v="5"/>
    <n v="8.92"/>
    <n v="187.32"/>
    <d v="2019-06-02T00:00:00"/>
    <d v="1899-12-30T18:33:00"/>
    <x v="2"/>
    <n v="178.4"/>
    <n v="4.7619047620000003"/>
    <x v="709"/>
    <n v="6.6"/>
    <d v="2019-02-06T00:00:00"/>
    <n v="2"/>
    <n v="18"/>
    <x v="20"/>
  </r>
  <r>
    <s v="857-16-3520"/>
    <x v="0"/>
    <s v="Yangon"/>
    <x v="0"/>
    <x v="0"/>
    <x v="5"/>
    <n v="71.459999999999994"/>
    <n v="7"/>
    <n v="25.010999999999999"/>
    <n v="525.23099999999999"/>
    <s v="3/28/2019"/>
    <d v="1899-12-30T16:06:00"/>
    <x v="0"/>
    <n v="500.22"/>
    <n v="4.7619047620000003"/>
    <x v="710"/>
    <n v="4.5"/>
    <d v="2019-03-28T00:00:00"/>
    <n v="3"/>
    <n v="16"/>
    <x v="19"/>
  </r>
  <r>
    <s v="482-17-1179"/>
    <x v="0"/>
    <s v="Yangon"/>
    <x v="0"/>
    <x v="1"/>
    <x v="1"/>
    <n v="11.94"/>
    <n v="3"/>
    <n v="1.7909999999999999"/>
    <n v="37.610999999999997"/>
    <s v="1/19/2019"/>
    <d v="1899-12-30T12:47:00"/>
    <x v="2"/>
    <n v="35.82"/>
    <n v="4.7619047620000003"/>
    <x v="711"/>
    <n v="8.1"/>
    <d v="2019-01-19T00:00:00"/>
    <n v="1"/>
    <n v="12"/>
    <x v="24"/>
  </r>
  <r>
    <s v="788-21-5741"/>
    <x v="0"/>
    <s v="Yangon"/>
    <x v="1"/>
    <x v="1"/>
    <x v="5"/>
    <n v="45.38"/>
    <n v="3"/>
    <n v="6.8070000000000004"/>
    <n v="142.947"/>
    <s v="2/17/2019"/>
    <d v="1899-12-30T13:34:00"/>
    <x v="2"/>
    <n v="136.13999999999999"/>
    <n v="4.7619047620000003"/>
    <x v="712"/>
    <n v="7.2"/>
    <d v="2019-02-17T00:00:00"/>
    <n v="2"/>
    <n v="13"/>
    <x v="17"/>
  </r>
  <r>
    <s v="821-14-9046"/>
    <x v="2"/>
    <s v="Mandalay"/>
    <x v="0"/>
    <x v="0"/>
    <x v="5"/>
    <n v="17.48"/>
    <n v="6"/>
    <n v="5.2439999999999998"/>
    <n v="110.124"/>
    <s v="1/18/2019"/>
    <d v="1899-12-30T15:04:00"/>
    <x v="2"/>
    <n v="104.88"/>
    <n v="4.7619047620000003"/>
    <x v="713"/>
    <n v="6.1"/>
    <d v="2019-01-18T00:00:00"/>
    <n v="1"/>
    <n v="15"/>
    <x v="28"/>
  </r>
  <r>
    <s v="418-05-0656"/>
    <x v="2"/>
    <s v="Mandalay"/>
    <x v="1"/>
    <x v="0"/>
    <x v="5"/>
    <n v="25.56"/>
    <n v="7"/>
    <n v="8.9459999999999997"/>
    <n v="187.86600000000001"/>
    <d v="2019-02-02T00:00:00"/>
    <d v="1899-12-30T20:42:00"/>
    <x v="1"/>
    <n v="178.92"/>
    <n v="4.7619047620000003"/>
    <x v="714"/>
    <n v="7.1"/>
    <d v="2019-02-02T00:00:00"/>
    <n v="2"/>
    <n v="20"/>
    <x v="8"/>
  </r>
  <r>
    <s v="678-79-0726"/>
    <x v="1"/>
    <s v="Naypyitaw"/>
    <x v="0"/>
    <x v="0"/>
    <x v="3"/>
    <n v="90.63"/>
    <n v="9"/>
    <n v="40.783499999999997"/>
    <n v="856.45349999999996"/>
    <s v="1/18/2019"/>
    <d v="1899-12-30T15:28:00"/>
    <x v="1"/>
    <n v="815.67"/>
    <n v="4.7619047620000003"/>
    <x v="715"/>
    <n v="5.0999999999999996"/>
    <d v="2019-01-18T00:00:00"/>
    <n v="1"/>
    <n v="15"/>
    <x v="28"/>
  </r>
  <r>
    <s v="776-68-1096"/>
    <x v="2"/>
    <s v="Mandalay"/>
    <x v="1"/>
    <x v="1"/>
    <x v="2"/>
    <n v="44.12"/>
    <n v="3"/>
    <n v="6.6180000000000003"/>
    <n v="138.97800000000001"/>
    <s v="3/18/2019"/>
    <d v="1899-12-30T13:45:00"/>
    <x v="2"/>
    <n v="132.36000000000001"/>
    <n v="4.7619047620000003"/>
    <x v="716"/>
    <n v="7.9"/>
    <d v="2019-03-18T00:00:00"/>
    <n v="3"/>
    <n v="13"/>
    <x v="28"/>
  </r>
  <r>
    <s v="592-46-1692"/>
    <x v="1"/>
    <s v="Naypyitaw"/>
    <x v="0"/>
    <x v="0"/>
    <x v="4"/>
    <n v="36.770000000000003"/>
    <n v="7"/>
    <n v="12.8695"/>
    <n v="270.2595"/>
    <d v="2019-11-01T00:00:00"/>
    <d v="1899-12-30T20:10:00"/>
    <x v="1"/>
    <n v="257.39"/>
    <n v="4.7619047620000003"/>
    <x v="717"/>
    <n v="7.4"/>
    <d v="2019-01-11T00:00:00"/>
    <n v="1"/>
    <n v="20"/>
    <x v="14"/>
  </r>
  <r>
    <s v="434-35-9162"/>
    <x v="2"/>
    <s v="Mandalay"/>
    <x v="0"/>
    <x v="1"/>
    <x v="4"/>
    <n v="23.34"/>
    <n v="4"/>
    <n v="4.6680000000000001"/>
    <n v="98.028000000000006"/>
    <d v="2019-04-02T00:00:00"/>
    <d v="1899-12-30T18:53:00"/>
    <x v="0"/>
    <n v="93.36"/>
    <n v="4.7619047620000003"/>
    <x v="718"/>
    <n v="7.4"/>
    <d v="2019-02-04T00:00:00"/>
    <n v="2"/>
    <n v="18"/>
    <x v="22"/>
  </r>
  <r>
    <s v="149-14-0304"/>
    <x v="1"/>
    <s v="Naypyitaw"/>
    <x v="0"/>
    <x v="0"/>
    <x v="0"/>
    <n v="28.5"/>
    <n v="8"/>
    <n v="11.4"/>
    <n v="239.4"/>
    <d v="2019-06-02T00:00:00"/>
    <d v="1899-12-30T14:24:00"/>
    <x v="1"/>
    <n v="228"/>
    <n v="4.7619047620000003"/>
    <x v="719"/>
    <n v="6.6"/>
    <d v="2019-02-06T00:00:00"/>
    <n v="2"/>
    <n v="14"/>
    <x v="20"/>
  </r>
  <r>
    <s v="442-44-6497"/>
    <x v="1"/>
    <s v="Naypyitaw"/>
    <x v="0"/>
    <x v="1"/>
    <x v="2"/>
    <n v="55.57"/>
    <n v="3"/>
    <n v="8.3354999999999997"/>
    <n v="175.0455"/>
    <d v="2019-08-01T00:00:00"/>
    <d v="1899-12-30T11:42:00"/>
    <x v="2"/>
    <n v="166.71"/>
    <n v="4.7619047620000003"/>
    <x v="720"/>
    <n v="5.9"/>
    <d v="2019-01-08T00:00:00"/>
    <n v="1"/>
    <n v="11"/>
    <x v="1"/>
  </r>
  <r>
    <s v="174-64-0215"/>
    <x v="2"/>
    <s v="Mandalay"/>
    <x v="1"/>
    <x v="1"/>
    <x v="3"/>
    <n v="69.739999999999995"/>
    <n v="10"/>
    <n v="34.869999999999997"/>
    <n v="732.27"/>
    <d v="2019-05-03T00:00:00"/>
    <d v="1899-12-30T17:49:00"/>
    <x v="2"/>
    <n v="697.4"/>
    <n v="4.7619047620000003"/>
    <x v="721"/>
    <n v="8.9"/>
    <d v="2019-03-05T00:00:00"/>
    <n v="3"/>
    <n v="17"/>
    <x v="0"/>
  </r>
  <r>
    <s v="210-74-9613"/>
    <x v="1"/>
    <s v="Naypyitaw"/>
    <x v="1"/>
    <x v="1"/>
    <x v="5"/>
    <n v="97.26"/>
    <n v="4"/>
    <n v="19.452000000000002"/>
    <n v="408.49200000000002"/>
    <s v="3/16/2019"/>
    <d v="1899-12-30T15:33:00"/>
    <x v="0"/>
    <n v="389.04"/>
    <n v="4.7619047620000003"/>
    <x v="722"/>
    <n v="6.8"/>
    <d v="2019-03-16T00:00:00"/>
    <n v="3"/>
    <n v="15"/>
    <x v="23"/>
  </r>
  <r>
    <s v="299-29-0180"/>
    <x v="2"/>
    <s v="Mandalay"/>
    <x v="0"/>
    <x v="0"/>
    <x v="2"/>
    <n v="52.18"/>
    <n v="7"/>
    <n v="18.263000000000002"/>
    <n v="383.52300000000002"/>
    <d v="2019-09-03T00:00:00"/>
    <d v="1899-12-30T10:54:00"/>
    <x v="1"/>
    <n v="365.26"/>
    <n v="4.7619047620000003"/>
    <x v="723"/>
    <n v="9.3000000000000007"/>
    <d v="2019-03-09T00:00:00"/>
    <n v="3"/>
    <n v="10"/>
    <x v="9"/>
  </r>
  <r>
    <s v="247-11-2470"/>
    <x v="0"/>
    <s v="Yangon"/>
    <x v="0"/>
    <x v="0"/>
    <x v="5"/>
    <n v="22.32"/>
    <n v="4"/>
    <n v="4.4640000000000004"/>
    <n v="93.744"/>
    <d v="2019-01-03T00:00:00"/>
    <d v="1899-12-30T16:23:00"/>
    <x v="2"/>
    <n v="89.28"/>
    <n v="4.7619047620000003"/>
    <x v="724"/>
    <n v="4.4000000000000004"/>
    <d v="2019-03-01T00:00:00"/>
    <n v="3"/>
    <n v="16"/>
    <x v="15"/>
  </r>
  <r>
    <s v="635-28-5728"/>
    <x v="0"/>
    <s v="Yangon"/>
    <x v="1"/>
    <x v="1"/>
    <x v="0"/>
    <n v="56"/>
    <n v="3"/>
    <n v="8.4"/>
    <n v="176.4"/>
    <s v="2/28/2019"/>
    <d v="1899-12-30T19:33:00"/>
    <x v="0"/>
    <n v="168"/>
    <n v="4.7619047620000003"/>
    <x v="725"/>
    <n v="4.8"/>
    <d v="2019-02-28T00:00:00"/>
    <n v="2"/>
    <n v="19"/>
    <x v="19"/>
  </r>
  <r>
    <s v="756-49-0168"/>
    <x v="0"/>
    <s v="Yangon"/>
    <x v="0"/>
    <x v="1"/>
    <x v="5"/>
    <n v="19.7"/>
    <n v="1"/>
    <n v="0.98499999999999999"/>
    <n v="20.684999999999999"/>
    <d v="2019-08-02T00:00:00"/>
    <d v="1899-12-30T11:39:00"/>
    <x v="0"/>
    <n v="19.7"/>
    <n v="4.7619047620000003"/>
    <x v="726"/>
    <n v="9.5"/>
    <d v="2019-02-08T00:00:00"/>
    <n v="2"/>
    <n v="11"/>
    <x v="1"/>
  </r>
  <r>
    <s v="438-23-1242"/>
    <x v="2"/>
    <s v="Mandalay"/>
    <x v="1"/>
    <x v="1"/>
    <x v="1"/>
    <n v="75.88"/>
    <n v="7"/>
    <n v="26.558"/>
    <n v="557.71799999999996"/>
    <s v="1/24/2019"/>
    <d v="1899-12-30T10:38:00"/>
    <x v="0"/>
    <n v="531.16"/>
    <n v="4.7619047620000003"/>
    <x v="727"/>
    <n v="8.9"/>
    <d v="2019-01-24T00:00:00"/>
    <n v="1"/>
    <n v="10"/>
    <x v="5"/>
  </r>
  <r>
    <s v="238-45-6950"/>
    <x v="2"/>
    <s v="Mandalay"/>
    <x v="0"/>
    <x v="1"/>
    <x v="4"/>
    <n v="53.72"/>
    <n v="1"/>
    <n v="2.6859999999999999"/>
    <n v="56.405999999999999"/>
    <d v="2019-01-03T00:00:00"/>
    <d v="1899-12-30T20:03:00"/>
    <x v="0"/>
    <n v="53.72"/>
    <n v="4.7619047620000003"/>
    <x v="728"/>
    <n v="6.4"/>
    <d v="2019-03-01T00:00:00"/>
    <n v="3"/>
    <n v="20"/>
    <x v="15"/>
  </r>
  <r>
    <s v="607-65-2441"/>
    <x v="1"/>
    <s v="Naypyitaw"/>
    <x v="0"/>
    <x v="1"/>
    <x v="0"/>
    <n v="81.95"/>
    <n v="10"/>
    <n v="40.975000000000001"/>
    <n v="860.47500000000002"/>
    <d v="2019-10-03T00:00:00"/>
    <d v="1899-12-30T12:39:00"/>
    <x v="2"/>
    <n v="819.5"/>
    <n v="4.7619047620000003"/>
    <x v="729"/>
    <n v="6"/>
    <d v="2019-03-10T00:00:00"/>
    <n v="3"/>
    <n v="12"/>
    <x v="6"/>
  </r>
  <r>
    <s v="386-27-7606"/>
    <x v="1"/>
    <s v="Naypyitaw"/>
    <x v="0"/>
    <x v="0"/>
    <x v="2"/>
    <n v="81.2"/>
    <n v="7"/>
    <n v="28.42"/>
    <n v="596.82000000000005"/>
    <s v="3/23/2019"/>
    <d v="1899-12-30T15:59:00"/>
    <x v="2"/>
    <n v="568.4"/>
    <n v="4.7619047620000003"/>
    <x v="730"/>
    <n v="8.1"/>
    <d v="2019-03-23T00:00:00"/>
    <n v="3"/>
    <n v="15"/>
    <x v="21"/>
  </r>
  <r>
    <s v="137-63-5492"/>
    <x v="1"/>
    <s v="Naypyitaw"/>
    <x v="1"/>
    <x v="1"/>
    <x v="1"/>
    <n v="58.76"/>
    <n v="10"/>
    <n v="29.38"/>
    <n v="616.98"/>
    <s v="1/29/2019"/>
    <d v="1899-12-30T14:26:00"/>
    <x v="0"/>
    <n v="587.6"/>
    <n v="4.7619047620000003"/>
    <x v="731"/>
    <n v="9"/>
    <d v="2019-01-29T00:00:00"/>
    <n v="1"/>
    <n v="14"/>
    <x v="12"/>
  </r>
  <r>
    <s v="197-77-7132"/>
    <x v="2"/>
    <s v="Mandalay"/>
    <x v="0"/>
    <x v="1"/>
    <x v="1"/>
    <n v="91.56"/>
    <n v="8"/>
    <n v="36.624000000000002"/>
    <n v="769.10400000000004"/>
    <d v="2019-12-01T00:00:00"/>
    <d v="1899-12-30T18:22:00"/>
    <x v="0"/>
    <n v="732.48"/>
    <n v="4.7619047620000003"/>
    <x v="732"/>
    <n v="6"/>
    <d v="2019-01-12T00:00:00"/>
    <n v="1"/>
    <n v="18"/>
    <x v="10"/>
  </r>
  <r>
    <s v="805-86-0265"/>
    <x v="0"/>
    <s v="Yangon"/>
    <x v="1"/>
    <x v="1"/>
    <x v="2"/>
    <n v="93.96"/>
    <n v="9"/>
    <n v="42.281999999999996"/>
    <n v="887.92200000000003"/>
    <s v="3/20/2019"/>
    <d v="1899-12-30T11:32:00"/>
    <x v="1"/>
    <n v="845.64"/>
    <n v="4.7619047620000003"/>
    <x v="733"/>
    <n v="9.8000000000000007"/>
    <d v="2019-03-20T00:00:00"/>
    <n v="3"/>
    <n v="11"/>
    <x v="7"/>
  </r>
  <r>
    <s v="733-29-1227"/>
    <x v="1"/>
    <s v="Naypyitaw"/>
    <x v="1"/>
    <x v="1"/>
    <x v="2"/>
    <n v="55.61"/>
    <n v="7"/>
    <n v="19.4635"/>
    <n v="408.73349999999999"/>
    <s v="3/23/2019"/>
    <d v="1899-12-30T12:41:00"/>
    <x v="1"/>
    <n v="389.27"/>
    <n v="4.7619047620000003"/>
    <x v="734"/>
    <n v="8.5"/>
    <d v="2019-03-23T00:00:00"/>
    <n v="3"/>
    <n v="12"/>
    <x v="21"/>
  </r>
  <r>
    <s v="451-73-2711"/>
    <x v="1"/>
    <s v="Naypyitaw"/>
    <x v="1"/>
    <x v="1"/>
    <x v="4"/>
    <n v="84.83"/>
    <n v="1"/>
    <n v="4.2415000000000003"/>
    <n v="89.0715"/>
    <s v="1/14/2019"/>
    <d v="1899-12-30T15:20:00"/>
    <x v="0"/>
    <n v="84.83"/>
    <n v="4.7619047620000003"/>
    <x v="735"/>
    <n v="8.8000000000000007"/>
    <d v="2019-01-14T00:00:00"/>
    <n v="1"/>
    <n v="15"/>
    <x v="25"/>
  </r>
  <r>
    <s v="373-14-0504"/>
    <x v="0"/>
    <s v="Yangon"/>
    <x v="0"/>
    <x v="0"/>
    <x v="3"/>
    <n v="71.63"/>
    <n v="2"/>
    <n v="7.1630000000000003"/>
    <n v="150.423"/>
    <d v="2019-12-02T00:00:00"/>
    <d v="1899-12-30T14:33:00"/>
    <x v="0"/>
    <n v="143.26"/>
    <n v="4.7619047620000003"/>
    <x v="736"/>
    <n v="8.8000000000000007"/>
    <d v="2019-02-12T00:00:00"/>
    <n v="2"/>
    <n v="14"/>
    <x v="10"/>
  </r>
  <r>
    <s v="546-80-2899"/>
    <x v="0"/>
    <s v="Yangon"/>
    <x v="0"/>
    <x v="1"/>
    <x v="2"/>
    <n v="37.69"/>
    <n v="2"/>
    <n v="3.7690000000000001"/>
    <n v="79.149000000000001"/>
    <s v="2/20/2019"/>
    <d v="1899-12-30T15:29:00"/>
    <x v="0"/>
    <n v="75.38"/>
    <n v="4.7619047620000003"/>
    <x v="737"/>
    <n v="9.5"/>
    <d v="2019-02-20T00:00:00"/>
    <n v="2"/>
    <n v="15"/>
    <x v="7"/>
  </r>
  <r>
    <s v="345-68-9016"/>
    <x v="1"/>
    <s v="Naypyitaw"/>
    <x v="0"/>
    <x v="0"/>
    <x v="3"/>
    <n v="31.67"/>
    <n v="8"/>
    <n v="12.667999999999999"/>
    <n v="266.02800000000002"/>
    <d v="2019-02-01T00:00:00"/>
    <d v="1899-12-30T16:19:00"/>
    <x v="2"/>
    <n v="253.36"/>
    <n v="4.7619047620000003"/>
    <x v="738"/>
    <n v="5.6"/>
    <d v="2019-01-02T00:00:00"/>
    <n v="1"/>
    <n v="16"/>
    <x v="8"/>
  </r>
  <r>
    <s v="390-17-5806"/>
    <x v="1"/>
    <s v="Naypyitaw"/>
    <x v="0"/>
    <x v="0"/>
    <x v="4"/>
    <n v="38.42"/>
    <n v="1"/>
    <n v="1.921"/>
    <n v="40.341000000000001"/>
    <d v="2019-02-02T00:00:00"/>
    <d v="1899-12-30T16:33:00"/>
    <x v="1"/>
    <n v="38.42"/>
    <n v="4.7619047620000003"/>
    <x v="739"/>
    <n v="8.6"/>
    <d v="2019-02-02T00:00:00"/>
    <n v="2"/>
    <n v="16"/>
    <x v="8"/>
  </r>
  <r>
    <s v="457-13-1708"/>
    <x v="2"/>
    <s v="Mandalay"/>
    <x v="0"/>
    <x v="1"/>
    <x v="5"/>
    <n v="65.23"/>
    <n v="10"/>
    <n v="32.615000000000002"/>
    <n v="684.91499999999996"/>
    <d v="2019-08-01T00:00:00"/>
    <d v="1899-12-30T19:07:00"/>
    <x v="2"/>
    <n v="652.29999999999995"/>
    <n v="4.7619047620000003"/>
    <x v="740"/>
    <n v="5.2"/>
    <d v="2019-01-08T00:00:00"/>
    <n v="1"/>
    <n v="19"/>
    <x v="1"/>
  </r>
  <r>
    <s v="664-14-2882"/>
    <x v="1"/>
    <s v="Naypyitaw"/>
    <x v="0"/>
    <x v="0"/>
    <x v="2"/>
    <n v="10.53"/>
    <n v="5"/>
    <n v="2.6324999999999998"/>
    <n v="55.282499999999999"/>
    <s v="1/30/2019"/>
    <d v="1899-12-30T14:43:00"/>
    <x v="2"/>
    <n v="52.65"/>
    <n v="4.7619047620000003"/>
    <x v="741"/>
    <n v="5.8"/>
    <d v="2019-01-30T00:00:00"/>
    <n v="1"/>
    <n v="14"/>
    <x v="29"/>
  </r>
  <r>
    <s v="487-79-6868"/>
    <x v="2"/>
    <s v="Mandalay"/>
    <x v="0"/>
    <x v="0"/>
    <x v="2"/>
    <n v="12.29"/>
    <n v="9"/>
    <n v="5.5305"/>
    <n v="116.1405"/>
    <s v="3/26/2019"/>
    <d v="1899-12-30T19:28:00"/>
    <x v="2"/>
    <n v="110.61"/>
    <n v="4.7619047620000003"/>
    <x v="742"/>
    <n v="8"/>
    <d v="2019-03-26T00:00:00"/>
    <n v="3"/>
    <n v="19"/>
    <x v="27"/>
  </r>
  <r>
    <s v="314-23-4520"/>
    <x v="1"/>
    <s v="Naypyitaw"/>
    <x v="0"/>
    <x v="1"/>
    <x v="0"/>
    <n v="81.23"/>
    <n v="7"/>
    <n v="28.430499999999999"/>
    <n v="597.04049999999995"/>
    <s v="1/15/2019"/>
    <d v="1899-12-30T20:44:00"/>
    <x v="1"/>
    <n v="568.61"/>
    <n v="4.7619047620000003"/>
    <x v="743"/>
    <n v="9"/>
    <d v="2019-01-15T00:00:00"/>
    <n v="1"/>
    <n v="20"/>
    <x v="13"/>
  </r>
  <r>
    <s v="210-30-7976"/>
    <x v="2"/>
    <s v="Mandalay"/>
    <x v="0"/>
    <x v="0"/>
    <x v="5"/>
    <n v="22.32"/>
    <n v="4"/>
    <n v="4.4640000000000004"/>
    <n v="93.744"/>
    <s v="3/14/2019"/>
    <d v="1899-12-30T11:16:00"/>
    <x v="0"/>
    <n v="89.28"/>
    <n v="4.7619047620000003"/>
    <x v="724"/>
    <n v="4.0999999999999996"/>
    <d v="2019-03-14T00:00:00"/>
    <n v="3"/>
    <n v="11"/>
    <x v="25"/>
  </r>
  <r>
    <s v="585-86-8361"/>
    <x v="0"/>
    <s v="Yangon"/>
    <x v="1"/>
    <x v="0"/>
    <x v="4"/>
    <n v="27.28"/>
    <n v="5"/>
    <n v="6.82"/>
    <n v="143.22"/>
    <d v="2019-03-02T00:00:00"/>
    <d v="1899-12-30T10:31:00"/>
    <x v="2"/>
    <n v="136.4"/>
    <n v="4.7619047620000003"/>
    <x v="744"/>
    <n v="8.6"/>
    <d v="2019-02-03T00:00:00"/>
    <n v="2"/>
    <n v="10"/>
    <x v="2"/>
  </r>
  <r>
    <s v="807-14-7833"/>
    <x v="0"/>
    <s v="Yangon"/>
    <x v="0"/>
    <x v="0"/>
    <x v="1"/>
    <n v="17.420000000000002"/>
    <n v="10"/>
    <n v="8.7100000000000009"/>
    <n v="182.91"/>
    <s v="2/22/2019"/>
    <d v="1899-12-30T12:30:00"/>
    <x v="0"/>
    <n v="174.2"/>
    <n v="4.7619047620000003"/>
    <x v="745"/>
    <n v="7"/>
    <d v="2019-02-22T00:00:00"/>
    <n v="2"/>
    <n v="12"/>
    <x v="18"/>
  </r>
  <r>
    <s v="775-72-1988"/>
    <x v="2"/>
    <s v="Mandalay"/>
    <x v="1"/>
    <x v="1"/>
    <x v="2"/>
    <n v="73.28"/>
    <n v="5"/>
    <n v="18.32"/>
    <n v="384.72"/>
    <s v="1/24/2019"/>
    <d v="1899-12-30T15:05:00"/>
    <x v="0"/>
    <n v="366.4"/>
    <n v="4.7619047620000003"/>
    <x v="746"/>
    <n v="8.4"/>
    <d v="2019-01-24T00:00:00"/>
    <n v="1"/>
    <n v="15"/>
    <x v="5"/>
  </r>
  <r>
    <s v="288-38-3758"/>
    <x v="1"/>
    <s v="Naypyitaw"/>
    <x v="0"/>
    <x v="0"/>
    <x v="5"/>
    <n v="84.87"/>
    <n v="3"/>
    <n v="12.730499999999999"/>
    <n v="267.34050000000002"/>
    <s v="1/25/2019"/>
    <d v="1899-12-30T18:30:00"/>
    <x v="0"/>
    <n v="254.61"/>
    <n v="4.7619047620000003"/>
    <x v="747"/>
    <n v="7.4"/>
    <d v="2019-01-25T00:00:00"/>
    <n v="1"/>
    <n v="18"/>
    <x v="4"/>
  </r>
  <r>
    <s v="652-43-6591"/>
    <x v="0"/>
    <s v="Yangon"/>
    <x v="1"/>
    <x v="0"/>
    <x v="5"/>
    <n v="97.29"/>
    <n v="8"/>
    <n v="38.915999999999997"/>
    <n v="817.23599999999999"/>
    <d v="2019-09-03T00:00:00"/>
    <d v="1899-12-30T13:18:00"/>
    <x v="2"/>
    <n v="778.32"/>
    <n v="4.7619047620000003"/>
    <x v="748"/>
    <n v="6.2"/>
    <d v="2019-03-09T00:00:00"/>
    <n v="3"/>
    <n v="13"/>
    <x v="9"/>
  </r>
  <r>
    <s v="785-96-0615"/>
    <x v="2"/>
    <s v="Mandalay"/>
    <x v="0"/>
    <x v="0"/>
    <x v="1"/>
    <n v="35.74"/>
    <n v="8"/>
    <n v="14.295999999999999"/>
    <n v="300.21600000000001"/>
    <s v="2/17/2019"/>
    <d v="1899-12-30T15:28:00"/>
    <x v="0"/>
    <n v="285.92"/>
    <n v="4.7619047620000003"/>
    <x v="749"/>
    <n v="4.9000000000000004"/>
    <d v="2019-02-17T00:00:00"/>
    <n v="2"/>
    <n v="15"/>
    <x v="17"/>
  </r>
  <r>
    <s v="406-46-7107"/>
    <x v="0"/>
    <s v="Yangon"/>
    <x v="1"/>
    <x v="0"/>
    <x v="2"/>
    <n v="96.52"/>
    <n v="6"/>
    <n v="28.956"/>
    <n v="608.07600000000002"/>
    <d v="2019-11-01T00:00:00"/>
    <d v="1899-12-30T11:52:00"/>
    <x v="1"/>
    <n v="579.12"/>
    <n v="4.7619047620000003"/>
    <x v="750"/>
    <n v="4.5"/>
    <d v="2019-01-11T00:00:00"/>
    <n v="1"/>
    <n v="11"/>
    <x v="14"/>
  </r>
  <r>
    <s v="250-17-5703"/>
    <x v="0"/>
    <s v="Yangon"/>
    <x v="0"/>
    <x v="1"/>
    <x v="4"/>
    <n v="18.850000000000001"/>
    <n v="10"/>
    <n v="9.4250000000000007"/>
    <n v="197.92500000000001"/>
    <s v="2/27/2019"/>
    <d v="1899-12-30T18:24:00"/>
    <x v="0"/>
    <n v="188.5"/>
    <n v="4.7619047620000003"/>
    <x v="751"/>
    <n v="5.6"/>
    <d v="2019-02-27T00:00:00"/>
    <n v="2"/>
    <n v="18"/>
    <x v="3"/>
  </r>
  <r>
    <s v="156-95-3964"/>
    <x v="0"/>
    <s v="Yangon"/>
    <x v="1"/>
    <x v="0"/>
    <x v="4"/>
    <n v="55.39"/>
    <n v="4"/>
    <n v="11.077999999999999"/>
    <n v="232.63800000000001"/>
    <s v="3/25/2019"/>
    <d v="1899-12-30T15:19:00"/>
    <x v="0"/>
    <n v="221.56"/>
    <n v="4.7619047620000003"/>
    <x v="752"/>
    <n v="8"/>
    <d v="2019-03-25T00:00:00"/>
    <n v="3"/>
    <n v="15"/>
    <x v="4"/>
  </r>
  <r>
    <s v="842-40-8179"/>
    <x v="2"/>
    <s v="Mandalay"/>
    <x v="0"/>
    <x v="0"/>
    <x v="4"/>
    <n v="77.2"/>
    <n v="10"/>
    <n v="38.6"/>
    <n v="810.6"/>
    <d v="2019-11-02T00:00:00"/>
    <d v="1899-12-30T10:38:00"/>
    <x v="2"/>
    <n v="772"/>
    <n v="4.7619047620000003"/>
    <x v="753"/>
    <n v="5.6"/>
    <d v="2019-02-11T00:00:00"/>
    <n v="2"/>
    <n v="10"/>
    <x v="14"/>
  </r>
  <r>
    <s v="525-09-8450"/>
    <x v="2"/>
    <s v="Mandalay"/>
    <x v="1"/>
    <x v="1"/>
    <x v="1"/>
    <n v="72.13"/>
    <n v="10"/>
    <n v="36.064999999999998"/>
    <n v="757.36500000000001"/>
    <s v="1/31/2019"/>
    <d v="1899-12-30T15:12:00"/>
    <x v="2"/>
    <n v="721.3"/>
    <n v="4.7619047620000003"/>
    <x v="754"/>
    <n v="4.2"/>
    <d v="2019-01-31T00:00:00"/>
    <n v="1"/>
    <n v="15"/>
    <x v="30"/>
  </r>
  <r>
    <s v="410-67-1709"/>
    <x v="0"/>
    <s v="Yangon"/>
    <x v="0"/>
    <x v="0"/>
    <x v="5"/>
    <n v="63.88"/>
    <n v="8"/>
    <n v="25.552"/>
    <n v="536.59199999999998"/>
    <s v="1/20/2019"/>
    <d v="1899-12-30T17:48:00"/>
    <x v="0"/>
    <n v="511.04"/>
    <n v="4.7619047620000003"/>
    <x v="755"/>
    <n v="9.9"/>
    <d v="2019-01-20T00:00:00"/>
    <n v="1"/>
    <n v="17"/>
    <x v="7"/>
  </r>
  <r>
    <s v="587-73-4862"/>
    <x v="0"/>
    <s v="Yangon"/>
    <x v="0"/>
    <x v="0"/>
    <x v="0"/>
    <n v="10.69"/>
    <n v="5"/>
    <n v="2.6724999999999999"/>
    <n v="56.122500000000002"/>
    <s v="3/26/2019"/>
    <d v="1899-12-30T11:07:00"/>
    <x v="0"/>
    <n v="53.45"/>
    <n v="4.7619047620000003"/>
    <x v="756"/>
    <n v="7.6"/>
    <d v="2019-03-26T00:00:00"/>
    <n v="3"/>
    <n v="11"/>
    <x v="27"/>
  </r>
  <r>
    <s v="787-87-2010"/>
    <x v="0"/>
    <s v="Yangon"/>
    <x v="0"/>
    <x v="1"/>
    <x v="0"/>
    <n v="55.5"/>
    <n v="4"/>
    <n v="11.1"/>
    <n v="233.1"/>
    <s v="1/20/2019"/>
    <d v="1899-12-30T15:48:00"/>
    <x v="2"/>
    <n v="222"/>
    <n v="4.7619047620000003"/>
    <x v="757"/>
    <n v="6.6"/>
    <d v="2019-01-20T00:00:00"/>
    <n v="1"/>
    <n v="15"/>
    <x v="7"/>
  </r>
  <r>
    <s v="593-14-4239"/>
    <x v="2"/>
    <s v="Mandalay"/>
    <x v="1"/>
    <x v="0"/>
    <x v="2"/>
    <n v="95.46"/>
    <n v="8"/>
    <n v="38.183999999999997"/>
    <n v="801.86400000000003"/>
    <d v="2019-05-03T00:00:00"/>
    <d v="1899-12-30T19:40:00"/>
    <x v="0"/>
    <n v="763.68"/>
    <n v="4.7619047620000003"/>
    <x v="758"/>
    <n v="4.7"/>
    <d v="2019-03-05T00:00:00"/>
    <n v="3"/>
    <n v="19"/>
    <x v="0"/>
  </r>
  <r>
    <s v="801-88-0346"/>
    <x v="1"/>
    <s v="Naypyitaw"/>
    <x v="1"/>
    <x v="0"/>
    <x v="5"/>
    <n v="76.06"/>
    <n v="3"/>
    <n v="11.409000000000001"/>
    <n v="239.589"/>
    <d v="2019-05-01T00:00:00"/>
    <d v="1899-12-30T20:30:00"/>
    <x v="2"/>
    <n v="228.18"/>
    <n v="4.7619047620000003"/>
    <x v="759"/>
    <n v="9.8000000000000007"/>
    <d v="2019-01-05T00:00:00"/>
    <n v="1"/>
    <n v="20"/>
    <x v="0"/>
  </r>
  <r>
    <s v="388-76-2555"/>
    <x v="2"/>
    <s v="Mandalay"/>
    <x v="1"/>
    <x v="1"/>
    <x v="3"/>
    <n v="13.69"/>
    <n v="6"/>
    <n v="4.1070000000000002"/>
    <n v="86.247"/>
    <s v="2/13/2019"/>
    <d v="1899-12-30T13:59:00"/>
    <x v="1"/>
    <n v="82.14"/>
    <n v="4.7619047620000003"/>
    <x v="760"/>
    <n v="6.3"/>
    <d v="2019-02-13T00:00:00"/>
    <n v="2"/>
    <n v="13"/>
    <x v="26"/>
  </r>
  <r>
    <s v="711-31-1234"/>
    <x v="2"/>
    <s v="Mandalay"/>
    <x v="1"/>
    <x v="0"/>
    <x v="1"/>
    <n v="95.64"/>
    <n v="4"/>
    <n v="19.128"/>
    <n v="401.68799999999999"/>
    <s v="3/16/2019"/>
    <d v="1899-12-30T18:51:00"/>
    <x v="1"/>
    <n v="382.56"/>
    <n v="4.7619047620000003"/>
    <x v="761"/>
    <n v="7.9"/>
    <d v="2019-03-16T00:00:00"/>
    <n v="3"/>
    <n v="18"/>
    <x v="23"/>
  </r>
  <r>
    <s v="886-54-6089"/>
    <x v="0"/>
    <s v="Yangon"/>
    <x v="1"/>
    <x v="0"/>
    <x v="2"/>
    <n v="11.43"/>
    <n v="6"/>
    <n v="3.4289999999999998"/>
    <n v="72.009"/>
    <s v="1/15/2019"/>
    <d v="1899-12-30T17:24:00"/>
    <x v="1"/>
    <n v="68.58"/>
    <n v="4.7619047620000003"/>
    <x v="762"/>
    <n v="7.7"/>
    <d v="2019-01-15T00:00:00"/>
    <n v="1"/>
    <n v="17"/>
    <x v="13"/>
  </r>
  <r>
    <s v="707-32-7409"/>
    <x v="2"/>
    <s v="Mandalay"/>
    <x v="0"/>
    <x v="0"/>
    <x v="3"/>
    <n v="95.54"/>
    <n v="4"/>
    <n v="19.108000000000001"/>
    <n v="401.26799999999997"/>
    <s v="2/26/2019"/>
    <d v="1899-12-30T11:58:00"/>
    <x v="0"/>
    <n v="382.16"/>
    <n v="4.7619047620000003"/>
    <x v="763"/>
    <n v="4.5"/>
    <d v="2019-02-26T00:00:00"/>
    <n v="2"/>
    <n v="11"/>
    <x v="27"/>
  </r>
  <r>
    <s v="759-98-4285"/>
    <x v="1"/>
    <s v="Naypyitaw"/>
    <x v="0"/>
    <x v="0"/>
    <x v="0"/>
    <n v="85.87"/>
    <n v="7"/>
    <n v="30.054500000000001"/>
    <n v="631.14449999999999"/>
    <s v="2/27/2019"/>
    <d v="1899-12-30T19:01:00"/>
    <x v="2"/>
    <n v="601.09"/>
    <n v="4.7619047620000003"/>
    <x v="764"/>
    <n v="8"/>
    <d v="2019-02-27T00:00:00"/>
    <n v="2"/>
    <n v="19"/>
    <x v="3"/>
  </r>
  <r>
    <s v="201-63-8275"/>
    <x v="1"/>
    <s v="Naypyitaw"/>
    <x v="0"/>
    <x v="0"/>
    <x v="3"/>
    <n v="67.989999999999995"/>
    <n v="7"/>
    <n v="23.796500000000002"/>
    <n v="499.72649999999999"/>
    <s v="2/17/2019"/>
    <d v="1899-12-30T16:50:00"/>
    <x v="0"/>
    <n v="475.93"/>
    <n v="4.7619047620000003"/>
    <x v="765"/>
    <n v="5.7"/>
    <d v="2019-02-17T00:00:00"/>
    <n v="2"/>
    <n v="16"/>
    <x v="17"/>
  </r>
  <r>
    <s v="471-06-8611"/>
    <x v="1"/>
    <s v="Naypyitaw"/>
    <x v="1"/>
    <x v="0"/>
    <x v="4"/>
    <n v="52.42"/>
    <n v="1"/>
    <n v="2.621"/>
    <n v="55.040999999999997"/>
    <d v="2019-06-02T00:00:00"/>
    <d v="1899-12-30T10:22:00"/>
    <x v="2"/>
    <n v="52.42"/>
    <n v="4.7619047620000003"/>
    <x v="766"/>
    <n v="6.3"/>
    <d v="2019-02-06T00:00:00"/>
    <n v="2"/>
    <n v="10"/>
    <x v="20"/>
  </r>
  <r>
    <s v="200-16-5952"/>
    <x v="1"/>
    <s v="Naypyitaw"/>
    <x v="0"/>
    <x v="1"/>
    <x v="4"/>
    <n v="65.650000000000006"/>
    <n v="2"/>
    <n v="6.5650000000000004"/>
    <n v="137.86500000000001"/>
    <s v="1/17/2019"/>
    <d v="1899-12-30T16:46:00"/>
    <x v="1"/>
    <n v="131.30000000000001"/>
    <n v="4.7619047620000003"/>
    <x v="767"/>
    <n v="6"/>
    <d v="2019-01-17T00:00:00"/>
    <n v="1"/>
    <n v="16"/>
    <x v="17"/>
  </r>
  <r>
    <s v="120-54-2248"/>
    <x v="2"/>
    <s v="Mandalay"/>
    <x v="1"/>
    <x v="0"/>
    <x v="4"/>
    <n v="28.86"/>
    <n v="5"/>
    <n v="7.2149999999999999"/>
    <n v="151.51499999999999"/>
    <s v="1/22/2019"/>
    <d v="1899-12-30T18:08:00"/>
    <x v="2"/>
    <n v="144.30000000000001"/>
    <n v="4.7619047620000003"/>
    <x v="768"/>
    <n v="8"/>
    <d v="2019-01-22T00:00:00"/>
    <n v="1"/>
    <n v="18"/>
    <x v="18"/>
  </r>
  <r>
    <s v="102-77-2261"/>
    <x v="1"/>
    <s v="Naypyitaw"/>
    <x v="0"/>
    <x v="1"/>
    <x v="0"/>
    <n v="65.31"/>
    <n v="7"/>
    <n v="22.858499999999999"/>
    <n v="480.02850000000001"/>
    <d v="2019-05-03T00:00:00"/>
    <d v="1899-12-30T18:02:00"/>
    <x v="2"/>
    <n v="457.17"/>
    <n v="4.7619047620000003"/>
    <x v="769"/>
    <n v="4.2"/>
    <d v="2019-03-05T00:00:00"/>
    <n v="3"/>
    <n v="18"/>
    <x v="0"/>
  </r>
  <r>
    <s v="875-31-8302"/>
    <x v="2"/>
    <s v="Mandalay"/>
    <x v="1"/>
    <x v="1"/>
    <x v="3"/>
    <n v="93.38"/>
    <n v="1"/>
    <n v="4.6689999999999996"/>
    <n v="98.049000000000007"/>
    <d v="2019-03-01T00:00:00"/>
    <d v="1899-12-30T13:07:00"/>
    <x v="1"/>
    <n v="93.38"/>
    <n v="4.7619047620000003"/>
    <x v="770"/>
    <n v="9.6"/>
    <d v="2019-01-03T00:00:00"/>
    <n v="1"/>
    <n v="13"/>
    <x v="2"/>
  </r>
  <r>
    <s v="102-06-2002"/>
    <x v="1"/>
    <s v="Naypyitaw"/>
    <x v="0"/>
    <x v="1"/>
    <x v="3"/>
    <n v="25.25"/>
    <n v="5"/>
    <n v="6.3125"/>
    <n v="132.5625"/>
    <s v="3/20/2019"/>
    <d v="1899-12-30T17:52:00"/>
    <x v="1"/>
    <n v="126.25"/>
    <n v="4.7619047620000003"/>
    <x v="771"/>
    <n v="6.1"/>
    <d v="2019-03-20T00:00:00"/>
    <n v="3"/>
    <n v="17"/>
    <x v="7"/>
  </r>
  <r>
    <s v="457-94-0464"/>
    <x v="2"/>
    <s v="Mandalay"/>
    <x v="0"/>
    <x v="1"/>
    <x v="1"/>
    <n v="87.87"/>
    <n v="9"/>
    <n v="39.541499999999999"/>
    <n v="830.37149999999997"/>
    <s v="1/31/2019"/>
    <d v="1899-12-30T20:32:00"/>
    <x v="0"/>
    <n v="790.83"/>
    <n v="4.7619047620000003"/>
    <x v="772"/>
    <n v="5.6"/>
    <d v="2019-01-31T00:00:00"/>
    <n v="1"/>
    <n v="20"/>
    <x v="30"/>
  </r>
  <r>
    <s v="629-42-4133"/>
    <x v="1"/>
    <s v="Naypyitaw"/>
    <x v="1"/>
    <x v="1"/>
    <x v="0"/>
    <n v="21.8"/>
    <n v="8"/>
    <n v="8.7200000000000006"/>
    <n v="183.12"/>
    <s v="2/19/2019"/>
    <d v="1899-12-30T19:24:00"/>
    <x v="1"/>
    <n v="174.4"/>
    <n v="4.7619047620000003"/>
    <x v="773"/>
    <n v="8.3000000000000007"/>
    <d v="2019-02-19T00:00:00"/>
    <n v="2"/>
    <n v="19"/>
    <x v="24"/>
  </r>
  <r>
    <s v="534-53-3526"/>
    <x v="0"/>
    <s v="Yangon"/>
    <x v="1"/>
    <x v="0"/>
    <x v="3"/>
    <n v="94.76"/>
    <n v="4"/>
    <n v="18.952000000000002"/>
    <n v="397.99200000000002"/>
    <d v="2019-11-02T00:00:00"/>
    <d v="1899-12-30T16:06:00"/>
    <x v="0"/>
    <n v="379.04"/>
    <n v="4.7619047620000003"/>
    <x v="774"/>
    <n v="7.8"/>
    <d v="2019-02-11T00:00:00"/>
    <n v="2"/>
    <n v="16"/>
    <x v="14"/>
  </r>
  <r>
    <s v="307-04-2070"/>
    <x v="0"/>
    <s v="Yangon"/>
    <x v="0"/>
    <x v="0"/>
    <x v="5"/>
    <n v="30.62"/>
    <n v="1"/>
    <n v="1.5309999999999999"/>
    <n v="32.151000000000003"/>
    <d v="2019-05-02T00:00:00"/>
    <d v="1899-12-30T14:14:00"/>
    <x v="2"/>
    <n v="30.62"/>
    <n v="4.7619047620000003"/>
    <x v="775"/>
    <n v="4.0999999999999996"/>
    <d v="2019-02-05T00:00:00"/>
    <n v="2"/>
    <n v="14"/>
    <x v="0"/>
  </r>
  <r>
    <s v="468-99-7231"/>
    <x v="1"/>
    <s v="Naypyitaw"/>
    <x v="1"/>
    <x v="0"/>
    <x v="2"/>
    <n v="44.01"/>
    <n v="8"/>
    <n v="17.603999999999999"/>
    <n v="369.68400000000003"/>
    <d v="2019-03-03T00:00:00"/>
    <d v="1899-12-30T17:36:00"/>
    <x v="1"/>
    <n v="352.08"/>
    <n v="4.7619047620000003"/>
    <x v="776"/>
    <n v="8.8000000000000007"/>
    <d v="2019-03-03T00:00:00"/>
    <n v="3"/>
    <n v="17"/>
    <x v="2"/>
  </r>
  <r>
    <s v="516-77-6464"/>
    <x v="1"/>
    <s v="Naypyitaw"/>
    <x v="0"/>
    <x v="0"/>
    <x v="0"/>
    <n v="10.16"/>
    <n v="5"/>
    <n v="2.54"/>
    <n v="53.34"/>
    <s v="2/24/2019"/>
    <d v="1899-12-30T13:08:00"/>
    <x v="0"/>
    <n v="50.8"/>
    <n v="4.7619047620000003"/>
    <x v="777"/>
    <n v="4.0999999999999996"/>
    <d v="2019-02-24T00:00:00"/>
    <n v="2"/>
    <n v="13"/>
    <x v="5"/>
  </r>
  <r>
    <s v="404-91-5964"/>
    <x v="0"/>
    <s v="Yangon"/>
    <x v="1"/>
    <x v="1"/>
    <x v="1"/>
    <n v="74.58"/>
    <n v="7"/>
    <n v="26.103000000000002"/>
    <n v="548.16300000000001"/>
    <d v="2019-04-02T00:00:00"/>
    <d v="1899-12-30T16:09:00"/>
    <x v="2"/>
    <n v="522.05999999999995"/>
    <n v="4.7619047620000003"/>
    <x v="778"/>
    <n v="9"/>
    <d v="2019-02-04T00:00:00"/>
    <n v="2"/>
    <n v="16"/>
    <x v="22"/>
  </r>
  <r>
    <s v="886-77-9084"/>
    <x v="1"/>
    <s v="Naypyitaw"/>
    <x v="1"/>
    <x v="1"/>
    <x v="1"/>
    <n v="71.89"/>
    <n v="8"/>
    <n v="28.756"/>
    <n v="603.87599999999998"/>
    <s v="2/19/2019"/>
    <d v="1899-12-30T11:33:00"/>
    <x v="0"/>
    <n v="575.12"/>
    <n v="4.7619047620000003"/>
    <x v="779"/>
    <n v="5.5"/>
    <d v="2019-02-19T00:00:00"/>
    <n v="2"/>
    <n v="11"/>
    <x v="24"/>
  </r>
  <r>
    <s v="790-38-4466"/>
    <x v="1"/>
    <s v="Naypyitaw"/>
    <x v="1"/>
    <x v="0"/>
    <x v="0"/>
    <n v="10.99"/>
    <n v="5"/>
    <n v="2.7475000000000001"/>
    <n v="57.697499999999998"/>
    <s v="1/23/2019"/>
    <d v="1899-12-30T10:18:00"/>
    <x v="2"/>
    <n v="54.95"/>
    <n v="4.7619047620000003"/>
    <x v="780"/>
    <n v="9.3000000000000007"/>
    <d v="2019-01-23T00:00:00"/>
    <n v="1"/>
    <n v="10"/>
    <x v="21"/>
  </r>
  <r>
    <s v="704-10-4056"/>
    <x v="1"/>
    <s v="Naypyitaw"/>
    <x v="0"/>
    <x v="1"/>
    <x v="0"/>
    <n v="60.47"/>
    <n v="3"/>
    <n v="9.0704999999999991"/>
    <n v="190.48050000000001"/>
    <s v="1/14/2019"/>
    <d v="1899-12-30T10:55:00"/>
    <x v="2"/>
    <n v="181.41"/>
    <n v="4.7619047620000003"/>
    <x v="781"/>
    <n v="5.6"/>
    <d v="2019-01-14T00:00:00"/>
    <n v="1"/>
    <n v="10"/>
    <x v="25"/>
  </r>
  <r>
    <s v="497-37-6538"/>
    <x v="0"/>
    <s v="Yangon"/>
    <x v="1"/>
    <x v="1"/>
    <x v="3"/>
    <n v="58.91"/>
    <n v="7"/>
    <n v="20.618500000000001"/>
    <n v="432.98849999999999"/>
    <s v="1/17/2019"/>
    <d v="1899-12-30T15:15:00"/>
    <x v="0"/>
    <n v="412.37"/>
    <n v="4.7619047620000003"/>
    <x v="782"/>
    <n v="9.6999999999999993"/>
    <d v="2019-01-17T00:00:00"/>
    <n v="1"/>
    <n v="15"/>
    <x v="17"/>
  </r>
  <r>
    <s v="651-96-5970"/>
    <x v="0"/>
    <s v="Yangon"/>
    <x v="1"/>
    <x v="1"/>
    <x v="5"/>
    <n v="46.41"/>
    <n v="1"/>
    <n v="2.3205"/>
    <n v="48.730499999999999"/>
    <d v="2019-03-03T00:00:00"/>
    <d v="1899-12-30T20:06:00"/>
    <x v="2"/>
    <n v="46.41"/>
    <n v="4.7619047620000003"/>
    <x v="783"/>
    <n v="4"/>
    <d v="2019-03-03T00:00:00"/>
    <n v="3"/>
    <n v="20"/>
    <x v="2"/>
  </r>
  <r>
    <s v="400-80-4065"/>
    <x v="1"/>
    <s v="Naypyitaw"/>
    <x v="0"/>
    <x v="1"/>
    <x v="0"/>
    <n v="68.55"/>
    <n v="4"/>
    <n v="13.71"/>
    <n v="287.91000000000003"/>
    <s v="2/15/2019"/>
    <d v="1899-12-30T20:21:00"/>
    <x v="2"/>
    <n v="274.2"/>
    <n v="4.7619047620000003"/>
    <x v="784"/>
    <n v="9.1999999999999993"/>
    <d v="2019-02-15T00:00:00"/>
    <n v="2"/>
    <n v="20"/>
    <x v="13"/>
  </r>
  <r>
    <s v="744-16-7898"/>
    <x v="2"/>
    <s v="Mandalay"/>
    <x v="1"/>
    <x v="0"/>
    <x v="2"/>
    <n v="97.37"/>
    <n v="10"/>
    <n v="48.685000000000002"/>
    <n v="1022.385"/>
    <s v="1/15/2019"/>
    <d v="1899-12-30T13:48:00"/>
    <x v="2"/>
    <n v="973.7"/>
    <n v="4.7619047620000003"/>
    <x v="785"/>
    <n v="4.9000000000000004"/>
    <d v="2019-01-15T00:00:00"/>
    <n v="1"/>
    <n v="13"/>
    <x v="13"/>
  </r>
  <r>
    <s v="263-12-5321"/>
    <x v="0"/>
    <s v="Yangon"/>
    <x v="0"/>
    <x v="1"/>
    <x v="1"/>
    <n v="92.6"/>
    <n v="7"/>
    <n v="32.409999999999997"/>
    <n v="680.61"/>
    <s v="2/27/2019"/>
    <d v="1899-12-30T12:52:00"/>
    <x v="2"/>
    <n v="648.20000000000005"/>
    <n v="4.7619047620000003"/>
    <x v="786"/>
    <n v="9.3000000000000007"/>
    <d v="2019-02-27T00:00:00"/>
    <n v="2"/>
    <n v="12"/>
    <x v="3"/>
  </r>
  <r>
    <s v="702-72-0487"/>
    <x v="0"/>
    <s v="Yangon"/>
    <x v="1"/>
    <x v="0"/>
    <x v="1"/>
    <n v="46.61"/>
    <n v="2"/>
    <n v="4.6609999999999996"/>
    <n v="97.881"/>
    <s v="2/26/2019"/>
    <d v="1899-12-30T12:28:00"/>
    <x v="2"/>
    <n v="93.22"/>
    <n v="4.7619047620000003"/>
    <x v="787"/>
    <n v="6.6"/>
    <d v="2019-02-26T00:00:00"/>
    <n v="2"/>
    <n v="12"/>
    <x v="27"/>
  </r>
  <r>
    <s v="605-83-1050"/>
    <x v="2"/>
    <s v="Mandalay"/>
    <x v="1"/>
    <x v="1"/>
    <x v="5"/>
    <n v="27.18"/>
    <n v="2"/>
    <n v="2.718"/>
    <n v="57.078000000000003"/>
    <s v="3/15/2019"/>
    <d v="1899-12-30T16:26:00"/>
    <x v="0"/>
    <n v="54.36"/>
    <n v="4.7619047620000003"/>
    <x v="788"/>
    <n v="4.3"/>
    <d v="2019-03-15T00:00:00"/>
    <n v="3"/>
    <n v="16"/>
    <x v="13"/>
  </r>
  <r>
    <s v="443-60-9639"/>
    <x v="1"/>
    <s v="Naypyitaw"/>
    <x v="0"/>
    <x v="0"/>
    <x v="2"/>
    <n v="60.87"/>
    <n v="1"/>
    <n v="3.0434999999999999"/>
    <n v="63.913499999999999"/>
    <s v="1/24/2019"/>
    <d v="1899-12-30T13:24:00"/>
    <x v="1"/>
    <n v="60.87"/>
    <n v="4.7619047620000003"/>
    <x v="789"/>
    <n v="5.5"/>
    <d v="2019-01-24T00:00:00"/>
    <n v="1"/>
    <n v="13"/>
    <x v="5"/>
  </r>
  <r>
    <s v="864-24-7918"/>
    <x v="0"/>
    <s v="Yangon"/>
    <x v="0"/>
    <x v="0"/>
    <x v="3"/>
    <n v="24.49"/>
    <n v="10"/>
    <n v="12.244999999999999"/>
    <n v="257.14499999999998"/>
    <s v="2/22/2019"/>
    <d v="1899-12-30T15:15:00"/>
    <x v="1"/>
    <n v="244.9"/>
    <n v="4.7619047620000003"/>
    <x v="790"/>
    <n v="8.1"/>
    <d v="2019-02-22T00:00:00"/>
    <n v="2"/>
    <n v="15"/>
    <x v="18"/>
  </r>
  <r>
    <s v="359-94-5395"/>
    <x v="2"/>
    <s v="Mandalay"/>
    <x v="1"/>
    <x v="1"/>
    <x v="0"/>
    <n v="92.78"/>
    <n v="1"/>
    <n v="4.6390000000000002"/>
    <n v="97.418999999999997"/>
    <s v="3/15/2019"/>
    <d v="1899-12-30T10:50:00"/>
    <x v="2"/>
    <n v="92.78"/>
    <n v="4.7619047620000003"/>
    <x v="791"/>
    <n v="9.8000000000000007"/>
    <d v="2019-03-15T00:00:00"/>
    <n v="3"/>
    <n v="10"/>
    <x v="13"/>
  </r>
  <r>
    <s v="401-09-4232"/>
    <x v="1"/>
    <s v="Naypyitaw"/>
    <x v="0"/>
    <x v="1"/>
    <x v="2"/>
    <n v="86.69"/>
    <n v="5"/>
    <n v="21.672499999999999"/>
    <n v="455.1225"/>
    <d v="2019-11-02T00:00:00"/>
    <d v="1899-12-30T18:38:00"/>
    <x v="0"/>
    <n v="433.45"/>
    <n v="4.7619047620000003"/>
    <x v="792"/>
    <n v="9.4"/>
    <d v="2019-02-11T00:00:00"/>
    <n v="2"/>
    <n v="18"/>
    <x v="14"/>
  </r>
  <r>
    <s v="751-15-6198"/>
    <x v="2"/>
    <s v="Mandalay"/>
    <x v="1"/>
    <x v="1"/>
    <x v="3"/>
    <n v="23.01"/>
    <n v="6"/>
    <n v="6.9029999999999996"/>
    <n v="144.96299999999999"/>
    <d v="2019-12-01T00:00:00"/>
    <d v="1899-12-30T16:45:00"/>
    <x v="0"/>
    <n v="138.06"/>
    <n v="4.7619047620000003"/>
    <x v="793"/>
    <n v="7.9"/>
    <d v="2019-01-12T00:00:00"/>
    <n v="1"/>
    <n v="16"/>
    <x v="10"/>
  </r>
  <r>
    <s v="324-41-6833"/>
    <x v="1"/>
    <s v="Naypyitaw"/>
    <x v="0"/>
    <x v="0"/>
    <x v="1"/>
    <n v="30.2"/>
    <n v="8"/>
    <n v="12.08"/>
    <n v="253.68"/>
    <d v="2019-03-03T00:00:00"/>
    <d v="1899-12-30T19:30:00"/>
    <x v="0"/>
    <n v="241.6"/>
    <n v="4.7619047620000003"/>
    <x v="794"/>
    <n v="5.0999999999999996"/>
    <d v="2019-03-03T00:00:00"/>
    <n v="3"/>
    <n v="19"/>
    <x v="2"/>
  </r>
  <r>
    <s v="474-33-8305"/>
    <x v="1"/>
    <s v="Naypyitaw"/>
    <x v="0"/>
    <x v="1"/>
    <x v="5"/>
    <n v="67.39"/>
    <n v="7"/>
    <n v="23.586500000000001"/>
    <n v="495.31650000000002"/>
    <s v="3/23/2019"/>
    <d v="1899-12-30T13:23:00"/>
    <x v="0"/>
    <n v="471.73"/>
    <n v="4.7619047620000003"/>
    <x v="795"/>
    <n v="6.9"/>
    <d v="2019-03-23T00:00:00"/>
    <n v="3"/>
    <n v="13"/>
    <x v="21"/>
  </r>
  <r>
    <s v="759-29-9521"/>
    <x v="0"/>
    <s v="Yangon"/>
    <x v="0"/>
    <x v="0"/>
    <x v="5"/>
    <n v="48.96"/>
    <n v="9"/>
    <n v="22.032"/>
    <n v="462.67200000000003"/>
    <d v="2019-04-03T00:00:00"/>
    <d v="1899-12-30T11:27:00"/>
    <x v="1"/>
    <n v="440.64"/>
    <n v="4.7619047620000003"/>
    <x v="796"/>
    <n v="8"/>
    <d v="2019-03-04T00:00:00"/>
    <n v="3"/>
    <n v="11"/>
    <x v="22"/>
  </r>
  <r>
    <s v="831-81-6575"/>
    <x v="2"/>
    <s v="Mandalay"/>
    <x v="0"/>
    <x v="0"/>
    <x v="1"/>
    <n v="75.59"/>
    <n v="9"/>
    <n v="34.015500000000003"/>
    <n v="714.32550000000003"/>
    <s v="2/23/2019"/>
    <d v="1899-12-30T11:12:00"/>
    <x v="1"/>
    <n v="680.31"/>
    <n v="4.7619047620000003"/>
    <x v="797"/>
    <n v="8"/>
    <d v="2019-02-23T00:00:00"/>
    <n v="2"/>
    <n v="11"/>
    <x v="21"/>
  </r>
  <r>
    <s v="220-68-6701"/>
    <x v="0"/>
    <s v="Yangon"/>
    <x v="1"/>
    <x v="0"/>
    <x v="2"/>
    <n v="77.47"/>
    <n v="4"/>
    <n v="15.494"/>
    <n v="325.37400000000002"/>
    <s v="3/17/2019"/>
    <d v="1899-12-30T16:36:00"/>
    <x v="1"/>
    <n v="309.88"/>
    <n v="4.7619047620000003"/>
    <x v="798"/>
    <n v="4.2"/>
    <d v="2019-03-17T00:00:00"/>
    <n v="3"/>
    <n v="16"/>
    <x v="17"/>
  </r>
  <r>
    <s v="618-34-8551"/>
    <x v="0"/>
    <s v="Yangon"/>
    <x v="1"/>
    <x v="0"/>
    <x v="3"/>
    <n v="93.18"/>
    <n v="2"/>
    <n v="9.3179999999999996"/>
    <n v="195.678"/>
    <s v="1/16/2019"/>
    <d v="1899-12-30T18:41:00"/>
    <x v="2"/>
    <n v="186.36"/>
    <n v="4.7619047620000003"/>
    <x v="799"/>
    <n v="8.5"/>
    <d v="2019-01-16T00:00:00"/>
    <n v="1"/>
    <n v="18"/>
    <x v="23"/>
  </r>
  <r>
    <s v="257-60-7754"/>
    <x v="0"/>
    <s v="Yangon"/>
    <x v="1"/>
    <x v="0"/>
    <x v="1"/>
    <n v="50.23"/>
    <n v="4"/>
    <n v="10.045999999999999"/>
    <n v="210.96600000000001"/>
    <d v="2019-08-01T00:00:00"/>
    <d v="1899-12-30T17:12:00"/>
    <x v="1"/>
    <n v="200.92"/>
    <n v="4.7619047620000003"/>
    <x v="800"/>
    <n v="9"/>
    <d v="2019-01-08T00:00:00"/>
    <n v="1"/>
    <n v="17"/>
    <x v="1"/>
  </r>
  <r>
    <s v="559-61-5987"/>
    <x v="2"/>
    <s v="Mandalay"/>
    <x v="1"/>
    <x v="0"/>
    <x v="0"/>
    <n v="17.75"/>
    <n v="1"/>
    <n v="0.88749999999999996"/>
    <n v="18.637499999999999"/>
    <s v="1/14/2019"/>
    <d v="1899-12-30T10:38:00"/>
    <x v="1"/>
    <n v="17.75"/>
    <n v="4.7619047620000003"/>
    <x v="801"/>
    <n v="8.6"/>
    <d v="2019-01-14T00:00:00"/>
    <n v="1"/>
    <n v="10"/>
    <x v="25"/>
  </r>
  <r>
    <s v="189-55-2313"/>
    <x v="1"/>
    <s v="Naypyitaw"/>
    <x v="1"/>
    <x v="0"/>
    <x v="5"/>
    <n v="62.18"/>
    <n v="10"/>
    <n v="31.09"/>
    <n v="652.89"/>
    <s v="1/31/2019"/>
    <d v="1899-12-30T10:33:00"/>
    <x v="0"/>
    <n v="621.79999999999995"/>
    <n v="4.7619047620000003"/>
    <x v="802"/>
    <n v="6"/>
    <d v="2019-01-31T00:00:00"/>
    <n v="1"/>
    <n v="10"/>
    <x v="30"/>
  </r>
  <r>
    <s v="565-91-4567"/>
    <x v="2"/>
    <s v="Mandalay"/>
    <x v="1"/>
    <x v="1"/>
    <x v="0"/>
    <n v="10.75"/>
    <n v="8"/>
    <n v="4.3"/>
    <n v="90.3"/>
    <s v="3/15/2019"/>
    <d v="1899-12-30T14:38:00"/>
    <x v="0"/>
    <n v="86"/>
    <n v="4.7619047620000003"/>
    <x v="803"/>
    <n v="6.2"/>
    <d v="2019-03-15T00:00:00"/>
    <n v="3"/>
    <n v="14"/>
    <x v="13"/>
  </r>
  <r>
    <s v="380-60-5336"/>
    <x v="0"/>
    <s v="Yangon"/>
    <x v="1"/>
    <x v="0"/>
    <x v="1"/>
    <n v="40.26"/>
    <n v="10"/>
    <n v="20.13"/>
    <n v="422.73"/>
    <s v="2/24/2019"/>
    <d v="1899-12-30T18:06:00"/>
    <x v="2"/>
    <n v="402.6"/>
    <n v="4.7619047620000003"/>
    <x v="804"/>
    <n v="5"/>
    <d v="2019-02-24T00:00:00"/>
    <n v="2"/>
    <n v="18"/>
    <x v="5"/>
  </r>
  <r>
    <s v="815-04-6282"/>
    <x v="1"/>
    <s v="Naypyitaw"/>
    <x v="0"/>
    <x v="0"/>
    <x v="3"/>
    <n v="64.97"/>
    <n v="5"/>
    <n v="16.2425"/>
    <n v="341.09249999999997"/>
    <d v="2019-08-02T00:00:00"/>
    <d v="1899-12-30T12:52:00"/>
    <x v="2"/>
    <n v="324.85000000000002"/>
    <n v="4.7619047620000003"/>
    <x v="805"/>
    <n v="6.5"/>
    <d v="2019-02-08T00:00:00"/>
    <n v="2"/>
    <n v="12"/>
    <x v="1"/>
  </r>
  <r>
    <s v="674-56-6360"/>
    <x v="0"/>
    <s v="Yangon"/>
    <x v="1"/>
    <x v="1"/>
    <x v="1"/>
    <n v="95.15"/>
    <n v="1"/>
    <n v="4.7575000000000003"/>
    <n v="99.907499999999999"/>
    <s v="3/22/2019"/>
    <d v="1899-12-30T14:00:00"/>
    <x v="1"/>
    <n v="95.15"/>
    <n v="4.7619047620000003"/>
    <x v="806"/>
    <n v="6"/>
    <d v="2019-03-22T00:00:00"/>
    <n v="3"/>
    <n v="14"/>
    <x v="18"/>
  </r>
  <r>
    <s v="778-34-2523"/>
    <x v="0"/>
    <s v="Yangon"/>
    <x v="0"/>
    <x v="0"/>
    <x v="1"/>
    <n v="48.62"/>
    <n v="8"/>
    <n v="19.448"/>
    <n v="408.40800000000002"/>
    <s v="1/24/2019"/>
    <d v="1899-12-30T10:57:00"/>
    <x v="1"/>
    <n v="388.96"/>
    <n v="4.7619047620000003"/>
    <x v="807"/>
    <n v="5"/>
    <d v="2019-01-24T00:00:00"/>
    <n v="1"/>
    <n v="10"/>
    <x v="5"/>
  </r>
  <r>
    <s v="499-27-7781"/>
    <x v="2"/>
    <s v="Mandalay"/>
    <x v="1"/>
    <x v="0"/>
    <x v="4"/>
    <n v="53.21"/>
    <n v="8"/>
    <n v="21.283999999999999"/>
    <n v="446.964"/>
    <s v="3/14/2019"/>
    <d v="1899-12-30T16:45:00"/>
    <x v="0"/>
    <n v="425.68"/>
    <n v="4.7619047620000003"/>
    <x v="808"/>
    <n v="5"/>
    <d v="2019-03-14T00:00:00"/>
    <n v="3"/>
    <n v="16"/>
    <x v="25"/>
  </r>
  <r>
    <s v="477-59-2456"/>
    <x v="1"/>
    <s v="Naypyitaw"/>
    <x v="1"/>
    <x v="0"/>
    <x v="5"/>
    <n v="45.44"/>
    <n v="7"/>
    <n v="15.904"/>
    <n v="333.98399999999998"/>
    <s v="1/23/2019"/>
    <d v="1899-12-30T11:15:00"/>
    <x v="1"/>
    <n v="318.08"/>
    <n v="4.7619047620000003"/>
    <x v="809"/>
    <n v="9.1999999999999993"/>
    <d v="2019-01-23T00:00:00"/>
    <n v="1"/>
    <n v="11"/>
    <x v="21"/>
  </r>
  <r>
    <s v="832-51-6761"/>
    <x v="0"/>
    <s v="Yangon"/>
    <x v="1"/>
    <x v="1"/>
    <x v="4"/>
    <n v="33.880000000000003"/>
    <n v="8"/>
    <n v="13.552"/>
    <n v="284.59199999999998"/>
    <s v="1/19/2019"/>
    <d v="1899-12-30T20:29:00"/>
    <x v="0"/>
    <n v="271.04000000000002"/>
    <n v="4.7619047620000003"/>
    <x v="810"/>
    <n v="9.6"/>
    <d v="2019-01-19T00:00:00"/>
    <n v="1"/>
    <n v="20"/>
    <x v="24"/>
  </r>
  <r>
    <s v="869-11-3082"/>
    <x v="2"/>
    <s v="Mandalay"/>
    <x v="0"/>
    <x v="1"/>
    <x v="0"/>
    <n v="96.16"/>
    <n v="4"/>
    <n v="19.231999999999999"/>
    <n v="403.87200000000001"/>
    <s v="1/27/2019"/>
    <d v="1899-12-30T20:03:00"/>
    <x v="2"/>
    <n v="384.64"/>
    <n v="4.7619047620000003"/>
    <x v="811"/>
    <n v="8.4"/>
    <d v="2019-01-27T00:00:00"/>
    <n v="1"/>
    <n v="20"/>
    <x v="3"/>
  </r>
  <r>
    <s v="190-59-3964"/>
    <x v="2"/>
    <s v="Mandalay"/>
    <x v="0"/>
    <x v="1"/>
    <x v="4"/>
    <n v="47.16"/>
    <n v="5"/>
    <n v="11.79"/>
    <n v="247.59"/>
    <d v="2019-03-02T00:00:00"/>
    <d v="1899-12-30T14:35:00"/>
    <x v="2"/>
    <n v="235.8"/>
    <n v="4.7619047620000003"/>
    <x v="812"/>
    <n v="6"/>
    <d v="2019-02-03T00:00:00"/>
    <n v="2"/>
    <n v="14"/>
    <x v="2"/>
  </r>
  <r>
    <s v="366-43-6862"/>
    <x v="2"/>
    <s v="Mandalay"/>
    <x v="1"/>
    <x v="1"/>
    <x v="1"/>
    <n v="52.89"/>
    <n v="4"/>
    <n v="10.577999999999999"/>
    <n v="222.13800000000001"/>
    <s v="3/25/2019"/>
    <d v="1899-12-30T16:32:00"/>
    <x v="0"/>
    <n v="211.56"/>
    <n v="4.7619047620000003"/>
    <x v="813"/>
    <n v="6.7"/>
    <d v="2019-03-25T00:00:00"/>
    <n v="3"/>
    <n v="16"/>
    <x v="4"/>
  </r>
  <r>
    <s v="186-43-8965"/>
    <x v="0"/>
    <s v="Yangon"/>
    <x v="0"/>
    <x v="0"/>
    <x v="2"/>
    <n v="47.68"/>
    <n v="2"/>
    <n v="4.7679999999999998"/>
    <n v="100.128"/>
    <s v="2/24/2019"/>
    <d v="1899-12-30T10:10:00"/>
    <x v="2"/>
    <n v="95.36"/>
    <n v="4.7619047620000003"/>
    <x v="814"/>
    <n v="4.0999999999999996"/>
    <d v="2019-02-24T00:00:00"/>
    <n v="2"/>
    <n v="10"/>
    <x v="5"/>
  </r>
  <r>
    <s v="784-21-9238"/>
    <x v="1"/>
    <s v="Naypyitaw"/>
    <x v="0"/>
    <x v="1"/>
    <x v="3"/>
    <n v="10.17"/>
    <n v="1"/>
    <n v="0.50849999999999995"/>
    <n v="10.6785"/>
    <d v="2019-07-02T00:00:00"/>
    <d v="1899-12-30T14:15:00"/>
    <x v="1"/>
    <n v="10.17"/>
    <n v="4.7619047620000003"/>
    <x v="815"/>
    <n v="5.9"/>
    <d v="2019-02-07T00:00:00"/>
    <n v="2"/>
    <n v="14"/>
    <x v="11"/>
  </r>
  <r>
    <s v="276-75-6884"/>
    <x v="0"/>
    <s v="Yangon"/>
    <x v="1"/>
    <x v="0"/>
    <x v="0"/>
    <n v="68.709999999999994"/>
    <n v="3"/>
    <n v="10.3065"/>
    <n v="216.4365"/>
    <d v="2019-04-03T00:00:00"/>
    <d v="1899-12-30T10:05:00"/>
    <x v="1"/>
    <n v="206.13"/>
    <n v="4.7619047620000003"/>
    <x v="816"/>
    <n v="8.6999999999999993"/>
    <d v="2019-03-04T00:00:00"/>
    <n v="3"/>
    <n v="10"/>
    <x v="22"/>
  </r>
  <r>
    <s v="109-86-4363"/>
    <x v="2"/>
    <s v="Mandalay"/>
    <x v="0"/>
    <x v="0"/>
    <x v="3"/>
    <n v="60.08"/>
    <n v="7"/>
    <n v="21.027999999999999"/>
    <n v="441.58800000000002"/>
    <s v="2/14/2019"/>
    <d v="1899-12-30T11:36:00"/>
    <x v="2"/>
    <n v="420.56"/>
    <n v="4.7619047620000003"/>
    <x v="817"/>
    <n v="4.5"/>
    <d v="2019-02-14T00:00:00"/>
    <n v="2"/>
    <n v="11"/>
    <x v="25"/>
  </r>
  <r>
    <s v="569-76-2760"/>
    <x v="0"/>
    <s v="Yangon"/>
    <x v="0"/>
    <x v="0"/>
    <x v="3"/>
    <n v="22.01"/>
    <n v="4"/>
    <n v="4.4020000000000001"/>
    <n v="92.441999999999993"/>
    <s v="1/29/2019"/>
    <d v="1899-12-30T18:15:00"/>
    <x v="2"/>
    <n v="88.04"/>
    <n v="4.7619047620000003"/>
    <x v="818"/>
    <n v="6.6"/>
    <d v="2019-01-29T00:00:00"/>
    <n v="1"/>
    <n v="18"/>
    <x v="12"/>
  </r>
  <r>
    <s v="222-42-0244"/>
    <x v="2"/>
    <s v="Mandalay"/>
    <x v="0"/>
    <x v="0"/>
    <x v="0"/>
    <n v="72.11"/>
    <n v="9"/>
    <n v="32.4495"/>
    <n v="681.43949999999995"/>
    <s v="1/28/2019"/>
    <d v="1899-12-30T13:53:00"/>
    <x v="2"/>
    <n v="648.99"/>
    <n v="4.7619047620000003"/>
    <x v="819"/>
    <n v="7.7"/>
    <d v="2019-01-28T00:00:00"/>
    <n v="1"/>
    <n v="13"/>
    <x v="19"/>
  </r>
  <r>
    <s v="760-53-9233"/>
    <x v="0"/>
    <s v="Yangon"/>
    <x v="0"/>
    <x v="1"/>
    <x v="5"/>
    <n v="41.28"/>
    <n v="3"/>
    <n v="6.1920000000000002"/>
    <n v="130.03200000000001"/>
    <s v="3/26/2019"/>
    <d v="1899-12-30T18:37:00"/>
    <x v="2"/>
    <n v="123.84"/>
    <n v="4.7619047620000003"/>
    <x v="820"/>
    <n v="8.5"/>
    <d v="2019-03-26T00:00:00"/>
    <n v="3"/>
    <n v="18"/>
    <x v="27"/>
  </r>
  <r>
    <s v="538-22-0304"/>
    <x v="1"/>
    <s v="Naypyitaw"/>
    <x v="1"/>
    <x v="1"/>
    <x v="1"/>
    <n v="64.95"/>
    <n v="10"/>
    <n v="32.475000000000001"/>
    <n v="681.97500000000002"/>
    <s v="3/24/2019"/>
    <d v="1899-12-30T18:27:00"/>
    <x v="1"/>
    <n v="649.5"/>
    <n v="4.7619047620000003"/>
    <x v="821"/>
    <n v="5.2"/>
    <d v="2019-03-24T00:00:00"/>
    <n v="3"/>
    <n v="18"/>
    <x v="5"/>
  </r>
  <r>
    <s v="416-17-9926"/>
    <x v="0"/>
    <s v="Yangon"/>
    <x v="0"/>
    <x v="0"/>
    <x v="1"/>
    <n v="74.22"/>
    <n v="10"/>
    <n v="37.11"/>
    <n v="779.31"/>
    <d v="2019-01-01T00:00:00"/>
    <d v="1899-12-30T14:42:00"/>
    <x v="2"/>
    <n v="742.2"/>
    <n v="4.7619047620000003"/>
    <x v="822"/>
    <n v="4.3"/>
    <d v="2019-01-01T00:00:00"/>
    <n v="1"/>
    <n v="14"/>
    <x v="15"/>
  </r>
  <r>
    <s v="237-44-6163"/>
    <x v="0"/>
    <s v="Yangon"/>
    <x v="1"/>
    <x v="1"/>
    <x v="1"/>
    <n v="10.56"/>
    <n v="8"/>
    <n v="4.2240000000000002"/>
    <n v="88.703999999999994"/>
    <s v="1/24/2019"/>
    <d v="1899-12-30T17:43:00"/>
    <x v="1"/>
    <n v="84.48"/>
    <n v="4.7619047620000003"/>
    <x v="823"/>
    <n v="7.6"/>
    <d v="2019-01-24T00:00:00"/>
    <n v="1"/>
    <n v="17"/>
    <x v="5"/>
  </r>
  <r>
    <s v="636-17-0325"/>
    <x v="2"/>
    <s v="Mandalay"/>
    <x v="1"/>
    <x v="1"/>
    <x v="0"/>
    <n v="62.57"/>
    <n v="4"/>
    <n v="12.513999999999999"/>
    <n v="262.79399999999998"/>
    <s v="2/25/2019"/>
    <d v="1899-12-30T18:37:00"/>
    <x v="1"/>
    <n v="250.28"/>
    <n v="4.7619047620000003"/>
    <x v="824"/>
    <n v="9.5"/>
    <d v="2019-02-25T00:00:00"/>
    <n v="2"/>
    <n v="18"/>
    <x v="4"/>
  </r>
  <r>
    <s v="343-75-9322"/>
    <x v="2"/>
    <s v="Mandalay"/>
    <x v="0"/>
    <x v="0"/>
    <x v="3"/>
    <n v="11.85"/>
    <n v="8"/>
    <n v="4.74"/>
    <n v="99.54"/>
    <d v="2019-09-01T00:00:00"/>
    <d v="1899-12-30T16:34:00"/>
    <x v="1"/>
    <n v="94.8"/>
    <n v="4.7619047620000003"/>
    <x v="825"/>
    <n v="4.0999999999999996"/>
    <d v="2019-01-09T00:00:00"/>
    <n v="1"/>
    <n v="16"/>
    <x v="9"/>
  </r>
  <r>
    <s v="528-14-9470"/>
    <x v="0"/>
    <s v="Yangon"/>
    <x v="0"/>
    <x v="1"/>
    <x v="0"/>
    <n v="91.3"/>
    <n v="1"/>
    <n v="4.5650000000000004"/>
    <n v="95.864999999999995"/>
    <s v="2/14/2019"/>
    <d v="1899-12-30T14:42:00"/>
    <x v="0"/>
    <n v="91.3"/>
    <n v="4.7619047620000003"/>
    <x v="826"/>
    <n v="9.1999999999999993"/>
    <d v="2019-02-14T00:00:00"/>
    <n v="2"/>
    <n v="14"/>
    <x v="25"/>
  </r>
  <r>
    <s v="427-45-9297"/>
    <x v="2"/>
    <s v="Mandalay"/>
    <x v="0"/>
    <x v="0"/>
    <x v="2"/>
    <n v="40.729999999999997"/>
    <n v="7"/>
    <n v="14.2555"/>
    <n v="299.3655"/>
    <d v="2019-12-03T00:00:00"/>
    <d v="1899-12-30T11:01:00"/>
    <x v="0"/>
    <n v="285.11"/>
    <n v="4.7619047620000003"/>
    <x v="827"/>
    <n v="5.4"/>
    <d v="2019-03-12T00:00:00"/>
    <n v="3"/>
    <n v="11"/>
    <x v="10"/>
  </r>
  <r>
    <s v="807-34-3742"/>
    <x v="0"/>
    <s v="Yangon"/>
    <x v="1"/>
    <x v="1"/>
    <x v="5"/>
    <n v="52.38"/>
    <n v="1"/>
    <n v="2.6190000000000002"/>
    <n v="54.999000000000002"/>
    <s v="3/26/2019"/>
    <d v="1899-12-30T19:44:00"/>
    <x v="1"/>
    <n v="52.38"/>
    <n v="4.7619047620000003"/>
    <x v="828"/>
    <n v="5.8"/>
    <d v="2019-03-26T00:00:00"/>
    <n v="3"/>
    <n v="19"/>
    <x v="27"/>
  </r>
  <r>
    <s v="288-62-1085"/>
    <x v="0"/>
    <s v="Yangon"/>
    <x v="0"/>
    <x v="1"/>
    <x v="5"/>
    <n v="38.54"/>
    <n v="5"/>
    <n v="9.6349999999999998"/>
    <n v="202.33500000000001"/>
    <d v="2019-09-01T00:00:00"/>
    <d v="1899-12-30T13:34:00"/>
    <x v="0"/>
    <n v="192.7"/>
    <n v="4.7619047620000003"/>
    <x v="829"/>
    <n v="5.6"/>
    <d v="2019-01-09T00:00:00"/>
    <n v="1"/>
    <n v="13"/>
    <x v="9"/>
  </r>
  <r>
    <s v="670-71-7306"/>
    <x v="2"/>
    <s v="Mandalay"/>
    <x v="1"/>
    <x v="1"/>
    <x v="3"/>
    <n v="44.63"/>
    <n v="6"/>
    <n v="13.388999999999999"/>
    <n v="281.16899999999998"/>
    <d v="2019-02-01T00:00:00"/>
    <d v="1899-12-30T20:08:00"/>
    <x v="2"/>
    <n v="267.77999999999997"/>
    <n v="4.7619047620000003"/>
    <x v="830"/>
    <n v="5.0999999999999996"/>
    <d v="2019-01-02T00:00:00"/>
    <n v="1"/>
    <n v="20"/>
    <x v="8"/>
  </r>
  <r>
    <s v="660-29-7083"/>
    <x v="1"/>
    <s v="Naypyitaw"/>
    <x v="1"/>
    <x v="1"/>
    <x v="1"/>
    <n v="55.87"/>
    <n v="10"/>
    <n v="27.934999999999999"/>
    <n v="586.63499999999999"/>
    <s v="1/15/2019"/>
    <d v="1899-12-30T15:01:00"/>
    <x v="1"/>
    <n v="558.70000000000005"/>
    <n v="4.7619047620000003"/>
    <x v="831"/>
    <n v="5.8"/>
    <d v="2019-01-15T00:00:00"/>
    <n v="1"/>
    <n v="15"/>
    <x v="13"/>
  </r>
  <r>
    <s v="271-77-8740"/>
    <x v="1"/>
    <s v="Naypyitaw"/>
    <x v="0"/>
    <x v="0"/>
    <x v="3"/>
    <n v="29.22"/>
    <n v="6"/>
    <n v="8.766"/>
    <n v="184.08600000000001"/>
    <d v="2019-01-01T00:00:00"/>
    <d v="1899-12-30T11:40:00"/>
    <x v="0"/>
    <n v="175.32"/>
    <n v="4.7619047620000003"/>
    <x v="832"/>
    <n v="5"/>
    <d v="2019-01-01T00:00:00"/>
    <n v="1"/>
    <n v="11"/>
    <x v="15"/>
  </r>
  <r>
    <s v="497-36-0989"/>
    <x v="0"/>
    <s v="Yangon"/>
    <x v="1"/>
    <x v="1"/>
    <x v="5"/>
    <n v="51.94"/>
    <n v="3"/>
    <n v="7.7910000000000004"/>
    <n v="163.61099999999999"/>
    <s v="2/15/2019"/>
    <d v="1899-12-30T15:21:00"/>
    <x v="1"/>
    <n v="155.82"/>
    <n v="4.7619047620000003"/>
    <x v="833"/>
    <n v="7.9"/>
    <d v="2019-02-15T00:00:00"/>
    <n v="2"/>
    <n v="15"/>
    <x v="13"/>
  </r>
  <r>
    <s v="291-59-1384"/>
    <x v="2"/>
    <s v="Mandalay"/>
    <x v="1"/>
    <x v="1"/>
    <x v="1"/>
    <n v="60.3"/>
    <n v="1"/>
    <n v="3.0150000000000001"/>
    <n v="63.314999999999998"/>
    <s v="2/28/2019"/>
    <d v="1899-12-30T17:38:00"/>
    <x v="1"/>
    <n v="60.3"/>
    <n v="4.7619047620000003"/>
    <x v="834"/>
    <n v="6"/>
    <d v="2019-02-28T00:00:00"/>
    <n v="2"/>
    <n v="17"/>
    <x v="19"/>
  </r>
  <r>
    <s v="860-73-6466"/>
    <x v="0"/>
    <s v="Yangon"/>
    <x v="0"/>
    <x v="0"/>
    <x v="3"/>
    <n v="39.47"/>
    <n v="2"/>
    <n v="3.9470000000000001"/>
    <n v="82.887"/>
    <d v="2019-02-03T00:00:00"/>
    <d v="1899-12-30T16:16:00"/>
    <x v="2"/>
    <n v="78.94"/>
    <n v="4.7619047620000003"/>
    <x v="835"/>
    <n v="5"/>
    <d v="2019-03-02T00:00:00"/>
    <n v="3"/>
    <n v="16"/>
    <x v="8"/>
  </r>
  <r>
    <s v="549-23-9016"/>
    <x v="1"/>
    <s v="Naypyitaw"/>
    <x v="0"/>
    <x v="0"/>
    <x v="4"/>
    <n v="14.87"/>
    <n v="2"/>
    <n v="1.4870000000000001"/>
    <n v="31.227"/>
    <s v="2/13/2019"/>
    <d v="1899-12-30T18:15:00"/>
    <x v="2"/>
    <n v="29.74"/>
    <n v="4.7619047620000003"/>
    <x v="836"/>
    <n v="8.9"/>
    <d v="2019-02-13T00:00:00"/>
    <n v="2"/>
    <n v="18"/>
    <x v="26"/>
  </r>
  <r>
    <s v="896-34-0956"/>
    <x v="0"/>
    <s v="Yangon"/>
    <x v="1"/>
    <x v="1"/>
    <x v="5"/>
    <n v="21.32"/>
    <n v="1"/>
    <n v="1.0660000000000001"/>
    <n v="22.385999999999999"/>
    <s v="1/26/2019"/>
    <d v="1899-12-30T12:43:00"/>
    <x v="1"/>
    <n v="21.32"/>
    <n v="4.7619047620000003"/>
    <x v="837"/>
    <n v="5.9"/>
    <d v="2019-01-26T00:00:00"/>
    <n v="1"/>
    <n v="12"/>
    <x v="27"/>
  </r>
  <r>
    <s v="804-38-3935"/>
    <x v="0"/>
    <s v="Yangon"/>
    <x v="0"/>
    <x v="1"/>
    <x v="1"/>
    <n v="93.78"/>
    <n v="3"/>
    <n v="14.067"/>
    <n v="295.40699999999998"/>
    <s v="1/30/2019"/>
    <d v="1899-12-30T11:32:00"/>
    <x v="2"/>
    <n v="281.33999999999997"/>
    <n v="4.7619047620000003"/>
    <x v="838"/>
    <n v="5.9"/>
    <d v="2019-01-30T00:00:00"/>
    <n v="1"/>
    <n v="11"/>
    <x v="29"/>
  </r>
  <r>
    <s v="585-90-0249"/>
    <x v="0"/>
    <s v="Yangon"/>
    <x v="0"/>
    <x v="1"/>
    <x v="1"/>
    <n v="73.260000000000005"/>
    <n v="1"/>
    <n v="3.6629999999999998"/>
    <n v="76.923000000000002"/>
    <s v="1/27/2019"/>
    <d v="1899-12-30T18:08:00"/>
    <x v="0"/>
    <n v="73.260000000000005"/>
    <n v="4.7619047620000003"/>
    <x v="839"/>
    <n v="9.6999999999999993"/>
    <d v="2019-01-27T00:00:00"/>
    <n v="1"/>
    <n v="18"/>
    <x v="3"/>
  </r>
  <r>
    <s v="862-29-5914"/>
    <x v="1"/>
    <s v="Naypyitaw"/>
    <x v="1"/>
    <x v="0"/>
    <x v="3"/>
    <n v="22.38"/>
    <n v="1"/>
    <n v="1.119"/>
    <n v="23.498999999999999"/>
    <s v="1/30/2019"/>
    <d v="1899-12-30T17:08:00"/>
    <x v="2"/>
    <n v="22.38"/>
    <n v="4.7619047620000003"/>
    <x v="840"/>
    <n v="8.6"/>
    <d v="2019-01-30T00:00:00"/>
    <n v="1"/>
    <n v="17"/>
    <x v="29"/>
  </r>
  <r>
    <s v="845-94-6841"/>
    <x v="1"/>
    <s v="Naypyitaw"/>
    <x v="0"/>
    <x v="0"/>
    <x v="4"/>
    <n v="72.88"/>
    <n v="9"/>
    <n v="32.795999999999999"/>
    <n v="688.71600000000001"/>
    <d v="2019-08-01T00:00:00"/>
    <d v="1899-12-30T19:38:00"/>
    <x v="1"/>
    <n v="655.92"/>
    <n v="4.7619047620000003"/>
    <x v="841"/>
    <n v="4"/>
    <d v="2019-01-08T00:00:00"/>
    <n v="1"/>
    <n v="19"/>
    <x v="1"/>
  </r>
  <r>
    <s v="125-45-2293"/>
    <x v="0"/>
    <s v="Yangon"/>
    <x v="1"/>
    <x v="0"/>
    <x v="5"/>
    <n v="99.1"/>
    <n v="6"/>
    <n v="29.73"/>
    <n v="624.33000000000004"/>
    <s v="1/19/2019"/>
    <d v="1899-12-30T13:11:00"/>
    <x v="1"/>
    <n v="594.6"/>
    <n v="4.7619047620000003"/>
    <x v="842"/>
    <n v="4.2"/>
    <d v="2019-01-19T00:00:00"/>
    <n v="1"/>
    <n v="13"/>
    <x v="24"/>
  </r>
  <r>
    <s v="843-73-4724"/>
    <x v="0"/>
    <s v="Yangon"/>
    <x v="1"/>
    <x v="1"/>
    <x v="5"/>
    <n v="74.099999999999994"/>
    <n v="1"/>
    <n v="3.7050000000000001"/>
    <n v="77.805000000000007"/>
    <s v="1/25/2019"/>
    <d v="1899-12-30T11:05:00"/>
    <x v="1"/>
    <n v="74.099999999999994"/>
    <n v="4.7619047620000003"/>
    <x v="843"/>
    <n v="9.1999999999999993"/>
    <d v="2019-01-25T00:00:00"/>
    <n v="1"/>
    <n v="11"/>
    <x v="4"/>
  </r>
  <r>
    <s v="409-33-9708"/>
    <x v="0"/>
    <s v="Yangon"/>
    <x v="1"/>
    <x v="0"/>
    <x v="5"/>
    <n v="98.48"/>
    <n v="2"/>
    <n v="9.8480000000000008"/>
    <n v="206.80799999999999"/>
    <s v="2/19/2019"/>
    <d v="1899-12-30T10:12:00"/>
    <x v="0"/>
    <n v="196.96"/>
    <n v="4.7619047620000003"/>
    <x v="844"/>
    <n v="9.1999999999999993"/>
    <d v="2019-02-19T00:00:00"/>
    <n v="2"/>
    <n v="10"/>
    <x v="24"/>
  </r>
  <r>
    <s v="658-66-3967"/>
    <x v="1"/>
    <s v="Naypyitaw"/>
    <x v="1"/>
    <x v="1"/>
    <x v="0"/>
    <n v="53.19"/>
    <n v="7"/>
    <n v="18.616499999999998"/>
    <n v="390.94650000000001"/>
    <s v="1/14/2019"/>
    <d v="1899-12-30T15:42:00"/>
    <x v="0"/>
    <n v="372.33"/>
    <n v="4.7619047620000003"/>
    <x v="845"/>
    <n v="5"/>
    <d v="2019-01-14T00:00:00"/>
    <n v="1"/>
    <n v="15"/>
    <x v="25"/>
  </r>
  <r>
    <s v="866-70-2814"/>
    <x v="2"/>
    <s v="Mandalay"/>
    <x v="1"/>
    <x v="0"/>
    <x v="1"/>
    <n v="52.79"/>
    <n v="10"/>
    <n v="26.395"/>
    <n v="554.29499999999996"/>
    <s v="2/25/2019"/>
    <d v="1899-12-30T11:58:00"/>
    <x v="0"/>
    <n v="527.9"/>
    <n v="4.7619047620000003"/>
    <x v="846"/>
    <n v="10"/>
    <d v="2019-02-25T00:00:00"/>
    <n v="2"/>
    <n v="11"/>
    <x v="4"/>
  </r>
  <r>
    <s v="160-22-2687"/>
    <x v="0"/>
    <s v="Yangon"/>
    <x v="0"/>
    <x v="0"/>
    <x v="0"/>
    <n v="95.95"/>
    <n v="5"/>
    <n v="23.987500000000001"/>
    <n v="503.73750000000001"/>
    <s v="1/23/2019"/>
    <d v="1899-12-30T14:21:00"/>
    <x v="0"/>
    <n v="479.75"/>
    <n v="4.7619047620000003"/>
    <x v="847"/>
    <n v="8.8000000000000007"/>
    <d v="2019-01-23T00:00:00"/>
    <n v="1"/>
    <n v="14"/>
    <x v="21"/>
  </r>
  <r>
    <s v="895-03-6665"/>
    <x v="2"/>
    <s v="Mandalay"/>
    <x v="1"/>
    <x v="0"/>
    <x v="5"/>
    <n v="36.51"/>
    <n v="9"/>
    <n v="16.429500000000001"/>
    <n v="345.01949999999999"/>
    <s v="2/16/2019"/>
    <d v="1899-12-30T10:52:00"/>
    <x v="1"/>
    <n v="328.59"/>
    <n v="4.7619047620000003"/>
    <x v="848"/>
    <n v="4.2"/>
    <d v="2019-02-16T00:00:00"/>
    <n v="2"/>
    <n v="10"/>
    <x v="23"/>
  </r>
  <r>
    <s v="770-42-8960"/>
    <x v="2"/>
    <s v="Mandalay"/>
    <x v="1"/>
    <x v="1"/>
    <x v="4"/>
    <n v="21.12"/>
    <n v="8"/>
    <n v="8.4480000000000004"/>
    <n v="177.40799999999999"/>
    <d v="2019-01-01T00:00:00"/>
    <d v="1899-12-30T19:31:00"/>
    <x v="1"/>
    <n v="168.96"/>
    <n v="4.7619047620000003"/>
    <x v="849"/>
    <n v="6.3"/>
    <d v="2019-01-01T00:00:00"/>
    <n v="1"/>
    <n v="19"/>
    <x v="15"/>
  </r>
  <r>
    <s v="748-45-2862"/>
    <x v="0"/>
    <s v="Yangon"/>
    <x v="0"/>
    <x v="0"/>
    <x v="2"/>
    <n v="28.31"/>
    <n v="4"/>
    <n v="5.6619999999999999"/>
    <n v="118.902"/>
    <d v="2019-07-03T00:00:00"/>
    <d v="1899-12-30T18:35:00"/>
    <x v="1"/>
    <n v="113.24"/>
    <n v="4.7619047620000003"/>
    <x v="850"/>
    <n v="8.1999999999999993"/>
    <d v="2019-03-07T00:00:00"/>
    <n v="3"/>
    <n v="18"/>
    <x v="11"/>
  </r>
  <r>
    <s v="234-36-2483"/>
    <x v="2"/>
    <s v="Mandalay"/>
    <x v="1"/>
    <x v="1"/>
    <x v="0"/>
    <n v="57.59"/>
    <n v="6"/>
    <n v="17.277000000000001"/>
    <n v="362.81700000000001"/>
    <s v="2/15/2019"/>
    <d v="1899-12-30T13:51:00"/>
    <x v="1"/>
    <n v="345.54"/>
    <n v="4.7619047620000003"/>
    <x v="851"/>
    <n v="5.0999999999999996"/>
    <d v="2019-02-15T00:00:00"/>
    <n v="2"/>
    <n v="13"/>
    <x v="13"/>
  </r>
  <r>
    <s v="316-66-3011"/>
    <x v="0"/>
    <s v="Yangon"/>
    <x v="0"/>
    <x v="0"/>
    <x v="4"/>
    <n v="47.63"/>
    <n v="9"/>
    <n v="21.433499999999999"/>
    <n v="450.1035"/>
    <s v="1/23/2019"/>
    <d v="1899-12-30T12:35:00"/>
    <x v="1"/>
    <n v="428.67"/>
    <n v="4.7619047620000003"/>
    <x v="852"/>
    <n v="5"/>
    <d v="2019-01-23T00:00:00"/>
    <n v="1"/>
    <n v="12"/>
    <x v="21"/>
  </r>
  <r>
    <s v="848-95-6252"/>
    <x v="1"/>
    <s v="Naypyitaw"/>
    <x v="0"/>
    <x v="0"/>
    <x v="2"/>
    <n v="86.27"/>
    <n v="1"/>
    <n v="4.3135000000000003"/>
    <n v="90.583500000000001"/>
    <s v="2/20/2019"/>
    <d v="1899-12-30T13:24:00"/>
    <x v="0"/>
    <n v="86.27"/>
    <n v="4.7619047620000003"/>
    <x v="853"/>
    <n v="7"/>
    <d v="2019-02-20T00:00:00"/>
    <n v="2"/>
    <n v="13"/>
    <x v="7"/>
  </r>
  <r>
    <s v="840-76-5966"/>
    <x v="0"/>
    <s v="Yangon"/>
    <x v="0"/>
    <x v="1"/>
    <x v="3"/>
    <n v="12.76"/>
    <n v="2"/>
    <n v="1.276"/>
    <n v="26.795999999999999"/>
    <d v="2019-08-01T00:00:00"/>
    <d v="1899-12-30T18:06:00"/>
    <x v="0"/>
    <n v="25.52"/>
    <n v="4.7619047620000003"/>
    <x v="854"/>
    <n v="7.8"/>
    <d v="2019-01-08T00:00:00"/>
    <n v="1"/>
    <n v="18"/>
    <x v="1"/>
  </r>
  <r>
    <s v="152-03-4217"/>
    <x v="2"/>
    <s v="Mandalay"/>
    <x v="1"/>
    <x v="0"/>
    <x v="2"/>
    <n v="11.28"/>
    <n v="9"/>
    <n v="5.0759999999999996"/>
    <n v="106.596"/>
    <s v="3/17/2019"/>
    <d v="1899-12-30T11:55:00"/>
    <x v="2"/>
    <n v="101.52"/>
    <n v="4.7619047620000003"/>
    <x v="855"/>
    <n v="4.3"/>
    <d v="2019-03-17T00:00:00"/>
    <n v="3"/>
    <n v="11"/>
    <x v="17"/>
  </r>
  <r>
    <s v="533-66-5566"/>
    <x v="2"/>
    <s v="Mandalay"/>
    <x v="1"/>
    <x v="0"/>
    <x v="2"/>
    <n v="51.07"/>
    <n v="7"/>
    <n v="17.874500000000001"/>
    <n v="375.36450000000002"/>
    <d v="2019-12-01T00:00:00"/>
    <d v="1899-12-30T11:42:00"/>
    <x v="1"/>
    <n v="357.49"/>
    <n v="4.7619047620000003"/>
    <x v="856"/>
    <n v="7"/>
    <d v="2019-01-12T00:00:00"/>
    <n v="1"/>
    <n v="11"/>
    <x v="10"/>
  </r>
  <r>
    <s v="124-31-1458"/>
    <x v="0"/>
    <s v="Yangon"/>
    <x v="0"/>
    <x v="0"/>
    <x v="1"/>
    <n v="79.59"/>
    <n v="3"/>
    <n v="11.938499999999999"/>
    <n v="250.70849999999999"/>
    <d v="2019-08-01T00:00:00"/>
    <d v="1899-12-30T14:30:00"/>
    <x v="1"/>
    <n v="238.77"/>
    <n v="4.7619047620000003"/>
    <x v="857"/>
    <n v="6.6"/>
    <d v="2019-01-08T00:00:00"/>
    <n v="1"/>
    <n v="14"/>
    <x v="1"/>
  </r>
  <r>
    <s v="176-78-1170"/>
    <x v="1"/>
    <s v="Naypyitaw"/>
    <x v="0"/>
    <x v="1"/>
    <x v="0"/>
    <n v="33.81"/>
    <n v="3"/>
    <n v="5.0715000000000003"/>
    <n v="106.50149999999999"/>
    <s v="1/26/2019"/>
    <d v="1899-12-30T15:11:00"/>
    <x v="0"/>
    <n v="101.43"/>
    <n v="4.7619047620000003"/>
    <x v="858"/>
    <n v="7.3"/>
    <d v="2019-01-26T00:00:00"/>
    <n v="1"/>
    <n v="15"/>
    <x v="27"/>
  </r>
  <r>
    <s v="361-59-0574"/>
    <x v="2"/>
    <s v="Mandalay"/>
    <x v="0"/>
    <x v="1"/>
    <x v="3"/>
    <n v="90.53"/>
    <n v="8"/>
    <n v="36.212000000000003"/>
    <n v="760.452"/>
    <s v="3/15/2019"/>
    <d v="1899-12-30T14:48:00"/>
    <x v="2"/>
    <n v="724.24"/>
    <n v="4.7619047620000003"/>
    <x v="859"/>
    <n v="6.5"/>
    <d v="2019-03-15T00:00:00"/>
    <n v="3"/>
    <n v="14"/>
    <x v="13"/>
  </r>
  <r>
    <s v="101-81-4070"/>
    <x v="1"/>
    <s v="Naypyitaw"/>
    <x v="0"/>
    <x v="0"/>
    <x v="0"/>
    <n v="62.82"/>
    <n v="2"/>
    <n v="6.282"/>
    <n v="131.922"/>
    <s v="1/17/2019"/>
    <d v="1899-12-30T12:36:00"/>
    <x v="0"/>
    <n v="125.64"/>
    <n v="4.7619047620000003"/>
    <x v="860"/>
    <n v="4.9000000000000004"/>
    <d v="2019-01-17T00:00:00"/>
    <n v="1"/>
    <n v="12"/>
    <x v="17"/>
  </r>
  <r>
    <s v="631-34-1880"/>
    <x v="1"/>
    <s v="Naypyitaw"/>
    <x v="0"/>
    <x v="1"/>
    <x v="4"/>
    <n v="24.31"/>
    <n v="3"/>
    <n v="3.6465000000000001"/>
    <n v="76.576499999999996"/>
    <d v="2019-08-01T00:00:00"/>
    <d v="1899-12-30T19:09:00"/>
    <x v="2"/>
    <n v="72.930000000000007"/>
    <n v="4.7619047620000003"/>
    <x v="861"/>
    <n v="4.3"/>
    <d v="2019-01-08T00:00:00"/>
    <n v="1"/>
    <n v="19"/>
    <x v="1"/>
  </r>
  <r>
    <s v="852-82-2749"/>
    <x v="0"/>
    <s v="Yangon"/>
    <x v="1"/>
    <x v="1"/>
    <x v="3"/>
    <n v="64.59"/>
    <n v="4"/>
    <n v="12.917999999999999"/>
    <n v="271.27800000000002"/>
    <d v="2019-06-01T00:00:00"/>
    <d v="1899-12-30T13:35:00"/>
    <x v="0"/>
    <n v="258.36"/>
    <n v="4.7619047620000003"/>
    <x v="862"/>
    <n v="9.3000000000000007"/>
    <d v="2019-01-06T00:00:00"/>
    <n v="1"/>
    <n v="13"/>
    <x v="20"/>
  </r>
  <r>
    <s v="873-14-6353"/>
    <x v="0"/>
    <s v="Yangon"/>
    <x v="0"/>
    <x v="1"/>
    <x v="4"/>
    <n v="24.82"/>
    <n v="7"/>
    <n v="8.6869999999999994"/>
    <n v="182.42699999999999"/>
    <s v="2/16/2019"/>
    <d v="1899-12-30T10:33:00"/>
    <x v="2"/>
    <n v="173.74"/>
    <n v="4.7619047620000003"/>
    <x v="863"/>
    <n v="7.1"/>
    <d v="2019-02-16T00:00:00"/>
    <n v="2"/>
    <n v="10"/>
    <x v="23"/>
  </r>
  <r>
    <s v="584-66-4073"/>
    <x v="1"/>
    <s v="Naypyitaw"/>
    <x v="1"/>
    <x v="1"/>
    <x v="5"/>
    <n v="56.5"/>
    <n v="1"/>
    <n v="2.8250000000000002"/>
    <n v="59.325000000000003"/>
    <s v="3/13/2019"/>
    <d v="1899-12-30T15:45:00"/>
    <x v="0"/>
    <n v="56.5"/>
    <n v="4.7619047620000003"/>
    <x v="864"/>
    <n v="9.6"/>
    <d v="2019-03-13T00:00:00"/>
    <n v="3"/>
    <n v="15"/>
    <x v="26"/>
  </r>
  <r>
    <s v="544-55-9589"/>
    <x v="2"/>
    <s v="Mandalay"/>
    <x v="0"/>
    <x v="0"/>
    <x v="1"/>
    <n v="21.43"/>
    <n v="10"/>
    <n v="10.715"/>
    <n v="225.01499999999999"/>
    <s v="1/28/2019"/>
    <d v="1899-12-30T11:51:00"/>
    <x v="1"/>
    <n v="214.3"/>
    <n v="4.7619047620000003"/>
    <x v="865"/>
    <n v="6.2"/>
    <d v="2019-01-28T00:00:00"/>
    <n v="1"/>
    <n v="11"/>
    <x v="19"/>
  </r>
  <r>
    <s v="166-19-2553"/>
    <x v="0"/>
    <s v="Yangon"/>
    <x v="0"/>
    <x v="1"/>
    <x v="3"/>
    <n v="89.06"/>
    <n v="6"/>
    <n v="26.718"/>
    <n v="561.07799999999997"/>
    <s v="1/18/2019"/>
    <d v="1899-12-30T17:26:00"/>
    <x v="1"/>
    <n v="534.36"/>
    <n v="4.7619047620000003"/>
    <x v="866"/>
    <n v="9.9"/>
    <d v="2019-01-18T00:00:00"/>
    <n v="1"/>
    <n v="17"/>
    <x v="28"/>
  </r>
  <r>
    <s v="737-88-5876"/>
    <x v="0"/>
    <s v="Yangon"/>
    <x v="0"/>
    <x v="1"/>
    <x v="2"/>
    <n v="23.29"/>
    <n v="4"/>
    <n v="4.6580000000000004"/>
    <n v="97.817999999999998"/>
    <s v="3/19/2019"/>
    <d v="1899-12-30T11:52:00"/>
    <x v="2"/>
    <n v="93.16"/>
    <n v="4.7619047620000003"/>
    <x v="867"/>
    <n v="5.9"/>
    <d v="2019-03-19T00:00:00"/>
    <n v="3"/>
    <n v="11"/>
    <x v="24"/>
  </r>
  <r>
    <s v="154-87-7367"/>
    <x v="1"/>
    <s v="Naypyitaw"/>
    <x v="1"/>
    <x v="1"/>
    <x v="2"/>
    <n v="65.260000000000005"/>
    <n v="8"/>
    <n v="26.103999999999999"/>
    <n v="548.18399999999997"/>
    <s v="3/15/2019"/>
    <d v="1899-12-30T14:04:00"/>
    <x v="0"/>
    <n v="522.08000000000004"/>
    <n v="4.7619047620000003"/>
    <x v="868"/>
    <n v="6.3"/>
    <d v="2019-03-15T00:00:00"/>
    <n v="3"/>
    <n v="14"/>
    <x v="13"/>
  </r>
  <r>
    <s v="885-56-0389"/>
    <x v="1"/>
    <s v="Naypyitaw"/>
    <x v="0"/>
    <x v="1"/>
    <x v="5"/>
    <n v="52.35"/>
    <n v="1"/>
    <n v="2.6175000000000002"/>
    <n v="54.967500000000001"/>
    <d v="2019-12-02T00:00:00"/>
    <d v="1899-12-30T17:49:00"/>
    <x v="1"/>
    <n v="52.35"/>
    <n v="4.7619047620000003"/>
    <x v="869"/>
    <n v="4"/>
    <d v="2019-02-12T00:00:00"/>
    <n v="2"/>
    <n v="17"/>
    <x v="10"/>
  </r>
  <r>
    <s v="608-05-3804"/>
    <x v="2"/>
    <s v="Mandalay"/>
    <x v="0"/>
    <x v="1"/>
    <x v="1"/>
    <n v="39.75"/>
    <n v="1"/>
    <n v="1.9875"/>
    <n v="41.737499999999997"/>
    <s v="2/25/2019"/>
    <d v="1899-12-30T20:19:00"/>
    <x v="1"/>
    <n v="39.75"/>
    <n v="4.7619047620000003"/>
    <x v="870"/>
    <n v="6.1"/>
    <d v="2019-02-25T00:00:00"/>
    <n v="2"/>
    <n v="20"/>
    <x v="4"/>
  </r>
  <r>
    <s v="448-61-3783"/>
    <x v="0"/>
    <s v="Yangon"/>
    <x v="1"/>
    <x v="0"/>
    <x v="1"/>
    <n v="90.02"/>
    <n v="8"/>
    <n v="36.008000000000003"/>
    <n v="756.16800000000001"/>
    <s v="3/21/2019"/>
    <d v="1899-12-30T16:08:00"/>
    <x v="2"/>
    <n v="720.16"/>
    <n v="4.7619047620000003"/>
    <x v="871"/>
    <n v="4.5"/>
    <d v="2019-03-21T00:00:00"/>
    <n v="3"/>
    <n v="16"/>
    <x v="16"/>
  </r>
  <r>
    <s v="761-49-0439"/>
    <x v="2"/>
    <s v="Mandalay"/>
    <x v="0"/>
    <x v="0"/>
    <x v="1"/>
    <n v="12.1"/>
    <n v="8"/>
    <n v="4.84"/>
    <n v="101.64"/>
    <s v="1/19/2019"/>
    <d v="1899-12-30T10:17:00"/>
    <x v="0"/>
    <n v="96.8"/>
    <n v="4.7619047620000003"/>
    <x v="872"/>
    <n v="8.6"/>
    <d v="2019-01-19T00:00:00"/>
    <n v="1"/>
    <n v="10"/>
    <x v="24"/>
  </r>
  <r>
    <s v="490-95-0021"/>
    <x v="2"/>
    <s v="Mandalay"/>
    <x v="0"/>
    <x v="0"/>
    <x v="4"/>
    <n v="33.21"/>
    <n v="10"/>
    <n v="16.605"/>
    <n v="348.70499999999998"/>
    <d v="2019-08-01T00:00:00"/>
    <d v="1899-12-30T14:25:00"/>
    <x v="0"/>
    <n v="332.1"/>
    <n v="4.7619047620000003"/>
    <x v="873"/>
    <n v="6"/>
    <d v="2019-01-08T00:00:00"/>
    <n v="1"/>
    <n v="14"/>
    <x v="1"/>
  </r>
  <r>
    <s v="115-38-7388"/>
    <x v="1"/>
    <s v="Naypyitaw"/>
    <x v="0"/>
    <x v="0"/>
    <x v="5"/>
    <n v="10.18"/>
    <n v="8"/>
    <n v="4.0720000000000001"/>
    <n v="85.512"/>
    <s v="3/30/2019"/>
    <d v="1899-12-30T12:51:00"/>
    <x v="2"/>
    <n v="81.44"/>
    <n v="4.7619047620000003"/>
    <x v="874"/>
    <n v="9.5"/>
    <d v="2019-03-30T00:00:00"/>
    <n v="3"/>
    <n v="12"/>
    <x v="29"/>
  </r>
  <r>
    <s v="311-13-6971"/>
    <x v="2"/>
    <s v="Mandalay"/>
    <x v="0"/>
    <x v="1"/>
    <x v="3"/>
    <n v="31.99"/>
    <n v="10"/>
    <n v="15.994999999999999"/>
    <n v="335.89499999999998"/>
    <s v="2/20/2019"/>
    <d v="1899-12-30T15:18:00"/>
    <x v="2"/>
    <n v="319.89999999999998"/>
    <n v="4.7619047620000003"/>
    <x v="875"/>
    <n v="9.9"/>
    <d v="2019-02-20T00:00:00"/>
    <n v="2"/>
    <n v="15"/>
    <x v="7"/>
  </r>
  <r>
    <s v="291-55-6563"/>
    <x v="0"/>
    <s v="Yangon"/>
    <x v="0"/>
    <x v="0"/>
    <x v="2"/>
    <n v="34.42"/>
    <n v="6"/>
    <n v="10.326000000000001"/>
    <n v="216.846"/>
    <s v="3/30/2019"/>
    <d v="1899-12-30T12:45:00"/>
    <x v="0"/>
    <n v="206.52"/>
    <n v="4.7619047620000003"/>
    <x v="136"/>
    <n v="7.5"/>
    <d v="2019-03-30T00:00:00"/>
    <n v="3"/>
    <n v="12"/>
    <x v="29"/>
  </r>
  <r>
    <s v="548-48-3156"/>
    <x v="0"/>
    <s v="Yangon"/>
    <x v="0"/>
    <x v="0"/>
    <x v="4"/>
    <n v="83.34"/>
    <n v="2"/>
    <n v="8.3339999999999996"/>
    <n v="175.01400000000001"/>
    <s v="3/19/2019"/>
    <d v="1899-12-30T13:37:00"/>
    <x v="1"/>
    <n v="166.68"/>
    <n v="4.7619047620000003"/>
    <x v="876"/>
    <n v="7.6"/>
    <d v="2019-03-19T00:00:00"/>
    <n v="3"/>
    <n v="13"/>
    <x v="24"/>
  </r>
  <r>
    <s v="460-93-5834"/>
    <x v="0"/>
    <s v="Yangon"/>
    <x v="1"/>
    <x v="1"/>
    <x v="3"/>
    <n v="45.58"/>
    <n v="7"/>
    <n v="15.952999999999999"/>
    <n v="335.01299999999998"/>
    <s v="1/13/2019"/>
    <d v="1899-12-30T10:03:00"/>
    <x v="1"/>
    <n v="319.06"/>
    <n v="4.7619047620000003"/>
    <x v="877"/>
    <n v="5"/>
    <d v="2019-01-13T00:00:00"/>
    <n v="1"/>
    <n v="10"/>
    <x v="26"/>
  </r>
  <r>
    <s v="325-89-4209"/>
    <x v="0"/>
    <s v="Yangon"/>
    <x v="0"/>
    <x v="1"/>
    <x v="4"/>
    <n v="87.9"/>
    <n v="1"/>
    <n v="4.3949999999999996"/>
    <n v="92.295000000000002"/>
    <d v="2019-05-02T00:00:00"/>
    <d v="1899-12-30T19:42:00"/>
    <x v="0"/>
    <n v="87.9"/>
    <n v="4.7619047620000003"/>
    <x v="878"/>
    <n v="6.7"/>
    <d v="2019-02-05T00:00:00"/>
    <n v="2"/>
    <n v="19"/>
    <x v="0"/>
  </r>
  <r>
    <s v="884-80-6021"/>
    <x v="0"/>
    <s v="Yangon"/>
    <x v="0"/>
    <x v="0"/>
    <x v="1"/>
    <n v="73.47"/>
    <n v="10"/>
    <n v="36.734999999999999"/>
    <n v="771.43499999999995"/>
    <s v="3/23/2019"/>
    <d v="1899-12-30T13:14:00"/>
    <x v="0"/>
    <n v="734.7"/>
    <n v="4.7619047620000003"/>
    <x v="879"/>
    <n v="9.5"/>
    <d v="2019-03-23T00:00:00"/>
    <n v="3"/>
    <n v="13"/>
    <x v="21"/>
  </r>
  <r>
    <s v="137-74-8729"/>
    <x v="1"/>
    <s v="Naypyitaw"/>
    <x v="1"/>
    <x v="0"/>
    <x v="5"/>
    <n v="12.19"/>
    <n v="8"/>
    <n v="4.8760000000000003"/>
    <n v="102.396"/>
    <s v="3/13/2019"/>
    <d v="1899-12-30T12:47:00"/>
    <x v="0"/>
    <n v="97.52"/>
    <n v="4.7619047620000003"/>
    <x v="880"/>
    <n v="6.8"/>
    <d v="2019-03-13T00:00:00"/>
    <n v="3"/>
    <n v="12"/>
    <x v="26"/>
  </r>
  <r>
    <s v="880-46-5796"/>
    <x v="0"/>
    <s v="Yangon"/>
    <x v="0"/>
    <x v="1"/>
    <x v="3"/>
    <n v="76.92"/>
    <n v="10"/>
    <n v="38.46"/>
    <n v="807.66"/>
    <s v="3/17/2019"/>
    <d v="1899-12-30T19:53:00"/>
    <x v="0"/>
    <n v="769.2"/>
    <n v="4.7619047620000003"/>
    <x v="881"/>
    <n v="5.6"/>
    <d v="2019-03-17T00:00:00"/>
    <n v="3"/>
    <n v="19"/>
    <x v="17"/>
  </r>
  <r>
    <s v="389-70-2397"/>
    <x v="1"/>
    <s v="Naypyitaw"/>
    <x v="1"/>
    <x v="0"/>
    <x v="0"/>
    <n v="83.66"/>
    <n v="5"/>
    <n v="20.914999999999999"/>
    <n v="439.21499999999997"/>
    <s v="2/21/2019"/>
    <d v="1899-12-30T10:26:00"/>
    <x v="1"/>
    <n v="418.3"/>
    <n v="4.7619047620000003"/>
    <x v="882"/>
    <n v="7.2"/>
    <d v="2019-02-21T00:00:00"/>
    <n v="2"/>
    <n v="10"/>
    <x v="16"/>
  </r>
  <r>
    <s v="114-35-5271"/>
    <x v="2"/>
    <s v="Mandalay"/>
    <x v="1"/>
    <x v="0"/>
    <x v="1"/>
    <n v="57.91"/>
    <n v="8"/>
    <n v="23.164000000000001"/>
    <n v="486.44400000000002"/>
    <d v="2019-07-02T00:00:00"/>
    <d v="1899-12-30T15:06:00"/>
    <x v="1"/>
    <n v="463.28"/>
    <n v="4.7619047620000003"/>
    <x v="883"/>
    <n v="8.1"/>
    <d v="2019-02-07T00:00:00"/>
    <n v="2"/>
    <n v="15"/>
    <x v="11"/>
  </r>
  <r>
    <s v="607-76-6216"/>
    <x v="1"/>
    <s v="Naypyitaw"/>
    <x v="0"/>
    <x v="0"/>
    <x v="5"/>
    <n v="92.49"/>
    <n v="5"/>
    <n v="23.122499999999999"/>
    <n v="485.57249999999999"/>
    <d v="2019-02-03T00:00:00"/>
    <d v="1899-12-30T16:35:00"/>
    <x v="2"/>
    <n v="462.45"/>
    <n v="4.7619047620000003"/>
    <x v="884"/>
    <n v="8.6"/>
    <d v="2019-03-02T00:00:00"/>
    <n v="3"/>
    <n v="16"/>
    <x v="8"/>
  </r>
  <r>
    <s v="715-20-1673"/>
    <x v="2"/>
    <s v="Mandalay"/>
    <x v="1"/>
    <x v="1"/>
    <x v="1"/>
    <n v="28.38"/>
    <n v="5"/>
    <n v="7.0949999999999998"/>
    <n v="148.995"/>
    <d v="2019-06-03T00:00:00"/>
    <d v="1899-12-30T20:57:00"/>
    <x v="1"/>
    <n v="141.9"/>
    <n v="4.7619047620000003"/>
    <x v="885"/>
    <n v="9.4"/>
    <d v="2019-03-06T00:00:00"/>
    <n v="3"/>
    <n v="20"/>
    <x v="20"/>
  </r>
  <r>
    <s v="811-35-1094"/>
    <x v="2"/>
    <s v="Mandalay"/>
    <x v="0"/>
    <x v="1"/>
    <x v="1"/>
    <n v="50.45"/>
    <n v="6"/>
    <n v="15.135"/>
    <n v="317.83499999999998"/>
    <d v="2019-06-02T00:00:00"/>
    <d v="1899-12-30T15:16:00"/>
    <x v="2"/>
    <n v="302.7"/>
    <n v="4.7619047620000003"/>
    <x v="886"/>
    <n v="8.9"/>
    <d v="2019-02-06T00:00:00"/>
    <n v="2"/>
    <n v="15"/>
    <x v="20"/>
  </r>
  <r>
    <s v="699-88-1972"/>
    <x v="2"/>
    <s v="Mandalay"/>
    <x v="1"/>
    <x v="1"/>
    <x v="0"/>
    <n v="99.16"/>
    <n v="8"/>
    <n v="39.664000000000001"/>
    <n v="832.94399999999996"/>
    <s v="1/28/2019"/>
    <d v="1899-12-30T17:47:00"/>
    <x v="2"/>
    <n v="793.28"/>
    <n v="4.7619047620000003"/>
    <x v="887"/>
    <n v="4.2"/>
    <d v="2019-01-28T00:00:00"/>
    <n v="1"/>
    <n v="17"/>
    <x v="19"/>
  </r>
  <r>
    <s v="781-84-8059"/>
    <x v="1"/>
    <s v="Naypyitaw"/>
    <x v="1"/>
    <x v="1"/>
    <x v="5"/>
    <n v="60.74"/>
    <n v="7"/>
    <n v="21.259"/>
    <n v="446.43900000000002"/>
    <s v="1/18/2019"/>
    <d v="1899-12-30T16:23:00"/>
    <x v="0"/>
    <n v="425.18"/>
    <n v="4.7619047620000003"/>
    <x v="888"/>
    <n v="5"/>
    <d v="2019-01-18T00:00:00"/>
    <n v="1"/>
    <n v="16"/>
    <x v="28"/>
  </r>
  <r>
    <s v="409-49-6995"/>
    <x v="1"/>
    <s v="Naypyitaw"/>
    <x v="0"/>
    <x v="0"/>
    <x v="4"/>
    <n v="47.27"/>
    <n v="6"/>
    <n v="14.180999999999999"/>
    <n v="297.80099999999999"/>
    <d v="2019-05-02T00:00:00"/>
    <d v="1899-12-30T10:17:00"/>
    <x v="1"/>
    <n v="283.62"/>
    <n v="4.7619047620000003"/>
    <x v="889"/>
    <n v="8.8000000000000007"/>
    <d v="2019-02-05T00:00:00"/>
    <n v="2"/>
    <n v="10"/>
    <x v="0"/>
  </r>
  <r>
    <s v="725-54-0677"/>
    <x v="1"/>
    <s v="Naypyitaw"/>
    <x v="0"/>
    <x v="1"/>
    <x v="0"/>
    <n v="85.6"/>
    <n v="7"/>
    <n v="29.96"/>
    <n v="629.16"/>
    <d v="2019-02-03T00:00:00"/>
    <d v="1899-12-30T13:50:00"/>
    <x v="1"/>
    <n v="599.20000000000005"/>
    <n v="4.7619047620000003"/>
    <x v="890"/>
    <n v="5.3"/>
    <d v="2019-03-02T00:00:00"/>
    <n v="3"/>
    <n v="13"/>
    <x v="8"/>
  </r>
  <r>
    <s v="146-09-5432"/>
    <x v="0"/>
    <s v="Yangon"/>
    <x v="0"/>
    <x v="1"/>
    <x v="4"/>
    <n v="35.04"/>
    <n v="9"/>
    <n v="15.768000000000001"/>
    <n v="331.12799999999999"/>
    <d v="2019-09-02T00:00:00"/>
    <d v="1899-12-30T19:17:00"/>
    <x v="0"/>
    <n v="315.36"/>
    <n v="4.7619047620000003"/>
    <x v="891"/>
    <n v="4.5999999999999996"/>
    <d v="2019-02-09T00:00:00"/>
    <n v="2"/>
    <n v="19"/>
    <x v="9"/>
  </r>
  <r>
    <s v="377-79-7592"/>
    <x v="1"/>
    <s v="Naypyitaw"/>
    <x v="0"/>
    <x v="0"/>
    <x v="1"/>
    <n v="44.84"/>
    <n v="9"/>
    <n v="20.178000000000001"/>
    <n v="423.738"/>
    <s v="1/14/2019"/>
    <d v="1899-12-30T14:00:00"/>
    <x v="2"/>
    <n v="403.56"/>
    <n v="4.7619047620000003"/>
    <x v="892"/>
    <n v="7.5"/>
    <d v="2019-01-14T00:00:00"/>
    <n v="1"/>
    <n v="14"/>
    <x v="25"/>
  </r>
  <r>
    <s v="509-10-0516"/>
    <x v="2"/>
    <s v="Mandalay"/>
    <x v="1"/>
    <x v="1"/>
    <x v="2"/>
    <n v="45.97"/>
    <n v="4"/>
    <n v="9.1940000000000008"/>
    <n v="193.07400000000001"/>
    <d v="2019-09-02T00:00:00"/>
    <d v="1899-12-30T12:02:00"/>
    <x v="0"/>
    <n v="183.88"/>
    <n v="4.7619047620000003"/>
    <x v="893"/>
    <n v="5.0999999999999996"/>
    <d v="2019-02-09T00:00:00"/>
    <n v="2"/>
    <n v="12"/>
    <x v="9"/>
  </r>
  <r>
    <s v="595-94-9924"/>
    <x v="0"/>
    <s v="Yangon"/>
    <x v="0"/>
    <x v="0"/>
    <x v="0"/>
    <n v="27.73"/>
    <n v="5"/>
    <n v="6.9325000000000001"/>
    <n v="145.58250000000001"/>
    <s v="3/26/2019"/>
    <d v="1899-12-30T20:21:00"/>
    <x v="2"/>
    <n v="138.65"/>
    <n v="4.7619047620000003"/>
    <x v="894"/>
    <n v="4.2"/>
    <d v="2019-03-26T00:00:00"/>
    <n v="3"/>
    <n v="20"/>
    <x v="27"/>
  </r>
  <r>
    <s v="865-41-9075"/>
    <x v="0"/>
    <s v="Yangon"/>
    <x v="1"/>
    <x v="1"/>
    <x v="4"/>
    <n v="11.53"/>
    <n v="7"/>
    <n v="4.0354999999999999"/>
    <n v="84.745500000000007"/>
    <s v="1/28/2019"/>
    <d v="1899-12-30T17:35:00"/>
    <x v="1"/>
    <n v="80.709999999999994"/>
    <n v="4.7619047620000003"/>
    <x v="895"/>
    <n v="8.1"/>
    <d v="2019-01-28T00:00:00"/>
    <n v="1"/>
    <n v="17"/>
    <x v="19"/>
  </r>
  <r>
    <s v="545-07-8534"/>
    <x v="1"/>
    <s v="Naypyitaw"/>
    <x v="1"/>
    <x v="0"/>
    <x v="0"/>
    <n v="58.32"/>
    <n v="2"/>
    <n v="5.8319999999999999"/>
    <n v="122.47199999999999"/>
    <s v="2/14/2019"/>
    <d v="1899-12-30T12:42:00"/>
    <x v="0"/>
    <n v="116.64"/>
    <n v="4.7619047620000003"/>
    <x v="896"/>
    <n v="6"/>
    <d v="2019-02-14T00:00:00"/>
    <n v="2"/>
    <n v="12"/>
    <x v="25"/>
  </r>
  <r>
    <s v="118-62-1812"/>
    <x v="1"/>
    <s v="Naypyitaw"/>
    <x v="0"/>
    <x v="0"/>
    <x v="2"/>
    <n v="78.38"/>
    <n v="4"/>
    <n v="15.676"/>
    <n v="329.19600000000003"/>
    <s v="3/24/2019"/>
    <d v="1899-12-30T17:56:00"/>
    <x v="1"/>
    <n v="313.52"/>
    <n v="4.7619047620000003"/>
    <x v="897"/>
    <n v="7.9"/>
    <d v="2019-03-24T00:00:00"/>
    <n v="3"/>
    <n v="17"/>
    <x v="5"/>
  </r>
  <r>
    <s v="450-42-3339"/>
    <x v="1"/>
    <s v="Naypyitaw"/>
    <x v="1"/>
    <x v="1"/>
    <x v="0"/>
    <n v="84.61"/>
    <n v="10"/>
    <n v="42.305"/>
    <n v="888.40499999999997"/>
    <d v="2019-09-02T00:00:00"/>
    <d v="1899-12-30T18:58:00"/>
    <x v="2"/>
    <n v="846.1"/>
    <n v="4.7619047620000003"/>
    <x v="898"/>
    <n v="8.8000000000000007"/>
    <d v="2019-02-09T00:00:00"/>
    <n v="2"/>
    <n v="18"/>
    <x v="9"/>
  </r>
  <r>
    <s v="851-98-3555"/>
    <x v="2"/>
    <s v="Mandalay"/>
    <x v="1"/>
    <x v="0"/>
    <x v="0"/>
    <n v="82.88"/>
    <n v="5"/>
    <n v="20.72"/>
    <n v="435.12"/>
    <s v="3/24/2019"/>
    <d v="1899-12-30T14:08:00"/>
    <x v="2"/>
    <n v="414.4"/>
    <n v="4.7619047620000003"/>
    <x v="899"/>
    <n v="6.6"/>
    <d v="2019-03-24T00:00:00"/>
    <n v="3"/>
    <n v="14"/>
    <x v="5"/>
  </r>
  <r>
    <s v="186-71-5196"/>
    <x v="0"/>
    <s v="Yangon"/>
    <x v="0"/>
    <x v="0"/>
    <x v="4"/>
    <n v="79.540000000000006"/>
    <n v="2"/>
    <n v="7.9539999999999997"/>
    <n v="167.03399999999999"/>
    <s v="3/27/2019"/>
    <d v="1899-12-30T16:30:00"/>
    <x v="0"/>
    <n v="159.08000000000001"/>
    <n v="4.7619047620000003"/>
    <x v="900"/>
    <n v="6.2"/>
    <d v="2019-03-27T00:00:00"/>
    <n v="3"/>
    <n v="16"/>
    <x v="3"/>
  </r>
  <r>
    <s v="624-01-8356"/>
    <x v="2"/>
    <s v="Mandalay"/>
    <x v="1"/>
    <x v="0"/>
    <x v="2"/>
    <n v="49.01"/>
    <n v="10"/>
    <n v="24.504999999999999"/>
    <n v="514.60500000000002"/>
    <s v="1/27/2019"/>
    <d v="1899-12-30T10:44:00"/>
    <x v="2"/>
    <n v="490.1"/>
    <n v="4.7619047620000003"/>
    <x v="901"/>
    <n v="4.2"/>
    <d v="2019-01-27T00:00:00"/>
    <n v="1"/>
    <n v="10"/>
    <x v="3"/>
  </r>
  <r>
    <s v="313-66-9943"/>
    <x v="2"/>
    <s v="Mandalay"/>
    <x v="0"/>
    <x v="0"/>
    <x v="4"/>
    <n v="29.15"/>
    <n v="3"/>
    <n v="4.3724999999999996"/>
    <n v="91.822500000000005"/>
    <s v="3/27/2019"/>
    <d v="1899-12-30T20:29:00"/>
    <x v="2"/>
    <n v="87.45"/>
    <n v="4.7619047620000003"/>
    <x v="902"/>
    <n v="7.3"/>
    <d v="2019-03-27T00:00:00"/>
    <n v="3"/>
    <n v="20"/>
    <x v="3"/>
  </r>
  <r>
    <s v="151-27-8496"/>
    <x v="1"/>
    <s v="Naypyitaw"/>
    <x v="1"/>
    <x v="0"/>
    <x v="1"/>
    <n v="56.13"/>
    <n v="4"/>
    <n v="11.226000000000001"/>
    <n v="235.74600000000001"/>
    <s v="1/19/2019"/>
    <d v="1899-12-30T11:43:00"/>
    <x v="0"/>
    <n v="224.52"/>
    <n v="4.7619047620000003"/>
    <x v="903"/>
    <n v="8.6"/>
    <d v="2019-01-19T00:00:00"/>
    <n v="1"/>
    <n v="11"/>
    <x v="24"/>
  </r>
  <r>
    <s v="453-33-6436"/>
    <x v="0"/>
    <s v="Yangon"/>
    <x v="1"/>
    <x v="0"/>
    <x v="2"/>
    <n v="93.12"/>
    <n v="8"/>
    <n v="37.247999999999998"/>
    <n v="782.20799999999997"/>
    <d v="2019-07-02T00:00:00"/>
    <d v="1899-12-30T10:09:00"/>
    <x v="1"/>
    <n v="744.96"/>
    <n v="4.7619047620000003"/>
    <x v="904"/>
    <n v="6.8"/>
    <d v="2019-02-07T00:00:00"/>
    <n v="2"/>
    <n v="10"/>
    <x v="11"/>
  </r>
  <r>
    <s v="522-57-8364"/>
    <x v="0"/>
    <s v="Yangon"/>
    <x v="0"/>
    <x v="1"/>
    <x v="5"/>
    <n v="51.34"/>
    <n v="8"/>
    <n v="20.536000000000001"/>
    <n v="431.25599999999997"/>
    <s v="1/31/2019"/>
    <d v="1899-12-30T10:00:00"/>
    <x v="0"/>
    <n v="410.72"/>
    <n v="4.7619047620000003"/>
    <x v="905"/>
    <n v="7.6"/>
    <d v="2019-01-31T00:00:00"/>
    <n v="1"/>
    <n v="10"/>
    <x v="30"/>
  </r>
  <r>
    <s v="459-45-2396"/>
    <x v="0"/>
    <s v="Yangon"/>
    <x v="0"/>
    <x v="0"/>
    <x v="4"/>
    <n v="99.6"/>
    <n v="3"/>
    <n v="14.94"/>
    <n v="313.74"/>
    <s v="2/25/2019"/>
    <d v="1899-12-30T18:45:00"/>
    <x v="1"/>
    <n v="298.8"/>
    <n v="4.7619047620000003"/>
    <x v="906"/>
    <n v="5.8"/>
    <d v="2019-02-25T00:00:00"/>
    <n v="2"/>
    <n v="18"/>
    <x v="4"/>
  </r>
  <r>
    <s v="717-96-4189"/>
    <x v="1"/>
    <s v="Naypyitaw"/>
    <x v="1"/>
    <x v="0"/>
    <x v="1"/>
    <n v="35.49"/>
    <n v="6"/>
    <n v="10.647"/>
    <n v="223.58699999999999"/>
    <d v="2019-02-02T00:00:00"/>
    <d v="1899-12-30T12:40:00"/>
    <x v="1"/>
    <n v="212.94"/>
    <n v="4.7619047620000003"/>
    <x v="907"/>
    <n v="4.0999999999999996"/>
    <d v="2019-02-02T00:00:00"/>
    <n v="2"/>
    <n v="12"/>
    <x v="8"/>
  </r>
  <r>
    <s v="722-13-2115"/>
    <x v="1"/>
    <s v="Naypyitaw"/>
    <x v="0"/>
    <x v="1"/>
    <x v="3"/>
    <n v="42.85"/>
    <n v="1"/>
    <n v="2.1425000000000001"/>
    <n v="44.9925"/>
    <s v="3/14/2019"/>
    <d v="1899-12-30T15:36:00"/>
    <x v="2"/>
    <n v="42.85"/>
    <n v="4.7619047620000003"/>
    <x v="908"/>
    <n v="9.3000000000000007"/>
    <d v="2019-03-14T00:00:00"/>
    <n v="3"/>
    <n v="15"/>
    <x v="25"/>
  </r>
  <r>
    <s v="749-81-8133"/>
    <x v="0"/>
    <s v="Yangon"/>
    <x v="1"/>
    <x v="0"/>
    <x v="5"/>
    <n v="94.67"/>
    <n v="4"/>
    <n v="18.934000000000001"/>
    <n v="397.61399999999998"/>
    <d v="2019-11-03T00:00:00"/>
    <d v="1899-12-30T12:04:00"/>
    <x v="1"/>
    <n v="378.68"/>
    <n v="4.7619047620000003"/>
    <x v="909"/>
    <n v="6.8"/>
    <d v="2019-03-11T00:00:00"/>
    <n v="3"/>
    <n v="12"/>
    <x v="14"/>
  </r>
  <r>
    <s v="777-67-2495"/>
    <x v="2"/>
    <s v="Mandalay"/>
    <x v="1"/>
    <x v="1"/>
    <x v="2"/>
    <n v="68.97"/>
    <n v="3"/>
    <n v="10.345499999999999"/>
    <n v="217.25550000000001"/>
    <s v="2/22/2019"/>
    <d v="1899-12-30T11:26:00"/>
    <x v="0"/>
    <n v="206.91"/>
    <n v="4.7619047620000003"/>
    <x v="910"/>
    <n v="8.6999999999999993"/>
    <d v="2019-02-22T00:00:00"/>
    <n v="2"/>
    <n v="11"/>
    <x v="18"/>
  </r>
  <r>
    <s v="636-98-3364"/>
    <x v="2"/>
    <s v="Mandalay"/>
    <x v="0"/>
    <x v="0"/>
    <x v="1"/>
    <n v="26.26"/>
    <n v="3"/>
    <n v="3.9390000000000001"/>
    <n v="82.718999999999994"/>
    <d v="2019-02-03T00:00:00"/>
    <d v="1899-12-30T12:36:00"/>
    <x v="0"/>
    <n v="78.78"/>
    <n v="4.7619047620000003"/>
    <x v="911"/>
    <n v="6.3"/>
    <d v="2019-03-02T00:00:00"/>
    <n v="3"/>
    <n v="12"/>
    <x v="8"/>
  </r>
  <r>
    <s v="246-55-6923"/>
    <x v="1"/>
    <s v="Naypyitaw"/>
    <x v="0"/>
    <x v="0"/>
    <x v="2"/>
    <n v="35.79"/>
    <n v="9"/>
    <n v="16.105499999999999"/>
    <n v="338.21550000000002"/>
    <d v="2019-10-03T00:00:00"/>
    <d v="1899-12-30T15:06:00"/>
    <x v="2"/>
    <n v="322.11"/>
    <n v="4.7619047620000003"/>
    <x v="912"/>
    <n v="5.0999999999999996"/>
    <d v="2019-03-10T00:00:00"/>
    <n v="3"/>
    <n v="15"/>
    <x v="6"/>
  </r>
  <r>
    <s v="181-82-6255"/>
    <x v="2"/>
    <s v="Mandalay"/>
    <x v="1"/>
    <x v="0"/>
    <x v="2"/>
    <n v="16.37"/>
    <n v="6"/>
    <n v="4.9109999999999996"/>
    <n v="103.131"/>
    <d v="2019-08-02T00:00:00"/>
    <d v="1899-12-30T10:58:00"/>
    <x v="1"/>
    <n v="98.22"/>
    <n v="4.7619047620000003"/>
    <x v="913"/>
    <n v="7"/>
    <d v="2019-02-08T00:00:00"/>
    <n v="2"/>
    <n v="10"/>
    <x v="1"/>
  </r>
  <r>
    <s v="838-02-1821"/>
    <x v="1"/>
    <s v="Naypyitaw"/>
    <x v="0"/>
    <x v="0"/>
    <x v="2"/>
    <n v="12.73"/>
    <n v="2"/>
    <n v="1.2729999999999999"/>
    <n v="26.733000000000001"/>
    <s v="2/22/2019"/>
    <d v="1899-12-30T12:10:00"/>
    <x v="2"/>
    <n v="25.46"/>
    <n v="4.7619047620000003"/>
    <x v="914"/>
    <n v="5.2"/>
    <d v="2019-02-22T00:00:00"/>
    <n v="2"/>
    <n v="12"/>
    <x v="18"/>
  </r>
  <r>
    <s v="887-42-0517"/>
    <x v="1"/>
    <s v="Naypyitaw"/>
    <x v="1"/>
    <x v="0"/>
    <x v="3"/>
    <n v="83.14"/>
    <n v="7"/>
    <n v="29.099"/>
    <n v="611.07899999999995"/>
    <d v="2019-10-01T00:00:00"/>
    <d v="1899-12-30T10:31:00"/>
    <x v="2"/>
    <n v="581.98"/>
    <n v="4.7619047620000003"/>
    <x v="915"/>
    <n v="6.6"/>
    <d v="2019-01-10T00:00:00"/>
    <n v="1"/>
    <n v="10"/>
    <x v="6"/>
  </r>
  <r>
    <s v="457-12-0244"/>
    <x v="1"/>
    <s v="Naypyitaw"/>
    <x v="0"/>
    <x v="0"/>
    <x v="3"/>
    <n v="35.22"/>
    <n v="6"/>
    <n v="10.566000000000001"/>
    <n v="221.886"/>
    <s v="3/14/2019"/>
    <d v="1899-12-30T13:49:00"/>
    <x v="0"/>
    <n v="211.32"/>
    <n v="4.7619047620000003"/>
    <x v="916"/>
    <n v="6.5"/>
    <d v="2019-03-14T00:00:00"/>
    <n v="3"/>
    <n v="13"/>
    <x v="25"/>
  </r>
  <r>
    <s v="226-34-0034"/>
    <x v="2"/>
    <s v="Mandalay"/>
    <x v="1"/>
    <x v="0"/>
    <x v="1"/>
    <n v="13.78"/>
    <n v="4"/>
    <n v="2.7559999999999998"/>
    <n v="57.875999999999998"/>
    <d v="2019-10-01T00:00:00"/>
    <d v="1899-12-30T11:10:00"/>
    <x v="0"/>
    <n v="55.12"/>
    <n v="4.7619047620000003"/>
    <x v="917"/>
    <n v="9"/>
    <d v="2019-01-10T00:00:00"/>
    <n v="1"/>
    <n v="11"/>
    <x v="6"/>
  </r>
  <r>
    <s v="321-49-7382"/>
    <x v="2"/>
    <s v="Mandalay"/>
    <x v="0"/>
    <x v="1"/>
    <x v="3"/>
    <n v="88.31"/>
    <n v="1"/>
    <n v="4.4154999999999998"/>
    <n v="92.725499999999997"/>
    <s v="2/15/2019"/>
    <d v="1899-12-30T17:38:00"/>
    <x v="2"/>
    <n v="88.31"/>
    <n v="4.7619047620000003"/>
    <x v="918"/>
    <n v="5.2"/>
    <d v="2019-02-15T00:00:00"/>
    <n v="2"/>
    <n v="17"/>
    <x v="13"/>
  </r>
  <r>
    <s v="397-25-8725"/>
    <x v="0"/>
    <s v="Yangon"/>
    <x v="0"/>
    <x v="0"/>
    <x v="0"/>
    <n v="39.619999999999997"/>
    <n v="9"/>
    <n v="17.829000000000001"/>
    <n v="374.40899999999999"/>
    <s v="1/13/2019"/>
    <d v="1899-12-30T17:54:00"/>
    <x v="2"/>
    <n v="356.58"/>
    <n v="4.7619047620000003"/>
    <x v="919"/>
    <n v="6.8"/>
    <d v="2019-01-13T00:00:00"/>
    <n v="1"/>
    <n v="17"/>
    <x v="26"/>
  </r>
  <r>
    <s v="431-66-2305"/>
    <x v="2"/>
    <s v="Mandalay"/>
    <x v="1"/>
    <x v="0"/>
    <x v="1"/>
    <n v="88.25"/>
    <n v="9"/>
    <n v="39.712499999999999"/>
    <n v="833.96249999999998"/>
    <s v="2/15/2019"/>
    <d v="1899-12-30T20:51:00"/>
    <x v="2"/>
    <n v="794.25"/>
    <n v="4.7619047620000003"/>
    <x v="920"/>
    <n v="7.6"/>
    <d v="2019-02-15T00:00:00"/>
    <n v="2"/>
    <n v="20"/>
    <x v="13"/>
  </r>
  <r>
    <s v="825-94-5922"/>
    <x v="2"/>
    <s v="Mandalay"/>
    <x v="1"/>
    <x v="1"/>
    <x v="3"/>
    <n v="25.31"/>
    <n v="2"/>
    <n v="2.5310000000000001"/>
    <n v="53.151000000000003"/>
    <d v="2019-02-03T00:00:00"/>
    <d v="1899-12-30T19:26:00"/>
    <x v="0"/>
    <n v="50.62"/>
    <n v="4.7619047620000003"/>
    <x v="921"/>
    <n v="7.2"/>
    <d v="2019-03-02T00:00:00"/>
    <n v="3"/>
    <n v="19"/>
    <x v="8"/>
  </r>
  <r>
    <s v="641-62-7288"/>
    <x v="2"/>
    <s v="Mandalay"/>
    <x v="1"/>
    <x v="1"/>
    <x v="2"/>
    <n v="99.92"/>
    <n v="6"/>
    <n v="29.975999999999999"/>
    <n v="629.49599999999998"/>
    <s v="3/24/2019"/>
    <d v="1899-12-30T13:33:00"/>
    <x v="0"/>
    <n v="599.52"/>
    <n v="4.7619047620000003"/>
    <x v="922"/>
    <n v="7.1"/>
    <d v="2019-03-24T00:00:00"/>
    <n v="3"/>
    <n v="13"/>
    <x v="5"/>
  </r>
  <r>
    <s v="756-93-1854"/>
    <x v="1"/>
    <s v="Naypyitaw"/>
    <x v="0"/>
    <x v="0"/>
    <x v="5"/>
    <n v="83.35"/>
    <n v="2"/>
    <n v="8.3350000000000009"/>
    <n v="175.035"/>
    <d v="2019-02-02T00:00:00"/>
    <d v="1899-12-30T14:05:00"/>
    <x v="2"/>
    <n v="166.7"/>
    <n v="4.7619047620000003"/>
    <x v="923"/>
    <n v="9.5"/>
    <d v="2019-02-02T00:00:00"/>
    <n v="2"/>
    <n v="14"/>
    <x v="8"/>
  </r>
  <r>
    <s v="243-55-8457"/>
    <x v="0"/>
    <s v="Yangon"/>
    <x v="1"/>
    <x v="0"/>
    <x v="4"/>
    <n v="74.44"/>
    <n v="10"/>
    <n v="37.22"/>
    <n v="781.62"/>
    <s v="2/27/2019"/>
    <d v="1899-12-30T11:40:00"/>
    <x v="0"/>
    <n v="744.4"/>
    <n v="4.7619047620000003"/>
    <x v="924"/>
    <n v="5.0999999999999996"/>
    <d v="2019-02-27T00:00:00"/>
    <n v="2"/>
    <n v="11"/>
    <x v="3"/>
  </r>
  <r>
    <s v="458-10-8612"/>
    <x v="1"/>
    <s v="Naypyitaw"/>
    <x v="1"/>
    <x v="1"/>
    <x v="0"/>
    <n v="64.08"/>
    <n v="7"/>
    <n v="22.428000000000001"/>
    <n v="470.988"/>
    <s v="1/20/2019"/>
    <d v="1899-12-30T12:27:00"/>
    <x v="0"/>
    <n v="448.56"/>
    <n v="4.7619047620000003"/>
    <x v="671"/>
    <n v="7.6"/>
    <d v="2019-01-20T00:00:00"/>
    <n v="1"/>
    <n v="12"/>
    <x v="7"/>
  </r>
  <r>
    <s v="501-61-1753"/>
    <x v="2"/>
    <s v="Mandalay"/>
    <x v="1"/>
    <x v="0"/>
    <x v="2"/>
    <n v="63.15"/>
    <n v="6"/>
    <n v="18.945"/>
    <n v="397.84500000000003"/>
    <d v="2019-03-01T00:00:00"/>
    <d v="1899-12-30T20:24:00"/>
    <x v="0"/>
    <n v="378.9"/>
    <n v="4.7619047620000003"/>
    <x v="925"/>
    <n v="9.8000000000000007"/>
    <d v="2019-01-03T00:00:00"/>
    <n v="1"/>
    <n v="20"/>
    <x v="2"/>
  </r>
  <r>
    <s v="235-06-8510"/>
    <x v="1"/>
    <s v="Naypyitaw"/>
    <x v="0"/>
    <x v="1"/>
    <x v="2"/>
    <n v="85.72"/>
    <n v="3"/>
    <n v="12.858000000000001"/>
    <n v="270.01799999999997"/>
    <s v="1/24/2019"/>
    <d v="1899-12-30T20:59:00"/>
    <x v="0"/>
    <n v="257.16000000000003"/>
    <n v="4.7619047620000003"/>
    <x v="926"/>
    <n v="5.0999999999999996"/>
    <d v="2019-01-24T00:00:00"/>
    <n v="1"/>
    <n v="20"/>
    <x v="5"/>
  </r>
  <r>
    <s v="433-08-7822"/>
    <x v="1"/>
    <s v="Naypyitaw"/>
    <x v="1"/>
    <x v="0"/>
    <x v="0"/>
    <n v="78.89"/>
    <n v="7"/>
    <n v="27.611499999999999"/>
    <n v="579.8415"/>
    <d v="2019-05-01T00:00:00"/>
    <d v="1899-12-30T19:48:00"/>
    <x v="0"/>
    <n v="552.23"/>
    <n v="4.7619047620000003"/>
    <x v="927"/>
    <n v="7.5"/>
    <d v="2019-01-05T00:00:00"/>
    <n v="1"/>
    <n v="19"/>
    <x v="0"/>
  </r>
  <r>
    <s v="361-85-2571"/>
    <x v="0"/>
    <s v="Yangon"/>
    <x v="1"/>
    <x v="0"/>
    <x v="3"/>
    <n v="89.48"/>
    <n v="5"/>
    <n v="22.37"/>
    <n v="469.77"/>
    <s v="3/30/2019"/>
    <d v="1899-12-30T10:18:00"/>
    <x v="1"/>
    <n v="447.4"/>
    <n v="4.7619047620000003"/>
    <x v="928"/>
    <n v="7.4"/>
    <d v="2019-03-30T00:00:00"/>
    <n v="3"/>
    <n v="10"/>
    <x v="29"/>
  </r>
  <r>
    <s v="131-70-8179"/>
    <x v="0"/>
    <s v="Yangon"/>
    <x v="0"/>
    <x v="0"/>
    <x v="0"/>
    <n v="92.09"/>
    <n v="3"/>
    <n v="13.813499999999999"/>
    <n v="290.08350000000002"/>
    <s v="2/17/2019"/>
    <d v="1899-12-30T16:27:00"/>
    <x v="1"/>
    <n v="276.27"/>
    <n v="4.7619047620000003"/>
    <x v="929"/>
    <n v="4.2"/>
    <d v="2019-02-17T00:00:00"/>
    <n v="2"/>
    <n v="16"/>
    <x v="17"/>
  </r>
  <r>
    <s v="500-02-2261"/>
    <x v="1"/>
    <s v="Naypyitaw"/>
    <x v="1"/>
    <x v="0"/>
    <x v="4"/>
    <n v="57.29"/>
    <n v="6"/>
    <n v="17.187000000000001"/>
    <n v="360.92700000000002"/>
    <s v="3/21/2019"/>
    <d v="1899-12-30T17:04:00"/>
    <x v="0"/>
    <n v="343.74"/>
    <n v="4.7619047620000003"/>
    <x v="930"/>
    <n v="5.9"/>
    <d v="2019-03-21T00:00:00"/>
    <n v="3"/>
    <n v="17"/>
    <x v="16"/>
  </r>
  <r>
    <s v="720-72-2436"/>
    <x v="0"/>
    <s v="Yangon"/>
    <x v="1"/>
    <x v="1"/>
    <x v="4"/>
    <n v="66.52"/>
    <n v="4"/>
    <n v="13.304"/>
    <n v="279.38400000000001"/>
    <d v="2019-02-03T00:00:00"/>
    <d v="1899-12-30T18:14:00"/>
    <x v="0"/>
    <n v="266.08"/>
    <n v="4.7619047620000003"/>
    <x v="931"/>
    <n v="6.9"/>
    <d v="2019-03-02T00:00:00"/>
    <n v="3"/>
    <n v="18"/>
    <x v="8"/>
  </r>
  <r>
    <s v="702-83-5291"/>
    <x v="1"/>
    <s v="Naypyitaw"/>
    <x v="0"/>
    <x v="1"/>
    <x v="5"/>
    <n v="99.82"/>
    <n v="9"/>
    <n v="44.918999999999997"/>
    <n v="943.29899999999998"/>
    <s v="3/27/2019"/>
    <d v="1899-12-30T10:43:00"/>
    <x v="1"/>
    <n v="898.38"/>
    <n v="4.7619047620000003"/>
    <x v="932"/>
    <n v="6.6"/>
    <d v="2019-03-27T00:00:00"/>
    <n v="3"/>
    <n v="10"/>
    <x v="3"/>
  </r>
  <r>
    <s v="809-69-9497"/>
    <x v="0"/>
    <s v="Yangon"/>
    <x v="1"/>
    <x v="0"/>
    <x v="2"/>
    <n v="45.68"/>
    <n v="10"/>
    <n v="22.84"/>
    <n v="479.64"/>
    <s v="1/19/2019"/>
    <d v="1899-12-30T19:30:00"/>
    <x v="0"/>
    <n v="456.8"/>
    <n v="4.7619047620000003"/>
    <x v="933"/>
    <n v="5.7"/>
    <d v="2019-01-19T00:00:00"/>
    <n v="1"/>
    <n v="19"/>
    <x v="24"/>
  </r>
  <r>
    <s v="449-16-6770"/>
    <x v="0"/>
    <s v="Yangon"/>
    <x v="1"/>
    <x v="1"/>
    <x v="0"/>
    <n v="50.79"/>
    <n v="5"/>
    <n v="12.6975"/>
    <n v="266.64749999999998"/>
    <s v="2/19/2019"/>
    <d v="1899-12-30T14:53:00"/>
    <x v="2"/>
    <n v="253.95"/>
    <n v="4.7619047620000003"/>
    <x v="934"/>
    <n v="5.3"/>
    <d v="2019-02-19T00:00:00"/>
    <n v="2"/>
    <n v="14"/>
    <x v="24"/>
  </r>
  <r>
    <s v="333-23-2632"/>
    <x v="0"/>
    <s v="Yangon"/>
    <x v="0"/>
    <x v="1"/>
    <x v="0"/>
    <n v="10.08"/>
    <n v="7"/>
    <n v="3.528"/>
    <n v="74.087999999999994"/>
    <s v="3/28/2019"/>
    <d v="1899-12-30T20:14:00"/>
    <x v="1"/>
    <n v="70.56"/>
    <n v="4.7619047620000003"/>
    <x v="935"/>
    <n v="4.2"/>
    <d v="2019-03-28T00:00:00"/>
    <n v="3"/>
    <n v="20"/>
    <x v="19"/>
  </r>
  <r>
    <s v="489-82-1237"/>
    <x v="0"/>
    <s v="Yangon"/>
    <x v="1"/>
    <x v="0"/>
    <x v="1"/>
    <n v="93.88"/>
    <n v="7"/>
    <n v="32.857999999999997"/>
    <n v="690.01800000000003"/>
    <d v="2019-05-01T00:00:00"/>
    <d v="1899-12-30T11:51:00"/>
    <x v="2"/>
    <n v="657.16"/>
    <n v="4.7619047620000003"/>
    <x v="936"/>
    <n v="7.3"/>
    <d v="2019-01-05T00:00:00"/>
    <n v="1"/>
    <n v="11"/>
    <x v="0"/>
  </r>
  <r>
    <s v="859-97-6048"/>
    <x v="1"/>
    <s v="Naypyitaw"/>
    <x v="0"/>
    <x v="1"/>
    <x v="1"/>
    <n v="84.25"/>
    <n v="2"/>
    <n v="8.4250000000000007"/>
    <n v="176.92500000000001"/>
    <s v="3/26/2019"/>
    <d v="1899-12-30T14:13:00"/>
    <x v="2"/>
    <n v="168.5"/>
    <n v="4.7619047620000003"/>
    <x v="937"/>
    <n v="5.3"/>
    <d v="2019-03-26T00:00:00"/>
    <n v="3"/>
    <n v="14"/>
    <x v="27"/>
  </r>
  <r>
    <s v="676-10-2200"/>
    <x v="2"/>
    <s v="Mandalay"/>
    <x v="0"/>
    <x v="1"/>
    <x v="5"/>
    <n v="53.78"/>
    <n v="1"/>
    <n v="2.6890000000000001"/>
    <n v="56.469000000000001"/>
    <d v="2019-03-02T00:00:00"/>
    <d v="1899-12-30T20:13:00"/>
    <x v="0"/>
    <n v="53.78"/>
    <n v="4.7619047620000003"/>
    <x v="938"/>
    <n v="4.7"/>
    <d v="2019-02-03T00:00:00"/>
    <n v="2"/>
    <n v="20"/>
    <x v="2"/>
  </r>
  <r>
    <s v="373-88-1424"/>
    <x v="1"/>
    <s v="Naypyitaw"/>
    <x v="0"/>
    <x v="1"/>
    <x v="2"/>
    <n v="35.81"/>
    <n v="5"/>
    <n v="8.9525000000000006"/>
    <n v="188.0025"/>
    <d v="2019-06-02T00:00:00"/>
    <d v="1899-12-30T18:44:00"/>
    <x v="0"/>
    <n v="179.05"/>
    <n v="4.7619047620000003"/>
    <x v="939"/>
    <n v="7.9"/>
    <d v="2019-02-06T00:00:00"/>
    <n v="2"/>
    <n v="18"/>
    <x v="20"/>
  </r>
  <r>
    <s v="365-16-4334"/>
    <x v="2"/>
    <s v="Mandalay"/>
    <x v="1"/>
    <x v="0"/>
    <x v="4"/>
    <n v="26.43"/>
    <n v="8"/>
    <n v="10.571999999999999"/>
    <n v="222.012"/>
    <s v="2/24/2019"/>
    <d v="1899-12-30T14:26:00"/>
    <x v="0"/>
    <n v="211.44"/>
    <n v="4.7619047620000003"/>
    <x v="940"/>
    <n v="8.9"/>
    <d v="2019-02-24T00:00:00"/>
    <n v="2"/>
    <n v="14"/>
    <x v="5"/>
  </r>
  <r>
    <s v="503-21-4385"/>
    <x v="2"/>
    <s v="Mandalay"/>
    <x v="0"/>
    <x v="1"/>
    <x v="0"/>
    <n v="39.909999999999997"/>
    <n v="3"/>
    <n v="5.9865000000000004"/>
    <n v="125.7165"/>
    <s v="2/21/2019"/>
    <d v="1899-12-30T12:40:00"/>
    <x v="0"/>
    <n v="119.73"/>
    <n v="4.7619047620000003"/>
    <x v="941"/>
    <n v="9.3000000000000007"/>
    <d v="2019-02-21T00:00:00"/>
    <n v="2"/>
    <n v="12"/>
    <x v="16"/>
  </r>
  <r>
    <s v="305-89-2768"/>
    <x v="2"/>
    <s v="Mandalay"/>
    <x v="0"/>
    <x v="0"/>
    <x v="2"/>
    <n v="21.9"/>
    <n v="3"/>
    <n v="3.2850000000000001"/>
    <n v="68.984999999999999"/>
    <d v="2019-09-01T00:00:00"/>
    <d v="1899-12-30T18:43:00"/>
    <x v="0"/>
    <n v="65.7"/>
    <n v="4.7619047620000003"/>
    <x v="942"/>
    <n v="4.7"/>
    <d v="2019-01-09T00:00:00"/>
    <n v="1"/>
    <n v="18"/>
    <x v="9"/>
  </r>
  <r>
    <s v="574-80-1489"/>
    <x v="2"/>
    <s v="Mandalay"/>
    <x v="0"/>
    <x v="0"/>
    <x v="4"/>
    <n v="62.85"/>
    <n v="4"/>
    <n v="12.57"/>
    <n v="263.97000000000003"/>
    <s v="2/25/2019"/>
    <d v="1899-12-30T13:22:00"/>
    <x v="0"/>
    <n v="251.4"/>
    <n v="4.7619047620000003"/>
    <x v="156"/>
    <n v="8.6999999999999993"/>
    <d v="2019-02-25T00:00:00"/>
    <n v="2"/>
    <n v="13"/>
    <x v="4"/>
  </r>
  <r>
    <s v="784-08-0310"/>
    <x v="1"/>
    <s v="Naypyitaw"/>
    <x v="0"/>
    <x v="0"/>
    <x v="4"/>
    <n v="21.04"/>
    <n v="4"/>
    <n v="4.2080000000000002"/>
    <n v="88.367999999999995"/>
    <s v="1/13/2019"/>
    <d v="1899-12-30T13:58:00"/>
    <x v="1"/>
    <n v="84.16"/>
    <n v="4.7619047620000003"/>
    <x v="943"/>
    <n v="7.6"/>
    <d v="2019-01-13T00:00:00"/>
    <n v="1"/>
    <n v="13"/>
    <x v="26"/>
  </r>
  <r>
    <s v="200-40-6154"/>
    <x v="2"/>
    <s v="Mandalay"/>
    <x v="0"/>
    <x v="1"/>
    <x v="2"/>
    <n v="65.91"/>
    <n v="6"/>
    <n v="19.773"/>
    <n v="415.233"/>
    <d v="2019-09-02T00:00:00"/>
    <d v="1899-12-30T11:45:00"/>
    <x v="1"/>
    <n v="395.46"/>
    <n v="4.7619047620000003"/>
    <x v="944"/>
    <n v="5.7"/>
    <d v="2019-02-09T00:00:00"/>
    <n v="2"/>
    <n v="11"/>
    <x v="9"/>
  </r>
  <r>
    <s v="846-10-0341"/>
    <x v="0"/>
    <s v="Yangon"/>
    <x v="1"/>
    <x v="0"/>
    <x v="5"/>
    <n v="42.57"/>
    <n v="7"/>
    <n v="14.8995"/>
    <n v="312.8895"/>
    <d v="2019-06-01T00:00:00"/>
    <d v="1899-12-30T11:51:00"/>
    <x v="1"/>
    <n v="297.99"/>
    <n v="4.7619047620000003"/>
    <x v="945"/>
    <n v="6.8"/>
    <d v="2019-01-06T00:00:00"/>
    <n v="1"/>
    <n v="11"/>
    <x v="20"/>
  </r>
  <r>
    <s v="577-34-7579"/>
    <x v="1"/>
    <s v="Naypyitaw"/>
    <x v="0"/>
    <x v="1"/>
    <x v="4"/>
    <n v="50.49"/>
    <n v="9"/>
    <n v="22.720500000000001"/>
    <n v="477.13049999999998"/>
    <d v="2019-10-01T00:00:00"/>
    <d v="1899-12-30T17:16:00"/>
    <x v="1"/>
    <n v="454.41"/>
    <n v="4.7619047620000003"/>
    <x v="946"/>
    <n v="5.4"/>
    <d v="2019-01-10T00:00:00"/>
    <n v="1"/>
    <n v="17"/>
    <x v="6"/>
  </r>
  <r>
    <s v="430-02-3888"/>
    <x v="2"/>
    <s v="Mandalay"/>
    <x v="1"/>
    <x v="1"/>
    <x v="1"/>
    <n v="46.02"/>
    <n v="6"/>
    <n v="13.805999999999999"/>
    <n v="289.92599999999999"/>
    <d v="2019-07-02T00:00:00"/>
    <d v="1899-12-30T15:55:00"/>
    <x v="1"/>
    <n v="276.12"/>
    <n v="4.7619047620000003"/>
    <x v="947"/>
    <n v="7.1"/>
    <d v="2019-02-07T00:00:00"/>
    <n v="2"/>
    <n v="15"/>
    <x v="11"/>
  </r>
  <r>
    <s v="867-47-1948"/>
    <x v="1"/>
    <s v="Naypyitaw"/>
    <x v="1"/>
    <x v="0"/>
    <x v="2"/>
    <n v="15.8"/>
    <n v="10"/>
    <n v="7.9"/>
    <n v="165.9"/>
    <d v="2019-09-01T00:00:00"/>
    <d v="1899-12-30T12:07:00"/>
    <x v="1"/>
    <n v="158"/>
    <n v="4.7619047620000003"/>
    <x v="948"/>
    <n v="7.8"/>
    <d v="2019-01-09T00:00:00"/>
    <n v="1"/>
    <n v="12"/>
    <x v="9"/>
  </r>
  <r>
    <s v="384-59-6655"/>
    <x v="0"/>
    <s v="Yangon"/>
    <x v="0"/>
    <x v="0"/>
    <x v="4"/>
    <n v="98.66"/>
    <n v="9"/>
    <n v="44.396999999999998"/>
    <n v="932.33699999999999"/>
    <s v="2/19/2019"/>
    <d v="1899-12-30T15:07:00"/>
    <x v="1"/>
    <n v="887.94"/>
    <n v="4.7619047620000003"/>
    <x v="949"/>
    <n v="8.4"/>
    <d v="2019-02-19T00:00:00"/>
    <n v="2"/>
    <n v="15"/>
    <x v="24"/>
  </r>
  <r>
    <s v="256-58-3609"/>
    <x v="1"/>
    <s v="Naypyitaw"/>
    <x v="0"/>
    <x v="1"/>
    <x v="5"/>
    <n v="91.98"/>
    <n v="1"/>
    <n v="4.5990000000000002"/>
    <n v="96.578999999999994"/>
    <s v="3/18/2019"/>
    <d v="1899-12-30T15:29:00"/>
    <x v="1"/>
    <n v="91.98"/>
    <n v="4.7619047620000003"/>
    <x v="950"/>
    <n v="9.8000000000000007"/>
    <d v="2019-03-18T00:00:00"/>
    <n v="3"/>
    <n v="15"/>
    <x v="28"/>
  </r>
  <r>
    <s v="324-92-3863"/>
    <x v="0"/>
    <s v="Yangon"/>
    <x v="0"/>
    <x v="1"/>
    <x v="1"/>
    <n v="20.89"/>
    <n v="2"/>
    <n v="2.089"/>
    <n v="43.869"/>
    <d v="2019-05-02T00:00:00"/>
    <d v="1899-12-30T18:45:00"/>
    <x v="1"/>
    <n v="41.78"/>
    <n v="4.7619047620000003"/>
    <x v="951"/>
    <n v="9.8000000000000007"/>
    <d v="2019-02-05T00:00:00"/>
    <n v="2"/>
    <n v="18"/>
    <x v="0"/>
  </r>
  <r>
    <s v="593-08-5916"/>
    <x v="0"/>
    <s v="Yangon"/>
    <x v="1"/>
    <x v="0"/>
    <x v="5"/>
    <n v="15.5"/>
    <n v="1"/>
    <n v="0.77500000000000002"/>
    <n v="16.274999999999999"/>
    <s v="3/19/2019"/>
    <d v="1899-12-30T15:23:00"/>
    <x v="2"/>
    <n v="15.5"/>
    <n v="4.7619047620000003"/>
    <x v="952"/>
    <n v="7.4"/>
    <d v="2019-03-19T00:00:00"/>
    <n v="3"/>
    <n v="15"/>
    <x v="24"/>
  </r>
  <r>
    <s v="364-34-2972"/>
    <x v="1"/>
    <s v="Naypyitaw"/>
    <x v="0"/>
    <x v="1"/>
    <x v="1"/>
    <n v="96.82"/>
    <n v="3"/>
    <n v="14.523"/>
    <n v="304.983"/>
    <s v="3/30/2019"/>
    <d v="1899-12-30T20:37:00"/>
    <x v="1"/>
    <n v="290.45999999999998"/>
    <n v="4.7619047620000003"/>
    <x v="953"/>
    <n v="6.7"/>
    <d v="2019-03-30T00:00:00"/>
    <n v="3"/>
    <n v="20"/>
    <x v="29"/>
  </r>
  <r>
    <s v="794-42-3736"/>
    <x v="2"/>
    <s v="Mandalay"/>
    <x v="1"/>
    <x v="1"/>
    <x v="4"/>
    <n v="33.33"/>
    <n v="2"/>
    <n v="3.3330000000000002"/>
    <n v="69.992999999999995"/>
    <s v="1/26/2019"/>
    <d v="1899-12-30T14:41:00"/>
    <x v="2"/>
    <n v="66.66"/>
    <n v="4.7619047620000003"/>
    <x v="954"/>
    <n v="6.4"/>
    <d v="2019-01-26T00:00:00"/>
    <n v="1"/>
    <n v="14"/>
    <x v="27"/>
  </r>
  <r>
    <s v="172-42-8274"/>
    <x v="2"/>
    <s v="Mandalay"/>
    <x v="1"/>
    <x v="0"/>
    <x v="1"/>
    <n v="38.270000000000003"/>
    <n v="2"/>
    <n v="3.827"/>
    <n v="80.367000000000004"/>
    <d v="2019-02-03T00:00:00"/>
    <d v="1899-12-30T18:18:00"/>
    <x v="2"/>
    <n v="76.540000000000006"/>
    <n v="4.7619047620000003"/>
    <x v="955"/>
    <n v="5.8"/>
    <d v="2019-03-02T00:00:00"/>
    <n v="3"/>
    <n v="18"/>
    <x v="8"/>
  </r>
  <r>
    <s v="558-60-5016"/>
    <x v="0"/>
    <s v="Yangon"/>
    <x v="1"/>
    <x v="0"/>
    <x v="2"/>
    <n v="33.299999999999997"/>
    <n v="9"/>
    <n v="14.984999999999999"/>
    <n v="314.685"/>
    <d v="2019-04-03T00:00:00"/>
    <d v="1899-12-30T15:27:00"/>
    <x v="0"/>
    <n v="299.7"/>
    <n v="4.7619047620000003"/>
    <x v="956"/>
    <n v="7.2"/>
    <d v="2019-03-04T00:00:00"/>
    <n v="3"/>
    <n v="15"/>
    <x v="22"/>
  </r>
  <r>
    <s v="195-06-0432"/>
    <x v="0"/>
    <s v="Yangon"/>
    <x v="0"/>
    <x v="1"/>
    <x v="2"/>
    <n v="81.010000000000005"/>
    <n v="3"/>
    <n v="12.1515"/>
    <n v="255.1815"/>
    <s v="1/13/2019"/>
    <d v="1899-12-30T12:55:00"/>
    <x v="2"/>
    <n v="243.03"/>
    <n v="4.7619047620000003"/>
    <x v="957"/>
    <n v="9.3000000000000007"/>
    <d v="2019-01-13T00:00:00"/>
    <n v="1"/>
    <n v="12"/>
    <x v="26"/>
  </r>
  <r>
    <s v="605-03-2706"/>
    <x v="0"/>
    <s v="Yangon"/>
    <x v="1"/>
    <x v="0"/>
    <x v="0"/>
    <n v="15.8"/>
    <n v="3"/>
    <n v="2.37"/>
    <n v="49.77"/>
    <s v="3/25/2019"/>
    <d v="1899-12-30T18:02:00"/>
    <x v="1"/>
    <n v="47.4"/>
    <n v="4.7619047620000003"/>
    <x v="958"/>
    <n v="9.5"/>
    <d v="2019-03-25T00:00:00"/>
    <n v="3"/>
    <n v="18"/>
    <x v="4"/>
  </r>
  <r>
    <s v="214-30-2776"/>
    <x v="2"/>
    <s v="Mandalay"/>
    <x v="0"/>
    <x v="0"/>
    <x v="1"/>
    <n v="34.49"/>
    <n v="5"/>
    <n v="8.6225000000000005"/>
    <n v="181.07249999999999"/>
    <d v="2019-11-03T00:00:00"/>
    <d v="1899-12-30T19:44:00"/>
    <x v="2"/>
    <n v="172.45"/>
    <n v="4.7619047620000003"/>
    <x v="959"/>
    <n v="9"/>
    <d v="2019-03-11T00:00:00"/>
    <n v="3"/>
    <n v="19"/>
    <x v="14"/>
  </r>
  <r>
    <s v="746-04-1077"/>
    <x v="2"/>
    <s v="Mandalay"/>
    <x v="0"/>
    <x v="0"/>
    <x v="4"/>
    <n v="84.63"/>
    <n v="10"/>
    <n v="42.314999999999998"/>
    <n v="888.61500000000001"/>
    <d v="2019-01-01T00:00:00"/>
    <d v="1899-12-30T11:36:00"/>
    <x v="2"/>
    <n v="846.3"/>
    <n v="4.7619047620000003"/>
    <x v="960"/>
    <n v="9"/>
    <d v="2019-01-01T00:00:00"/>
    <n v="1"/>
    <n v="11"/>
    <x v="15"/>
  </r>
  <r>
    <s v="448-34-8700"/>
    <x v="2"/>
    <s v="Mandalay"/>
    <x v="0"/>
    <x v="1"/>
    <x v="2"/>
    <n v="36.909999999999997"/>
    <n v="7"/>
    <n v="12.9185"/>
    <n v="271.2885"/>
    <d v="2019-10-02T00:00:00"/>
    <d v="1899-12-30T13:51:00"/>
    <x v="0"/>
    <n v="258.37"/>
    <n v="4.7619047620000003"/>
    <x v="961"/>
    <n v="6.7"/>
    <d v="2019-02-10T00:00:00"/>
    <n v="2"/>
    <n v="13"/>
    <x v="6"/>
  </r>
  <r>
    <s v="452-04-8808"/>
    <x v="2"/>
    <s v="Mandalay"/>
    <x v="1"/>
    <x v="1"/>
    <x v="1"/>
    <n v="87.08"/>
    <n v="7"/>
    <n v="30.478000000000002"/>
    <n v="640.03800000000001"/>
    <s v="1/26/2019"/>
    <d v="1899-12-30T15:17:00"/>
    <x v="1"/>
    <n v="609.55999999999995"/>
    <n v="4.7619047620000003"/>
    <x v="962"/>
    <n v="5.5"/>
    <d v="2019-01-26T00:00:00"/>
    <n v="1"/>
    <n v="15"/>
    <x v="27"/>
  </r>
  <r>
    <s v="531-56-4728"/>
    <x v="0"/>
    <s v="Yangon"/>
    <x v="1"/>
    <x v="1"/>
    <x v="2"/>
    <n v="80.08"/>
    <n v="3"/>
    <n v="12.012"/>
    <n v="252.25200000000001"/>
    <d v="2019-11-02T00:00:00"/>
    <d v="1899-12-30T15:29:00"/>
    <x v="1"/>
    <n v="240.24"/>
    <n v="4.7619047620000003"/>
    <x v="963"/>
    <n v="5.4"/>
    <d v="2019-02-11T00:00:00"/>
    <n v="2"/>
    <n v="15"/>
    <x v="14"/>
  </r>
  <r>
    <s v="744-82-9138"/>
    <x v="1"/>
    <s v="Naypyitaw"/>
    <x v="1"/>
    <x v="1"/>
    <x v="5"/>
    <n v="86.13"/>
    <n v="2"/>
    <n v="8.6129999999999995"/>
    <n v="180.87299999999999"/>
    <d v="2019-07-02T00:00:00"/>
    <d v="1899-12-30T17:59:00"/>
    <x v="1"/>
    <n v="172.26"/>
    <n v="4.7619047620000003"/>
    <x v="964"/>
    <n v="8.1999999999999993"/>
    <d v="2019-02-07T00:00:00"/>
    <n v="2"/>
    <n v="17"/>
    <x v="11"/>
  </r>
  <r>
    <s v="883-69-1285"/>
    <x v="2"/>
    <s v="Mandalay"/>
    <x v="0"/>
    <x v="1"/>
    <x v="5"/>
    <n v="49.92"/>
    <n v="2"/>
    <n v="4.992"/>
    <n v="104.83199999999999"/>
    <d v="2019-06-03T00:00:00"/>
    <d v="1899-12-30T11:55:00"/>
    <x v="2"/>
    <n v="99.84"/>
    <n v="4.7619047620000003"/>
    <x v="965"/>
    <n v="7"/>
    <d v="2019-03-06T00:00:00"/>
    <n v="3"/>
    <n v="11"/>
    <x v="20"/>
  </r>
  <r>
    <s v="221-25-5073"/>
    <x v="0"/>
    <s v="Yangon"/>
    <x v="1"/>
    <x v="0"/>
    <x v="4"/>
    <n v="74.66"/>
    <n v="4"/>
    <n v="14.932"/>
    <n v="313.572"/>
    <d v="2019-04-03T00:00:00"/>
    <d v="1899-12-30T10:39:00"/>
    <x v="1"/>
    <n v="298.64"/>
    <n v="4.7619047620000003"/>
    <x v="966"/>
    <n v="8.5"/>
    <d v="2019-03-04T00:00:00"/>
    <n v="3"/>
    <n v="10"/>
    <x v="22"/>
  </r>
  <r>
    <s v="518-71-6847"/>
    <x v="2"/>
    <s v="Mandalay"/>
    <x v="0"/>
    <x v="1"/>
    <x v="4"/>
    <n v="26.6"/>
    <n v="6"/>
    <n v="7.98"/>
    <n v="167.58"/>
    <s v="2/26/2019"/>
    <d v="1899-12-30T15:10:00"/>
    <x v="0"/>
    <n v="159.6"/>
    <n v="4.7619047620000003"/>
    <x v="967"/>
    <n v="4.9000000000000004"/>
    <d v="2019-02-26T00:00:00"/>
    <n v="2"/>
    <n v="15"/>
    <x v="27"/>
  </r>
  <r>
    <s v="156-20-0370"/>
    <x v="2"/>
    <s v="Mandalay"/>
    <x v="1"/>
    <x v="0"/>
    <x v="1"/>
    <n v="25.45"/>
    <n v="1"/>
    <n v="1.2725"/>
    <n v="26.7225"/>
    <d v="2019-10-03T00:00:00"/>
    <d v="1899-12-30T18:10:00"/>
    <x v="2"/>
    <n v="25.45"/>
    <n v="4.7619047620000003"/>
    <x v="968"/>
    <n v="5.0999999999999996"/>
    <d v="2019-03-10T00:00:00"/>
    <n v="3"/>
    <n v="18"/>
    <x v="6"/>
  </r>
  <r>
    <s v="151-33-7434"/>
    <x v="2"/>
    <s v="Mandalay"/>
    <x v="1"/>
    <x v="0"/>
    <x v="4"/>
    <n v="67.77"/>
    <n v="1"/>
    <n v="3.3885000000000001"/>
    <n v="71.158500000000004"/>
    <d v="2019-04-02T00:00:00"/>
    <d v="1899-12-30T20:43:00"/>
    <x v="2"/>
    <n v="67.77"/>
    <n v="4.7619047620000003"/>
    <x v="969"/>
    <n v="6.5"/>
    <d v="2019-02-04T00:00:00"/>
    <n v="2"/>
    <n v="20"/>
    <x v="22"/>
  </r>
  <r>
    <s v="728-47-9078"/>
    <x v="1"/>
    <s v="Naypyitaw"/>
    <x v="0"/>
    <x v="1"/>
    <x v="4"/>
    <n v="59.59"/>
    <n v="4"/>
    <n v="11.917999999999999"/>
    <n v="250.27799999999999"/>
    <s v="1/19/2019"/>
    <d v="1899-12-30T12:46:00"/>
    <x v="1"/>
    <n v="238.36"/>
    <n v="4.7619047620000003"/>
    <x v="970"/>
    <n v="9.8000000000000007"/>
    <d v="2019-01-19T00:00:00"/>
    <n v="1"/>
    <n v="12"/>
    <x v="24"/>
  </r>
  <r>
    <s v="809-46-1866"/>
    <x v="0"/>
    <s v="Yangon"/>
    <x v="1"/>
    <x v="1"/>
    <x v="0"/>
    <n v="58.15"/>
    <n v="4"/>
    <n v="11.63"/>
    <n v="244.23"/>
    <s v="1/23/2019"/>
    <d v="1899-12-30T17:44:00"/>
    <x v="1"/>
    <n v="232.6"/>
    <n v="4.7619047620000003"/>
    <x v="971"/>
    <n v="8.4"/>
    <d v="2019-01-23T00:00:00"/>
    <n v="1"/>
    <n v="17"/>
    <x v="21"/>
  </r>
  <r>
    <s v="139-32-4183"/>
    <x v="0"/>
    <s v="Yangon"/>
    <x v="0"/>
    <x v="0"/>
    <x v="3"/>
    <n v="97.48"/>
    <n v="9"/>
    <n v="43.866"/>
    <n v="921.18600000000004"/>
    <s v="3/14/2019"/>
    <d v="1899-12-30T14:19:00"/>
    <x v="0"/>
    <n v="877.32"/>
    <n v="4.7619047620000003"/>
    <x v="972"/>
    <n v="7.4"/>
    <d v="2019-03-14T00:00:00"/>
    <n v="3"/>
    <n v="14"/>
    <x v="25"/>
  </r>
  <r>
    <s v="148-41-7930"/>
    <x v="1"/>
    <s v="Naypyitaw"/>
    <x v="1"/>
    <x v="1"/>
    <x v="0"/>
    <n v="99.96"/>
    <n v="7"/>
    <n v="34.985999999999997"/>
    <n v="734.70600000000002"/>
    <s v="1/23/2019"/>
    <d v="1899-12-30T10:33:00"/>
    <x v="1"/>
    <n v="699.72"/>
    <n v="4.7619047620000003"/>
    <x v="973"/>
    <n v="6.1"/>
    <d v="2019-01-23T00:00:00"/>
    <n v="1"/>
    <n v="10"/>
    <x v="21"/>
  </r>
  <r>
    <s v="189-40-5216"/>
    <x v="1"/>
    <s v="Naypyitaw"/>
    <x v="1"/>
    <x v="1"/>
    <x v="1"/>
    <n v="96.37"/>
    <n v="7"/>
    <n v="33.729500000000002"/>
    <n v="708.31949999999995"/>
    <d v="2019-09-01T00:00:00"/>
    <d v="1899-12-30T11:40:00"/>
    <x v="1"/>
    <n v="674.59"/>
    <n v="4.7619047620000003"/>
    <x v="974"/>
    <n v="6"/>
    <d v="2019-01-09T00:00:00"/>
    <n v="1"/>
    <n v="11"/>
    <x v="9"/>
  </r>
  <r>
    <s v="374-38-5555"/>
    <x v="2"/>
    <s v="Mandalay"/>
    <x v="1"/>
    <x v="0"/>
    <x v="5"/>
    <n v="63.71"/>
    <n v="5"/>
    <n v="15.9275"/>
    <n v="334.47750000000002"/>
    <d v="2019-07-02T00:00:00"/>
    <d v="1899-12-30T19:30:00"/>
    <x v="0"/>
    <n v="318.55"/>
    <n v="4.7619047620000003"/>
    <x v="975"/>
    <n v="8.5"/>
    <d v="2019-02-07T00:00:00"/>
    <n v="2"/>
    <n v="19"/>
    <x v="11"/>
  </r>
  <r>
    <s v="764-44-8999"/>
    <x v="2"/>
    <s v="Mandalay"/>
    <x v="1"/>
    <x v="0"/>
    <x v="0"/>
    <n v="14.76"/>
    <n v="2"/>
    <n v="1.476"/>
    <n v="30.995999999999999"/>
    <s v="2/18/2019"/>
    <d v="1899-12-30T14:42:00"/>
    <x v="0"/>
    <n v="29.52"/>
    <n v="4.7619047620000003"/>
    <x v="976"/>
    <n v="4.3"/>
    <d v="2019-02-18T00:00:00"/>
    <n v="2"/>
    <n v="14"/>
    <x v="28"/>
  </r>
  <r>
    <s v="552-44-5977"/>
    <x v="2"/>
    <s v="Mandalay"/>
    <x v="0"/>
    <x v="1"/>
    <x v="0"/>
    <n v="62"/>
    <n v="8"/>
    <n v="24.8"/>
    <n v="520.79999999999995"/>
    <d v="2019-03-01T00:00:00"/>
    <d v="1899-12-30T19:08:00"/>
    <x v="2"/>
    <n v="496"/>
    <n v="4.7619047620000003"/>
    <x v="977"/>
    <n v="6.2"/>
    <d v="2019-01-03T00:00:00"/>
    <n v="1"/>
    <n v="19"/>
    <x v="2"/>
  </r>
  <r>
    <s v="267-62-7380"/>
    <x v="1"/>
    <s v="Naypyitaw"/>
    <x v="0"/>
    <x v="1"/>
    <x v="1"/>
    <n v="82.34"/>
    <n v="10"/>
    <n v="41.17"/>
    <n v="864.57"/>
    <s v="3/29/2019"/>
    <d v="1899-12-30T19:12:00"/>
    <x v="0"/>
    <n v="823.4"/>
    <n v="4.7619047620000003"/>
    <x v="978"/>
    <n v="4.3"/>
    <d v="2019-03-29T00:00:00"/>
    <n v="3"/>
    <n v="19"/>
    <x v="12"/>
  </r>
  <r>
    <s v="430-53-4718"/>
    <x v="2"/>
    <s v="Mandalay"/>
    <x v="0"/>
    <x v="1"/>
    <x v="0"/>
    <n v="75.37"/>
    <n v="8"/>
    <n v="30.148"/>
    <n v="633.10799999999995"/>
    <s v="1/28/2019"/>
    <d v="1899-12-30T15:46:00"/>
    <x v="2"/>
    <n v="602.96"/>
    <n v="4.7619047620000003"/>
    <x v="979"/>
    <n v="8.4"/>
    <d v="2019-01-28T00:00:00"/>
    <n v="1"/>
    <n v="15"/>
    <x v="19"/>
  </r>
  <r>
    <s v="886-18-2897"/>
    <x v="0"/>
    <s v="Yangon"/>
    <x v="1"/>
    <x v="0"/>
    <x v="4"/>
    <n v="56.56"/>
    <n v="5"/>
    <n v="14.14"/>
    <n v="296.94"/>
    <s v="3/22/2019"/>
    <d v="1899-12-30T19:06:00"/>
    <x v="2"/>
    <n v="282.8"/>
    <n v="4.7619047620000003"/>
    <x v="980"/>
    <n v="4.5"/>
    <d v="2019-03-22T00:00:00"/>
    <n v="3"/>
    <n v="19"/>
    <x v="18"/>
  </r>
  <r>
    <s v="602-16-6955"/>
    <x v="2"/>
    <s v="Mandalay"/>
    <x v="1"/>
    <x v="0"/>
    <x v="3"/>
    <n v="76.599999999999994"/>
    <n v="10"/>
    <n v="38.299999999999997"/>
    <n v="804.3"/>
    <s v="1/24/2019"/>
    <d v="1899-12-30T18:10:00"/>
    <x v="0"/>
    <n v="766"/>
    <n v="4.7619047620000003"/>
    <x v="981"/>
    <n v="6"/>
    <d v="2019-01-24T00:00:00"/>
    <n v="1"/>
    <n v="18"/>
    <x v="5"/>
  </r>
  <r>
    <s v="745-74-0715"/>
    <x v="0"/>
    <s v="Yangon"/>
    <x v="1"/>
    <x v="1"/>
    <x v="1"/>
    <n v="58.03"/>
    <n v="2"/>
    <n v="5.8029999999999999"/>
    <n v="121.863"/>
    <d v="2019-10-03T00:00:00"/>
    <d v="1899-12-30T20:46:00"/>
    <x v="0"/>
    <n v="116.06"/>
    <n v="4.7619047620000003"/>
    <x v="982"/>
    <n v="8.8000000000000007"/>
    <d v="2019-03-10T00:00:00"/>
    <n v="3"/>
    <n v="20"/>
    <x v="6"/>
  </r>
  <r>
    <s v="690-01-6631"/>
    <x v="2"/>
    <s v="Mandalay"/>
    <x v="1"/>
    <x v="1"/>
    <x v="5"/>
    <n v="17.489999999999998"/>
    <n v="10"/>
    <n v="8.7449999999999992"/>
    <n v="183.64500000000001"/>
    <s v="2/22/2019"/>
    <d v="1899-12-30T18:35:00"/>
    <x v="0"/>
    <n v="174.9"/>
    <n v="4.7619047620000003"/>
    <x v="983"/>
    <n v="6.6"/>
    <d v="2019-02-22T00:00:00"/>
    <n v="2"/>
    <n v="18"/>
    <x v="18"/>
  </r>
  <r>
    <s v="652-49-6720"/>
    <x v="1"/>
    <s v="Naypyitaw"/>
    <x v="0"/>
    <x v="0"/>
    <x v="1"/>
    <n v="60.95"/>
    <n v="1"/>
    <n v="3.0474999999999999"/>
    <n v="63.997500000000002"/>
    <d v="2019-02-18T00:00:00"/>
    <d v="1899-12-30T11:40:00"/>
    <x v="0"/>
    <n v="60.95"/>
    <n v="4.7619047620000003"/>
    <x v="984"/>
    <n v="5.9"/>
    <d v="2019-02-18T00:00:00"/>
    <n v="2"/>
    <n v="11"/>
    <x v="28"/>
  </r>
  <r>
    <s v="233-67-5758"/>
    <x v="1"/>
    <s v="Naypyitaw"/>
    <x v="1"/>
    <x v="1"/>
    <x v="0"/>
    <n v="40.35"/>
    <n v="1"/>
    <n v="2.0175000000000001"/>
    <n v="42.3675"/>
    <d v="2019-01-29T00:00:00"/>
    <d v="1899-12-30T13:46:00"/>
    <x v="0"/>
    <n v="40.35"/>
    <n v="4.7619047620000003"/>
    <x v="985"/>
    <n v="6.2"/>
    <d v="2019-01-29T00:00:00"/>
    <n v="1"/>
    <n v="13"/>
    <x v="12"/>
  </r>
  <r>
    <s v="303-96-2227"/>
    <x v="2"/>
    <s v="Mandalay"/>
    <x v="1"/>
    <x v="0"/>
    <x v="2"/>
    <n v="97.38"/>
    <n v="10"/>
    <n v="48.69"/>
    <n v="1022.49"/>
    <d v="2019-02-03T00:00:00"/>
    <d v="1899-12-30T17:16:00"/>
    <x v="0"/>
    <n v="973.8"/>
    <n v="4.7619047620000003"/>
    <x v="986"/>
    <n v="4.4000000000000004"/>
    <d v="2019-03-02T00:00:00"/>
    <n v="3"/>
    <n v="17"/>
    <x v="8"/>
  </r>
  <r>
    <s v="727-02-1313"/>
    <x v="0"/>
    <s v="Yangon"/>
    <x v="0"/>
    <x v="1"/>
    <x v="4"/>
    <n v="31.84"/>
    <n v="1"/>
    <n v="1.5920000000000001"/>
    <n v="33.432000000000002"/>
    <d v="2019-09-02T00:00:00"/>
    <d v="1899-12-30T13:22:00"/>
    <x v="1"/>
    <n v="31.84"/>
    <n v="4.7619047620000003"/>
    <x v="987"/>
    <n v="7.7"/>
    <d v="2019-02-09T00:00:00"/>
    <n v="2"/>
    <n v="13"/>
    <x v="9"/>
  </r>
  <r>
    <s v="347-56-2442"/>
    <x v="0"/>
    <s v="Yangon"/>
    <x v="1"/>
    <x v="1"/>
    <x v="2"/>
    <n v="65.819999999999993"/>
    <n v="1"/>
    <n v="3.2909999999999999"/>
    <n v="69.111000000000004"/>
    <d v="2019-02-22T00:00:00"/>
    <d v="1899-12-30T15:33:00"/>
    <x v="1"/>
    <n v="65.819999999999993"/>
    <n v="4.7619047620000003"/>
    <x v="988"/>
    <n v="4.0999999999999996"/>
    <d v="2019-02-22T00:00:00"/>
    <n v="2"/>
    <n v="15"/>
    <x v="18"/>
  </r>
  <r>
    <s v="849-09-3807"/>
    <x v="0"/>
    <s v="Yangon"/>
    <x v="0"/>
    <x v="0"/>
    <x v="5"/>
    <n v="88.34"/>
    <n v="7"/>
    <n v="30.919"/>
    <n v="649.29899999999998"/>
    <d v="2019-02-18T00:00:00"/>
    <d v="1899-12-30T13:28:00"/>
    <x v="1"/>
    <n v="618.38"/>
    <n v="4.7619047620000003"/>
    <x v="989"/>
    <n v="6.6"/>
    <d v="2019-02-18T00:00:00"/>
    <n v="2"/>
    <n v="13"/>
    <x v="2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s v="Yangon"/>
    <s v="Member"/>
    <s v="Female"/>
    <x v="0"/>
    <n v="74.69"/>
    <n v="7"/>
    <n v="26.141500000000001"/>
    <n v="548.97149999999999"/>
    <d v="2019-05-01T00:00:00"/>
    <d v="1899-12-30T13:08:00"/>
    <s v="Ewallet"/>
    <n v="522.83000000000004"/>
    <n v="4.7619047620000003"/>
    <n v="26.141500000000001"/>
    <n v="9.1"/>
    <d v="2019-01-05T00:00:00"/>
    <x v="0"/>
    <x v="0"/>
    <x v="0"/>
    <x v="0"/>
  </r>
  <r>
    <s v="226-31-3081"/>
    <x v="1"/>
    <s v="Naypyitaw"/>
    <s v="Normal"/>
    <s v="Female"/>
    <x v="1"/>
    <n v="15.28"/>
    <n v="5"/>
    <n v="3.82"/>
    <n v="80.22"/>
    <d v="2019-08-03T00:00:00"/>
    <d v="1899-12-30T10:29:00"/>
    <s v="Cash"/>
    <n v="76.400000000000006"/>
    <n v="4.7619047620000003"/>
    <n v="3.82"/>
    <n v="9.6"/>
    <d v="2019-03-08T00:00:00"/>
    <x v="1"/>
    <x v="1"/>
    <x v="1"/>
    <x v="1"/>
  </r>
  <r>
    <s v="631-41-3108"/>
    <x v="0"/>
    <s v="Yangon"/>
    <s v="Normal"/>
    <s v="Male"/>
    <x v="2"/>
    <n v="46.33"/>
    <n v="7"/>
    <n v="16.215499999999999"/>
    <n v="340.52550000000002"/>
    <d v="2019-03-03T00:00:00"/>
    <d v="1899-12-30T13:23:00"/>
    <s v="Credit card"/>
    <n v="324.31"/>
    <n v="4.7619047620000003"/>
    <n v="16.215499999999999"/>
    <n v="7.4"/>
    <d v="2019-03-03T00:00:00"/>
    <x v="1"/>
    <x v="0"/>
    <x v="2"/>
    <x v="2"/>
  </r>
  <r>
    <s v="123-19-1176"/>
    <x v="0"/>
    <s v="Yangon"/>
    <s v="Member"/>
    <s v="Male"/>
    <x v="0"/>
    <n v="58.22"/>
    <n v="8"/>
    <n v="23.288"/>
    <n v="489.048"/>
    <d v="2019-01-27T00:00:00"/>
    <d v="1899-12-30T20:33:00"/>
    <s v="Ewallet"/>
    <n v="465.76"/>
    <n v="4.7619047620000003"/>
    <n v="23.288"/>
    <n v="8.4"/>
    <d v="2019-01-27T00:00:00"/>
    <x v="0"/>
    <x v="2"/>
    <x v="3"/>
    <x v="2"/>
  </r>
  <r>
    <s v="373-73-7910"/>
    <x v="0"/>
    <s v="Yangon"/>
    <s v="Normal"/>
    <s v="Male"/>
    <x v="3"/>
    <n v="86.31"/>
    <n v="7"/>
    <n v="30.208500000000001"/>
    <n v="634.37850000000003"/>
    <d v="2019-08-02T00:00:00"/>
    <d v="1899-12-30T10:37:00"/>
    <s v="Ewallet"/>
    <n v="604.16999999999996"/>
    <n v="4.7619047620000003"/>
    <n v="30.208500000000001"/>
    <n v="5.3"/>
    <d v="2019-02-08T00:00:00"/>
    <x v="2"/>
    <x v="1"/>
    <x v="1"/>
    <x v="1"/>
  </r>
  <r>
    <s v="699-14-3026"/>
    <x v="1"/>
    <s v="Naypyitaw"/>
    <s v="Normal"/>
    <s v="Male"/>
    <x v="1"/>
    <n v="85.39"/>
    <n v="7"/>
    <n v="29.886500000000002"/>
    <n v="627.61649999999997"/>
    <d v="2019-03-25T00:00:00"/>
    <d v="1899-12-30T18:30:00"/>
    <s v="Ewallet"/>
    <n v="597.73"/>
    <n v="4.7619047620000003"/>
    <n v="29.886500000000002"/>
    <n v="4.0999999999999996"/>
    <d v="2019-03-25T00:00:00"/>
    <x v="1"/>
    <x v="3"/>
    <x v="4"/>
    <x v="3"/>
  </r>
  <r>
    <s v="355-53-5943"/>
    <x v="0"/>
    <s v="Yangon"/>
    <s v="Member"/>
    <s v="Female"/>
    <x v="1"/>
    <n v="68.84"/>
    <n v="6"/>
    <n v="20.652000000000001"/>
    <n v="433.69200000000001"/>
    <d v="2019-02-25T00:00:00"/>
    <d v="1899-12-30T14:36:00"/>
    <s v="Ewallet"/>
    <n v="413.04"/>
    <n v="4.7619047620000003"/>
    <n v="20.652000000000001"/>
    <n v="5.8"/>
    <d v="2019-02-25T00:00:00"/>
    <x v="2"/>
    <x v="4"/>
    <x v="4"/>
    <x v="3"/>
  </r>
  <r>
    <s v="315-22-5665"/>
    <x v="1"/>
    <s v="Naypyitaw"/>
    <s v="Normal"/>
    <s v="Female"/>
    <x v="2"/>
    <n v="73.56"/>
    <n v="10"/>
    <n v="36.78"/>
    <n v="772.38"/>
    <d v="2019-02-24T00:00:00"/>
    <d v="1899-12-30T11:38:00"/>
    <s v="Ewallet"/>
    <n v="735.6"/>
    <n v="4.7619047620000003"/>
    <n v="36.78"/>
    <n v="8"/>
    <d v="2019-02-24T00:00:00"/>
    <x v="2"/>
    <x v="5"/>
    <x v="5"/>
    <x v="2"/>
  </r>
  <r>
    <s v="665-32-9167"/>
    <x v="0"/>
    <s v="Yangon"/>
    <s v="Member"/>
    <s v="Female"/>
    <x v="0"/>
    <n v="36.26"/>
    <n v="2"/>
    <n v="3.6259999999999999"/>
    <n v="76.146000000000001"/>
    <d v="2019-10-01T00:00:00"/>
    <d v="1899-12-30T17:15:00"/>
    <s v="Credit card"/>
    <n v="72.52"/>
    <n v="4.7619047620000003"/>
    <n v="3.6259999999999999"/>
    <n v="7.2"/>
    <d v="2019-01-10T00:00:00"/>
    <x v="0"/>
    <x v="6"/>
    <x v="6"/>
    <x v="4"/>
  </r>
  <r>
    <s v="692-92-5582"/>
    <x v="2"/>
    <s v="Mandalay"/>
    <s v="Member"/>
    <s v="Female"/>
    <x v="4"/>
    <n v="54.84"/>
    <n v="3"/>
    <n v="8.2260000000000009"/>
    <n v="172.74600000000001"/>
    <d v="2019-01-20T00:00:00"/>
    <d v="1899-12-30T13:27:00"/>
    <s v="Credit card"/>
    <n v="164.52"/>
    <n v="4.7619047620000003"/>
    <n v="8.2260000000000009"/>
    <n v="5.9"/>
    <d v="2019-01-20T00:00:00"/>
    <x v="0"/>
    <x v="0"/>
    <x v="7"/>
    <x v="2"/>
  </r>
  <r>
    <s v="351-62-0822"/>
    <x v="2"/>
    <s v="Mandalay"/>
    <s v="Member"/>
    <s v="Female"/>
    <x v="5"/>
    <n v="14.48"/>
    <n v="4"/>
    <n v="2.8959999999999999"/>
    <n v="60.816000000000003"/>
    <d v="2019-02-06T00:00:00"/>
    <d v="1899-12-30T18:07:00"/>
    <s v="Ewallet"/>
    <n v="57.92"/>
    <n v="4.7619047620000003"/>
    <n v="2.8959999999999999"/>
    <n v="4.5"/>
    <d v="2019-06-02T00:00:00"/>
    <x v="3"/>
    <x v="3"/>
    <x v="8"/>
    <x v="2"/>
  </r>
  <r>
    <s v="529-56-3974"/>
    <x v="2"/>
    <s v="Mandalay"/>
    <s v="Member"/>
    <s v="Male"/>
    <x v="1"/>
    <n v="25.51"/>
    <n v="4"/>
    <n v="5.1020000000000003"/>
    <n v="107.142"/>
    <d v="2019-09-03T00:00:00"/>
    <d v="1899-12-30T17:03:00"/>
    <s v="Cash"/>
    <n v="102.04"/>
    <n v="4.7619047620000003"/>
    <n v="5.1020000000000003"/>
    <n v="6.8"/>
    <d v="2019-03-09T00:00:00"/>
    <x v="1"/>
    <x v="6"/>
    <x v="9"/>
    <x v="0"/>
  </r>
  <r>
    <s v="365-64-0515"/>
    <x v="0"/>
    <s v="Yangon"/>
    <s v="Normal"/>
    <s v="Female"/>
    <x v="1"/>
    <n v="46.95"/>
    <n v="5"/>
    <n v="11.737500000000001"/>
    <n v="246.48750000000001"/>
    <d v="2019-12-02T00:00:00"/>
    <d v="1899-12-30T10:25:00"/>
    <s v="Ewallet"/>
    <n v="234.75"/>
    <n v="4.7619047620000003"/>
    <n v="11.737500000000001"/>
    <n v="7.1"/>
    <d v="2019-02-12T00:00:00"/>
    <x v="2"/>
    <x v="1"/>
    <x v="10"/>
    <x v="5"/>
  </r>
  <r>
    <s v="252-56-2699"/>
    <x v="0"/>
    <s v="Yangon"/>
    <s v="Normal"/>
    <s v="Male"/>
    <x v="4"/>
    <n v="43.19"/>
    <n v="10"/>
    <n v="21.594999999999999"/>
    <n v="453.495"/>
    <d v="2019-07-02T00:00:00"/>
    <d v="1899-12-30T16:48:00"/>
    <s v="Ewallet"/>
    <n v="431.9"/>
    <n v="4.7619047620000003"/>
    <n v="21.594999999999999"/>
    <n v="8.1999999999999993"/>
    <d v="2019-02-07T00:00:00"/>
    <x v="2"/>
    <x v="7"/>
    <x v="11"/>
    <x v="4"/>
  </r>
  <r>
    <s v="829-34-3910"/>
    <x v="0"/>
    <s v="Yangon"/>
    <s v="Normal"/>
    <s v="Female"/>
    <x v="0"/>
    <n v="71.38"/>
    <n v="10"/>
    <n v="35.69"/>
    <n v="749.49"/>
    <s v="3/29/2019"/>
    <d v="1899-12-30T19:21:00"/>
    <s v="Cash"/>
    <n v="713.8"/>
    <n v="4.7619047620000003"/>
    <n v="35.69"/>
    <n v="5.7"/>
    <d v="2019-03-29T00:00:00"/>
    <x v="1"/>
    <x v="8"/>
    <x v="12"/>
    <x v="1"/>
  </r>
  <r>
    <s v="299-46-1805"/>
    <x v="2"/>
    <s v="Mandalay"/>
    <s v="Member"/>
    <s v="Female"/>
    <x v="3"/>
    <n v="93.72"/>
    <n v="6"/>
    <n v="28.116"/>
    <n v="590.43600000000004"/>
    <s v="1/15/2019"/>
    <d v="1899-12-30T16:19:00"/>
    <s v="Cash"/>
    <n v="562.32000000000005"/>
    <n v="4.7619047620000003"/>
    <n v="28.116"/>
    <n v="4.5"/>
    <d v="2019-01-15T00:00:00"/>
    <x v="0"/>
    <x v="7"/>
    <x v="13"/>
    <x v="5"/>
  </r>
  <r>
    <s v="656-95-9349"/>
    <x v="0"/>
    <s v="Yangon"/>
    <s v="Member"/>
    <s v="Female"/>
    <x v="0"/>
    <n v="68.930000000000007"/>
    <n v="7"/>
    <n v="24.125499999999999"/>
    <n v="506.63549999999998"/>
    <d v="2019-11-03T00:00:00"/>
    <d v="1899-12-30T11:03:00"/>
    <s v="Credit card"/>
    <n v="482.51"/>
    <n v="4.7619047620000003"/>
    <n v="24.125499999999999"/>
    <n v="4.5999999999999996"/>
    <d v="2019-03-11T00:00:00"/>
    <x v="1"/>
    <x v="5"/>
    <x v="14"/>
    <x v="3"/>
  </r>
  <r>
    <s v="765-26-6951"/>
    <x v="0"/>
    <s v="Yangon"/>
    <s v="Normal"/>
    <s v="Male"/>
    <x v="3"/>
    <n v="72.61"/>
    <n v="6"/>
    <n v="21.783000000000001"/>
    <n v="457.44299999999998"/>
    <d v="2019-01-01T00:00:00"/>
    <d v="1899-12-30T10:39:00"/>
    <s v="Credit card"/>
    <n v="435.66"/>
    <n v="4.7619047620000003"/>
    <n v="21.783000000000001"/>
    <n v="6.9"/>
    <d v="2019-01-01T00:00:00"/>
    <x v="0"/>
    <x v="1"/>
    <x v="15"/>
    <x v="5"/>
  </r>
  <r>
    <s v="329-62-1586"/>
    <x v="0"/>
    <s v="Yangon"/>
    <s v="Normal"/>
    <s v="Male"/>
    <x v="4"/>
    <n v="54.67"/>
    <n v="3"/>
    <n v="8.2004999999999999"/>
    <n v="172.2105"/>
    <s v="1/21/2019"/>
    <d v="1899-12-30T18:00:00"/>
    <s v="Credit card"/>
    <n v="164.01"/>
    <n v="4.7619047620000003"/>
    <n v="8.2004999999999999"/>
    <n v="8.6"/>
    <d v="2019-01-21T00:00:00"/>
    <x v="0"/>
    <x v="3"/>
    <x v="16"/>
    <x v="3"/>
  </r>
  <r>
    <s v="319-50-3348"/>
    <x v="2"/>
    <s v="Mandalay"/>
    <s v="Normal"/>
    <s v="Female"/>
    <x v="2"/>
    <n v="40.299999999999997"/>
    <n v="2"/>
    <n v="4.03"/>
    <n v="84.63"/>
    <d v="2019-11-03T00:00:00"/>
    <d v="1899-12-30T15:30:00"/>
    <s v="Ewallet"/>
    <n v="80.599999999999994"/>
    <n v="4.7619047620000003"/>
    <n v="4.03"/>
    <n v="4.4000000000000004"/>
    <d v="2019-03-11T00:00:00"/>
    <x v="1"/>
    <x v="9"/>
    <x v="14"/>
    <x v="3"/>
  </r>
  <r>
    <s v="300-71-4605"/>
    <x v="1"/>
    <s v="Naypyitaw"/>
    <s v="Member"/>
    <s v="Male"/>
    <x v="1"/>
    <n v="86.04"/>
    <n v="5"/>
    <n v="21.51"/>
    <n v="451.71"/>
    <s v="2/25/2019"/>
    <d v="1899-12-30T11:24:00"/>
    <s v="Ewallet"/>
    <n v="430.2"/>
    <n v="4.7619047620000003"/>
    <n v="21.51"/>
    <n v="4.8"/>
    <d v="2019-02-25T00:00:00"/>
    <x v="2"/>
    <x v="5"/>
    <x v="4"/>
    <x v="3"/>
  </r>
  <r>
    <s v="371-85-5789"/>
    <x v="2"/>
    <s v="Mandalay"/>
    <s v="Normal"/>
    <s v="Male"/>
    <x v="0"/>
    <n v="87.98"/>
    <n v="3"/>
    <n v="13.196999999999999"/>
    <n v="277.137"/>
    <d v="2019-05-03T00:00:00"/>
    <d v="1899-12-30T10:40:00"/>
    <s v="Ewallet"/>
    <n v="263.94"/>
    <n v="4.7619047620000003"/>
    <n v="13.196999999999999"/>
    <n v="5.0999999999999996"/>
    <d v="2019-03-05T00:00:00"/>
    <x v="1"/>
    <x v="1"/>
    <x v="0"/>
    <x v="5"/>
  </r>
  <r>
    <s v="273-16-6619"/>
    <x v="2"/>
    <s v="Mandalay"/>
    <s v="Normal"/>
    <s v="Male"/>
    <x v="2"/>
    <n v="33.200000000000003"/>
    <n v="2"/>
    <n v="3.32"/>
    <n v="69.72"/>
    <s v="3/15/2019"/>
    <d v="1899-12-30T12:20:00"/>
    <s v="Credit card"/>
    <n v="66.400000000000006"/>
    <n v="4.7619047620000003"/>
    <n v="3.32"/>
    <n v="4.4000000000000004"/>
    <d v="2019-03-15T00:00:00"/>
    <x v="1"/>
    <x v="10"/>
    <x v="13"/>
    <x v="1"/>
  </r>
  <r>
    <s v="636-48-8204"/>
    <x v="0"/>
    <s v="Yangon"/>
    <s v="Normal"/>
    <s v="Male"/>
    <x v="1"/>
    <n v="34.56"/>
    <n v="5"/>
    <n v="8.64"/>
    <n v="181.44"/>
    <s v="2/17/2019"/>
    <d v="1899-12-30T11:15:00"/>
    <s v="Ewallet"/>
    <n v="172.8"/>
    <n v="4.7619047620000003"/>
    <n v="8.64"/>
    <n v="9.9"/>
    <d v="2019-02-17T00:00:00"/>
    <x v="2"/>
    <x v="5"/>
    <x v="17"/>
    <x v="2"/>
  </r>
  <r>
    <s v="549-59-1358"/>
    <x v="0"/>
    <s v="Yangon"/>
    <s v="Member"/>
    <s v="Male"/>
    <x v="3"/>
    <n v="88.63"/>
    <n v="3"/>
    <n v="13.294499999999999"/>
    <n v="279.18450000000001"/>
    <d v="2019-02-03T00:00:00"/>
    <d v="1899-12-30T17:36:00"/>
    <s v="Ewallet"/>
    <n v="265.89"/>
    <n v="4.7619047620000003"/>
    <n v="13.294499999999999"/>
    <n v="6"/>
    <d v="2019-03-02T00:00:00"/>
    <x v="1"/>
    <x v="6"/>
    <x v="8"/>
    <x v="0"/>
  </r>
  <r>
    <s v="227-03-5010"/>
    <x v="0"/>
    <s v="Yangon"/>
    <s v="Member"/>
    <s v="Female"/>
    <x v="2"/>
    <n v="52.59"/>
    <n v="8"/>
    <n v="21.036000000000001"/>
    <n v="441.75599999999997"/>
    <s v="3/22/2019"/>
    <d v="1899-12-30T19:20:00"/>
    <s v="Credit card"/>
    <n v="420.72"/>
    <n v="4.7619047620000003"/>
    <n v="21.036000000000001"/>
    <n v="8.5"/>
    <d v="2019-03-22T00:00:00"/>
    <x v="1"/>
    <x v="8"/>
    <x v="18"/>
    <x v="1"/>
  </r>
  <r>
    <s v="649-29-6775"/>
    <x v="2"/>
    <s v="Mandalay"/>
    <s v="Normal"/>
    <s v="Male"/>
    <x v="5"/>
    <n v="33.520000000000003"/>
    <n v="1"/>
    <n v="1.6759999999999999"/>
    <n v="35.195999999999998"/>
    <d v="2019-08-02T00:00:00"/>
    <d v="1899-12-30T15:31:00"/>
    <s v="Cash"/>
    <n v="33.520000000000003"/>
    <n v="4.7619047620000003"/>
    <n v="1.6759999999999999"/>
    <n v="6.7"/>
    <d v="2019-02-08T00:00:00"/>
    <x v="2"/>
    <x v="9"/>
    <x v="1"/>
    <x v="1"/>
  </r>
  <r>
    <s v="189-17-4241"/>
    <x v="0"/>
    <s v="Yangon"/>
    <s v="Normal"/>
    <s v="Female"/>
    <x v="5"/>
    <n v="87.67"/>
    <n v="2"/>
    <n v="8.7669999999999995"/>
    <n v="184.107"/>
    <d v="2019-10-03T00:00:00"/>
    <d v="1899-12-30T12:17:00"/>
    <s v="Credit card"/>
    <n v="175.34"/>
    <n v="4.7619047620000003"/>
    <n v="8.7669999999999995"/>
    <n v="7.7"/>
    <d v="2019-03-10T00:00:00"/>
    <x v="1"/>
    <x v="10"/>
    <x v="6"/>
    <x v="2"/>
  </r>
  <r>
    <s v="145-94-9061"/>
    <x v="2"/>
    <s v="Mandalay"/>
    <s v="Normal"/>
    <s v="Female"/>
    <x v="4"/>
    <n v="88.36"/>
    <n v="5"/>
    <n v="22.09"/>
    <n v="463.89"/>
    <s v="1/25/2019"/>
    <d v="1899-12-30T19:48:00"/>
    <s v="Cash"/>
    <n v="441.8"/>
    <n v="4.7619047620000003"/>
    <n v="22.09"/>
    <n v="9.6"/>
    <d v="2019-01-25T00:00:00"/>
    <x v="0"/>
    <x v="8"/>
    <x v="4"/>
    <x v="1"/>
  </r>
  <r>
    <s v="848-62-7243"/>
    <x v="0"/>
    <s v="Yangon"/>
    <s v="Normal"/>
    <s v="Male"/>
    <x v="0"/>
    <n v="24.89"/>
    <n v="9"/>
    <n v="11.2005"/>
    <n v="235.2105"/>
    <s v="3/15/2019"/>
    <d v="1899-12-30T15:36:00"/>
    <s v="Cash"/>
    <n v="224.01"/>
    <n v="4.7619047620000003"/>
    <n v="11.2005"/>
    <n v="7.4"/>
    <d v="2019-03-15T00:00:00"/>
    <x v="1"/>
    <x v="9"/>
    <x v="13"/>
    <x v="1"/>
  </r>
  <r>
    <s v="871-79-8483"/>
    <x v="2"/>
    <s v="Mandalay"/>
    <s v="Normal"/>
    <s v="Male"/>
    <x v="5"/>
    <n v="94.13"/>
    <n v="5"/>
    <n v="23.532499999999999"/>
    <n v="494.1825"/>
    <s v="2/25/2019"/>
    <d v="1899-12-30T19:39:00"/>
    <s v="Credit card"/>
    <n v="470.65"/>
    <n v="4.7619047620000003"/>
    <n v="23.532499999999999"/>
    <n v="4.8"/>
    <d v="2019-02-25T00:00:00"/>
    <x v="2"/>
    <x v="8"/>
    <x v="4"/>
    <x v="3"/>
  </r>
  <r>
    <s v="149-71-6266"/>
    <x v="2"/>
    <s v="Mandalay"/>
    <s v="Member"/>
    <s v="Male"/>
    <x v="3"/>
    <n v="78.069999999999993"/>
    <n v="9"/>
    <n v="35.131500000000003"/>
    <n v="737.76149999999996"/>
    <s v="1/28/2019"/>
    <d v="1899-12-30T12:43:00"/>
    <s v="Cash"/>
    <n v="702.63"/>
    <n v="4.7619047620000003"/>
    <n v="35.131500000000003"/>
    <n v="4.5"/>
    <d v="2019-01-28T00:00:00"/>
    <x v="0"/>
    <x v="10"/>
    <x v="19"/>
    <x v="3"/>
  </r>
  <r>
    <s v="640-49-2076"/>
    <x v="2"/>
    <s v="Mandalay"/>
    <s v="Normal"/>
    <s v="Male"/>
    <x v="3"/>
    <n v="83.78"/>
    <n v="8"/>
    <n v="33.512"/>
    <n v="703.75199999999995"/>
    <d v="2019-10-01T00:00:00"/>
    <d v="1899-12-30T14:49:00"/>
    <s v="Cash"/>
    <n v="670.24"/>
    <n v="4.7619047620000003"/>
    <n v="33.512"/>
    <n v="5.0999999999999996"/>
    <d v="2019-01-10T00:00:00"/>
    <x v="0"/>
    <x v="4"/>
    <x v="6"/>
    <x v="4"/>
  </r>
  <r>
    <s v="595-11-5460"/>
    <x v="0"/>
    <s v="Yangon"/>
    <s v="Normal"/>
    <s v="Male"/>
    <x v="0"/>
    <n v="96.58"/>
    <n v="2"/>
    <n v="9.6579999999999995"/>
    <n v="202.81800000000001"/>
    <s v="3/15/2019"/>
    <d v="1899-12-30T10:12:00"/>
    <s v="Credit card"/>
    <n v="193.16"/>
    <n v="4.7619047620000003"/>
    <n v="9.6579999999999995"/>
    <n v="5.0999999999999996"/>
    <d v="2019-03-15T00:00:00"/>
    <x v="1"/>
    <x v="1"/>
    <x v="13"/>
    <x v="1"/>
  </r>
  <r>
    <s v="183-56-6882"/>
    <x v="1"/>
    <s v="Naypyitaw"/>
    <s v="Member"/>
    <s v="Female"/>
    <x v="4"/>
    <n v="99.42"/>
    <n v="4"/>
    <n v="19.884"/>
    <n v="417.56400000000002"/>
    <d v="2019-06-02T00:00:00"/>
    <d v="1899-12-30T10:42:00"/>
    <s v="Ewallet"/>
    <n v="397.68"/>
    <n v="4.7619047620000003"/>
    <n v="19.884"/>
    <n v="7.5"/>
    <d v="2019-02-06T00:00:00"/>
    <x v="2"/>
    <x v="1"/>
    <x v="20"/>
    <x v="6"/>
  </r>
  <r>
    <s v="232-16-2483"/>
    <x v="1"/>
    <s v="Naypyitaw"/>
    <s v="Member"/>
    <s v="Female"/>
    <x v="3"/>
    <n v="68.12"/>
    <n v="1"/>
    <n v="3.4060000000000001"/>
    <n v="71.525999999999996"/>
    <d v="2019-07-01T00:00:00"/>
    <d v="1899-12-30T12:28:00"/>
    <s v="Ewallet"/>
    <n v="68.12"/>
    <n v="4.7619047620000003"/>
    <n v="3.4060000000000001"/>
    <n v="6.8"/>
    <d v="2019-01-07T00:00:00"/>
    <x v="0"/>
    <x v="10"/>
    <x v="11"/>
    <x v="3"/>
  </r>
  <r>
    <s v="129-29-8530"/>
    <x v="0"/>
    <s v="Yangon"/>
    <s v="Member"/>
    <s v="Male"/>
    <x v="3"/>
    <n v="62.62"/>
    <n v="5"/>
    <n v="15.654999999999999"/>
    <n v="328.755"/>
    <d v="2019-10-03T00:00:00"/>
    <d v="1899-12-30T19:15:00"/>
    <s v="Ewallet"/>
    <n v="313.10000000000002"/>
    <n v="4.7619047620000003"/>
    <n v="15.654999999999999"/>
    <n v="7"/>
    <d v="2019-03-10T00:00:00"/>
    <x v="1"/>
    <x v="8"/>
    <x v="6"/>
    <x v="2"/>
  </r>
  <r>
    <s v="272-65-1806"/>
    <x v="0"/>
    <s v="Yangon"/>
    <s v="Normal"/>
    <s v="Female"/>
    <x v="1"/>
    <n v="60.88"/>
    <n v="9"/>
    <n v="27.396000000000001"/>
    <n v="575.31600000000003"/>
    <s v="1/15/2019"/>
    <d v="1899-12-30T17:17:00"/>
    <s v="Ewallet"/>
    <n v="547.91999999999996"/>
    <n v="4.7619047620000003"/>
    <n v="27.396000000000001"/>
    <n v="4.7"/>
    <d v="2019-01-15T00:00:00"/>
    <x v="0"/>
    <x v="6"/>
    <x v="13"/>
    <x v="5"/>
  </r>
  <r>
    <s v="333-73-7901"/>
    <x v="1"/>
    <s v="Naypyitaw"/>
    <s v="Normal"/>
    <s v="Female"/>
    <x v="0"/>
    <n v="54.92"/>
    <n v="8"/>
    <n v="21.968"/>
    <n v="461.32799999999997"/>
    <s v="3/23/2019"/>
    <d v="1899-12-30T13:24:00"/>
    <s v="Ewallet"/>
    <n v="439.36"/>
    <n v="4.7619047620000003"/>
    <n v="21.968"/>
    <n v="7.6"/>
    <d v="2019-03-23T00:00:00"/>
    <x v="1"/>
    <x v="0"/>
    <x v="21"/>
    <x v="0"/>
  </r>
  <r>
    <s v="777-82-7220"/>
    <x v="2"/>
    <s v="Mandalay"/>
    <s v="Member"/>
    <s v="Male"/>
    <x v="2"/>
    <n v="30.12"/>
    <n v="8"/>
    <n v="12.048"/>
    <n v="253.00800000000001"/>
    <d v="2019-03-03T00:00:00"/>
    <d v="1899-12-30T13:01:00"/>
    <s v="Cash"/>
    <n v="240.96"/>
    <n v="4.7619047620000003"/>
    <n v="12.048"/>
    <n v="7.7"/>
    <d v="2019-03-03T00:00:00"/>
    <x v="1"/>
    <x v="0"/>
    <x v="2"/>
    <x v="2"/>
  </r>
  <r>
    <s v="280-35-5823"/>
    <x v="2"/>
    <s v="Mandalay"/>
    <s v="Member"/>
    <s v="Female"/>
    <x v="2"/>
    <n v="86.72"/>
    <n v="1"/>
    <n v="4.3360000000000003"/>
    <n v="91.055999999999997"/>
    <s v="1/17/2019"/>
    <d v="1899-12-30T18:45:00"/>
    <s v="Ewallet"/>
    <n v="86.72"/>
    <n v="4.7619047620000003"/>
    <n v="4.3360000000000003"/>
    <n v="7.9"/>
    <d v="2019-01-17T00:00:00"/>
    <x v="0"/>
    <x v="3"/>
    <x v="17"/>
    <x v="4"/>
  </r>
  <r>
    <s v="554-53-8700"/>
    <x v="1"/>
    <s v="Naypyitaw"/>
    <s v="Member"/>
    <s v="Male"/>
    <x v="2"/>
    <n v="56.11"/>
    <n v="2"/>
    <n v="5.6109999999999998"/>
    <n v="117.831"/>
    <d v="2019-02-02T00:00:00"/>
    <d v="1899-12-30T10:11:00"/>
    <s v="Cash"/>
    <n v="112.22"/>
    <n v="4.7619047620000003"/>
    <n v="5.6109999999999998"/>
    <n v="6.3"/>
    <d v="2019-02-02T00:00:00"/>
    <x v="2"/>
    <x v="1"/>
    <x v="8"/>
    <x v="0"/>
  </r>
  <r>
    <s v="354-25-5821"/>
    <x v="2"/>
    <s v="Mandalay"/>
    <s v="Member"/>
    <s v="Female"/>
    <x v="3"/>
    <n v="69.12"/>
    <n v="6"/>
    <n v="20.736000000000001"/>
    <n v="435.45600000000002"/>
    <d v="2019-08-02T00:00:00"/>
    <d v="1899-12-30T13:03:00"/>
    <s v="Cash"/>
    <n v="414.72"/>
    <n v="4.7619047620000003"/>
    <n v="20.736000000000001"/>
    <n v="5.6"/>
    <d v="2019-02-08T00:00:00"/>
    <x v="2"/>
    <x v="0"/>
    <x v="1"/>
    <x v="1"/>
  </r>
  <r>
    <s v="228-96-1411"/>
    <x v="1"/>
    <s v="Naypyitaw"/>
    <s v="Member"/>
    <s v="Female"/>
    <x v="4"/>
    <n v="98.7"/>
    <n v="8"/>
    <n v="39.479999999999997"/>
    <n v="829.08"/>
    <d v="2019-04-03T00:00:00"/>
    <d v="1899-12-30T20:39:00"/>
    <s v="Cash"/>
    <n v="789.6"/>
    <n v="4.7619047620000003"/>
    <n v="39.479999999999997"/>
    <n v="7.6"/>
    <d v="2019-03-04T00:00:00"/>
    <x v="1"/>
    <x v="2"/>
    <x v="22"/>
    <x v="3"/>
  </r>
  <r>
    <s v="617-15-4209"/>
    <x v="1"/>
    <s v="Naypyitaw"/>
    <s v="Member"/>
    <s v="Male"/>
    <x v="0"/>
    <n v="15.37"/>
    <n v="2"/>
    <n v="1.5369999999999999"/>
    <n v="32.277000000000001"/>
    <s v="3/16/2019"/>
    <d v="1899-12-30T19:47:00"/>
    <s v="Cash"/>
    <n v="30.74"/>
    <n v="4.7619047620000003"/>
    <n v="1.5369999999999999"/>
    <n v="7.2"/>
    <d v="2019-03-16T00:00:00"/>
    <x v="1"/>
    <x v="8"/>
    <x v="23"/>
    <x v="0"/>
  </r>
  <r>
    <s v="132-32-9879"/>
    <x v="2"/>
    <s v="Mandalay"/>
    <s v="Member"/>
    <s v="Female"/>
    <x v="1"/>
    <n v="93.96"/>
    <n v="4"/>
    <n v="18.792000000000002"/>
    <n v="394.63200000000001"/>
    <d v="2019-09-03T00:00:00"/>
    <d v="1899-12-30T18:00:00"/>
    <s v="Cash"/>
    <n v="375.84"/>
    <n v="4.7619047620000003"/>
    <n v="18.792000000000002"/>
    <n v="9.5"/>
    <d v="2019-03-09T00:00:00"/>
    <x v="1"/>
    <x v="3"/>
    <x v="9"/>
    <x v="0"/>
  </r>
  <r>
    <s v="370-41-7321"/>
    <x v="2"/>
    <s v="Mandalay"/>
    <s v="Member"/>
    <s v="Male"/>
    <x v="0"/>
    <n v="56.69"/>
    <n v="9"/>
    <n v="25.5105"/>
    <n v="535.72050000000002"/>
    <s v="2/27/2019"/>
    <d v="1899-12-30T17:24:00"/>
    <s v="Credit card"/>
    <n v="510.21"/>
    <n v="4.7619047620000003"/>
    <n v="25.5105"/>
    <n v="8.4"/>
    <d v="2019-02-27T00:00:00"/>
    <x v="2"/>
    <x v="6"/>
    <x v="3"/>
    <x v="6"/>
  </r>
  <r>
    <s v="727-46-3608"/>
    <x v="2"/>
    <s v="Mandalay"/>
    <s v="Member"/>
    <s v="Female"/>
    <x v="4"/>
    <n v="20.010000000000002"/>
    <n v="9"/>
    <n v="9.0045000000000002"/>
    <n v="189.09450000000001"/>
    <d v="2019-06-02T00:00:00"/>
    <d v="1899-12-30T15:47:00"/>
    <s v="Ewallet"/>
    <n v="180.09"/>
    <n v="4.7619047620000003"/>
    <n v="9.0045000000000002"/>
    <n v="4.0999999999999996"/>
    <d v="2019-02-06T00:00:00"/>
    <x v="2"/>
    <x v="9"/>
    <x v="20"/>
    <x v="6"/>
  </r>
  <r>
    <s v="669-54-1719"/>
    <x v="2"/>
    <s v="Mandalay"/>
    <s v="Member"/>
    <s v="Male"/>
    <x v="1"/>
    <n v="18.93"/>
    <n v="6"/>
    <n v="5.6790000000000003"/>
    <n v="119.259"/>
    <d v="2019-10-02T00:00:00"/>
    <d v="1899-12-30T12:45:00"/>
    <s v="Credit card"/>
    <n v="113.58"/>
    <n v="4.7619047620000003"/>
    <n v="5.6790000000000003"/>
    <n v="8.1"/>
    <d v="2019-02-10T00:00:00"/>
    <x v="2"/>
    <x v="10"/>
    <x v="6"/>
    <x v="2"/>
  </r>
  <r>
    <s v="574-22-5561"/>
    <x v="1"/>
    <s v="Naypyitaw"/>
    <s v="Member"/>
    <s v="Female"/>
    <x v="5"/>
    <n v="82.63"/>
    <n v="10"/>
    <n v="41.314999999999998"/>
    <n v="867.61500000000001"/>
    <s v="3/19/2019"/>
    <d v="1899-12-30T17:08:00"/>
    <s v="Ewallet"/>
    <n v="826.3"/>
    <n v="4.7619047620000003"/>
    <n v="41.314999999999998"/>
    <n v="7.9"/>
    <d v="2019-03-19T00:00:00"/>
    <x v="1"/>
    <x v="6"/>
    <x v="24"/>
    <x v="5"/>
  </r>
  <r>
    <s v="326-78-5178"/>
    <x v="1"/>
    <s v="Naypyitaw"/>
    <s v="Member"/>
    <s v="Male"/>
    <x v="4"/>
    <n v="91.4"/>
    <n v="7"/>
    <n v="31.99"/>
    <n v="671.79"/>
    <d v="2019-03-02T00:00:00"/>
    <d v="1899-12-30T10:19:00"/>
    <s v="Cash"/>
    <n v="639.79999999999995"/>
    <n v="4.7619047620000003"/>
    <n v="31.99"/>
    <n v="9.5"/>
    <d v="2019-02-03T00:00:00"/>
    <x v="2"/>
    <x v="1"/>
    <x v="2"/>
    <x v="2"/>
  </r>
  <r>
    <s v="162-48-8011"/>
    <x v="0"/>
    <s v="Yangon"/>
    <s v="Member"/>
    <s v="Female"/>
    <x v="4"/>
    <n v="44.59"/>
    <n v="5"/>
    <n v="11.147500000000001"/>
    <n v="234.0975"/>
    <d v="2019-10-02T00:00:00"/>
    <d v="1899-12-30T15:10:00"/>
    <s v="Cash"/>
    <n v="222.95"/>
    <n v="4.7619047620000003"/>
    <n v="11.147500000000001"/>
    <n v="8.5"/>
    <d v="2019-02-10T00:00:00"/>
    <x v="2"/>
    <x v="9"/>
    <x v="6"/>
    <x v="2"/>
  </r>
  <r>
    <s v="616-24-2851"/>
    <x v="2"/>
    <s v="Mandalay"/>
    <s v="Member"/>
    <s v="Female"/>
    <x v="5"/>
    <n v="17.87"/>
    <n v="4"/>
    <n v="3.5739999999999998"/>
    <n v="75.054000000000002"/>
    <s v="3/22/2019"/>
    <d v="1899-12-30T14:42:00"/>
    <s v="Ewallet"/>
    <n v="71.48"/>
    <n v="4.7619047620000003"/>
    <n v="3.5739999999999998"/>
    <n v="6.5"/>
    <d v="2019-03-22T00:00:00"/>
    <x v="1"/>
    <x v="4"/>
    <x v="18"/>
    <x v="1"/>
  </r>
  <r>
    <s v="778-71-5554"/>
    <x v="1"/>
    <s v="Naypyitaw"/>
    <s v="Member"/>
    <s v="Male"/>
    <x v="5"/>
    <n v="15.43"/>
    <n v="1"/>
    <n v="0.77149999999999996"/>
    <n v="16.201499999999999"/>
    <s v="1/25/2019"/>
    <d v="1899-12-30T15:46:00"/>
    <s v="Credit card"/>
    <n v="15.43"/>
    <n v="4.7619047620000003"/>
    <n v="0.77149999999999996"/>
    <n v="6.1"/>
    <d v="2019-01-25T00:00:00"/>
    <x v="0"/>
    <x v="9"/>
    <x v="4"/>
    <x v="1"/>
  </r>
  <r>
    <s v="242-55-6721"/>
    <x v="2"/>
    <s v="Mandalay"/>
    <s v="Normal"/>
    <s v="Male"/>
    <x v="2"/>
    <n v="16.16"/>
    <n v="2"/>
    <n v="1.6160000000000001"/>
    <n v="33.936"/>
    <d v="2019-07-03T00:00:00"/>
    <d v="1899-12-30T11:49:00"/>
    <s v="Ewallet"/>
    <n v="32.32"/>
    <n v="4.7619047620000003"/>
    <n v="1.6160000000000001"/>
    <n v="6.5"/>
    <d v="2019-03-07T00:00:00"/>
    <x v="1"/>
    <x v="5"/>
    <x v="11"/>
    <x v="4"/>
  </r>
  <r>
    <s v="399-46-5918"/>
    <x v="1"/>
    <s v="Naypyitaw"/>
    <s v="Normal"/>
    <s v="Female"/>
    <x v="1"/>
    <n v="85.98"/>
    <n v="8"/>
    <n v="34.392000000000003"/>
    <n v="722.23199999999997"/>
    <s v="2/28/2019"/>
    <d v="1899-12-30T19:01:00"/>
    <s v="Cash"/>
    <n v="687.84"/>
    <n v="4.7619047620000003"/>
    <n v="34.392000000000003"/>
    <n v="8.1999999999999993"/>
    <d v="2019-02-28T00:00:00"/>
    <x v="2"/>
    <x v="8"/>
    <x v="19"/>
    <x v="4"/>
  </r>
  <r>
    <s v="106-35-6779"/>
    <x v="0"/>
    <s v="Yangon"/>
    <s v="Member"/>
    <s v="Male"/>
    <x v="2"/>
    <n v="44.34"/>
    <n v="2"/>
    <n v="4.4340000000000002"/>
    <n v="93.114000000000004"/>
    <s v="3/27/2019"/>
    <d v="1899-12-30T11:26:00"/>
    <s v="Cash"/>
    <n v="88.68"/>
    <n v="4.7619047620000003"/>
    <n v="4.4340000000000002"/>
    <n v="5.8"/>
    <d v="2019-03-27T00:00:00"/>
    <x v="1"/>
    <x v="5"/>
    <x v="3"/>
    <x v="6"/>
  </r>
  <r>
    <s v="635-40-6220"/>
    <x v="0"/>
    <s v="Yangon"/>
    <s v="Normal"/>
    <s v="Male"/>
    <x v="0"/>
    <n v="89.6"/>
    <n v="8"/>
    <n v="35.840000000000003"/>
    <n v="752.64"/>
    <d v="2019-07-02T00:00:00"/>
    <d v="1899-12-30T11:28:00"/>
    <s v="Ewallet"/>
    <n v="716.8"/>
    <n v="4.7619047620000003"/>
    <n v="35.840000000000003"/>
    <n v="6.6"/>
    <d v="2019-02-07T00:00:00"/>
    <x v="2"/>
    <x v="5"/>
    <x v="11"/>
    <x v="4"/>
  </r>
  <r>
    <s v="817-48-8732"/>
    <x v="0"/>
    <s v="Yangon"/>
    <s v="Member"/>
    <s v="Female"/>
    <x v="2"/>
    <n v="72.349999999999994"/>
    <n v="10"/>
    <n v="36.174999999999997"/>
    <n v="759.67499999999995"/>
    <s v="1/20/2019"/>
    <d v="1899-12-30T15:55:00"/>
    <s v="Cash"/>
    <n v="723.5"/>
    <n v="4.7619047620000003"/>
    <n v="36.174999999999997"/>
    <n v="5.4"/>
    <d v="2019-01-20T00:00:00"/>
    <x v="0"/>
    <x v="9"/>
    <x v="7"/>
    <x v="2"/>
  </r>
  <r>
    <s v="120-06-4233"/>
    <x v="1"/>
    <s v="Naypyitaw"/>
    <s v="Normal"/>
    <s v="Male"/>
    <x v="1"/>
    <n v="30.61"/>
    <n v="6"/>
    <n v="9.1829999999999998"/>
    <n v="192.84299999999999"/>
    <d v="2019-12-03T00:00:00"/>
    <d v="1899-12-30T20:36:00"/>
    <s v="Cash"/>
    <n v="183.66"/>
    <n v="4.7619047620000003"/>
    <n v="9.1829999999999998"/>
    <n v="9.3000000000000007"/>
    <d v="2019-03-12T00:00:00"/>
    <x v="1"/>
    <x v="2"/>
    <x v="10"/>
    <x v="5"/>
  </r>
  <r>
    <s v="285-68-5083"/>
    <x v="1"/>
    <s v="Naypyitaw"/>
    <s v="Member"/>
    <s v="Female"/>
    <x v="3"/>
    <n v="24.74"/>
    <n v="3"/>
    <n v="3.7109999999999999"/>
    <n v="77.930999999999997"/>
    <s v="2/15/2019"/>
    <d v="1899-12-30T17:47:00"/>
    <s v="Credit card"/>
    <n v="74.22"/>
    <n v="4.7619047620000003"/>
    <n v="3.7109999999999999"/>
    <n v="10"/>
    <d v="2019-02-15T00:00:00"/>
    <x v="2"/>
    <x v="6"/>
    <x v="13"/>
    <x v="1"/>
  </r>
  <r>
    <s v="803-83-5989"/>
    <x v="1"/>
    <s v="Naypyitaw"/>
    <s v="Normal"/>
    <s v="Male"/>
    <x v="2"/>
    <n v="55.73"/>
    <n v="6"/>
    <n v="16.719000000000001"/>
    <n v="351.09899999999999"/>
    <s v="2/24/2019"/>
    <d v="1899-12-30T10:55:00"/>
    <s v="Ewallet"/>
    <n v="334.38"/>
    <n v="4.7619047620000003"/>
    <n v="16.719000000000001"/>
    <n v="7"/>
    <d v="2019-02-24T00:00:00"/>
    <x v="2"/>
    <x v="1"/>
    <x v="5"/>
    <x v="2"/>
  </r>
  <r>
    <s v="347-34-2234"/>
    <x v="2"/>
    <s v="Mandalay"/>
    <s v="Member"/>
    <s v="Female"/>
    <x v="3"/>
    <n v="55.07"/>
    <n v="9"/>
    <n v="24.781500000000001"/>
    <n v="520.41150000000005"/>
    <d v="2019-03-02T00:00:00"/>
    <d v="1899-12-30T13:40:00"/>
    <s v="Ewallet"/>
    <n v="495.63"/>
    <n v="4.7619047620000003"/>
    <n v="24.781500000000001"/>
    <n v="10"/>
    <d v="2019-02-03T00:00:00"/>
    <x v="2"/>
    <x v="0"/>
    <x v="2"/>
    <x v="2"/>
  </r>
  <r>
    <s v="199-75-8169"/>
    <x v="0"/>
    <s v="Yangon"/>
    <s v="Member"/>
    <s v="Male"/>
    <x v="3"/>
    <n v="15.81"/>
    <n v="10"/>
    <n v="7.9050000000000002"/>
    <n v="166.005"/>
    <d v="2019-06-03T00:00:00"/>
    <d v="1899-12-30T12:27:00"/>
    <s v="Credit card"/>
    <n v="158.1"/>
    <n v="4.7619047620000003"/>
    <n v="7.9050000000000002"/>
    <n v="8.6"/>
    <d v="2019-03-06T00:00:00"/>
    <x v="1"/>
    <x v="10"/>
    <x v="20"/>
    <x v="6"/>
  </r>
  <r>
    <s v="853-23-2453"/>
    <x v="2"/>
    <s v="Mandalay"/>
    <s v="Member"/>
    <s v="Male"/>
    <x v="0"/>
    <n v="75.739999999999995"/>
    <n v="4"/>
    <n v="15.148"/>
    <n v="318.108"/>
    <s v="2/14/2019"/>
    <d v="1899-12-30T14:35:00"/>
    <s v="Cash"/>
    <n v="302.95999999999998"/>
    <n v="4.7619047620000003"/>
    <n v="15.148"/>
    <n v="7.6"/>
    <d v="2019-02-14T00:00:00"/>
    <x v="2"/>
    <x v="4"/>
    <x v="25"/>
    <x v="4"/>
  </r>
  <r>
    <s v="877-22-3308"/>
    <x v="0"/>
    <s v="Yangon"/>
    <s v="Member"/>
    <s v="Male"/>
    <x v="0"/>
    <n v="15.87"/>
    <n v="10"/>
    <n v="7.9349999999999996"/>
    <n v="166.63499999999999"/>
    <s v="3/13/2019"/>
    <d v="1899-12-30T16:40:00"/>
    <s v="Cash"/>
    <n v="158.69999999999999"/>
    <n v="4.7619047620000003"/>
    <n v="7.9349999999999996"/>
    <n v="5.8"/>
    <d v="2019-03-13T00:00:00"/>
    <x v="1"/>
    <x v="7"/>
    <x v="26"/>
    <x v="6"/>
  </r>
  <r>
    <s v="838-78-4295"/>
    <x v="1"/>
    <s v="Naypyitaw"/>
    <s v="Normal"/>
    <s v="Female"/>
    <x v="0"/>
    <n v="33.47"/>
    <n v="2"/>
    <n v="3.347"/>
    <n v="70.287000000000006"/>
    <d v="2019-10-02T00:00:00"/>
    <d v="1899-12-30T15:43:00"/>
    <s v="Ewallet"/>
    <n v="66.94"/>
    <n v="4.7619047620000003"/>
    <n v="3.347"/>
    <n v="6.7"/>
    <d v="2019-02-10T00:00:00"/>
    <x v="2"/>
    <x v="9"/>
    <x v="6"/>
    <x v="2"/>
  </r>
  <r>
    <s v="109-28-2512"/>
    <x v="2"/>
    <s v="Mandalay"/>
    <s v="Member"/>
    <s v="Female"/>
    <x v="5"/>
    <n v="97.61"/>
    <n v="6"/>
    <n v="29.283000000000001"/>
    <n v="614.94299999999998"/>
    <d v="2019-07-01T00:00:00"/>
    <d v="1899-12-30T15:01:00"/>
    <s v="Ewallet"/>
    <n v="585.66"/>
    <n v="4.7619047620000003"/>
    <n v="29.283000000000001"/>
    <n v="9.9"/>
    <d v="2019-01-07T00:00:00"/>
    <x v="0"/>
    <x v="9"/>
    <x v="11"/>
    <x v="3"/>
  </r>
  <r>
    <s v="232-11-3025"/>
    <x v="0"/>
    <s v="Yangon"/>
    <s v="Normal"/>
    <s v="Male"/>
    <x v="3"/>
    <n v="78.77"/>
    <n v="10"/>
    <n v="39.384999999999998"/>
    <n v="827.08500000000004"/>
    <s v="1/24/2019"/>
    <d v="1899-12-30T10:04:00"/>
    <s v="Cash"/>
    <n v="787.7"/>
    <n v="4.7619047620000003"/>
    <n v="39.384999999999998"/>
    <n v="6.4"/>
    <d v="2019-01-24T00:00:00"/>
    <x v="0"/>
    <x v="1"/>
    <x v="5"/>
    <x v="4"/>
  </r>
  <r>
    <s v="382-03-4532"/>
    <x v="0"/>
    <s v="Yangon"/>
    <s v="Member"/>
    <s v="Female"/>
    <x v="0"/>
    <n v="18.329999999999998"/>
    <n v="1"/>
    <n v="0.91649999999999998"/>
    <n v="19.246500000000001"/>
    <d v="2019-02-02T00:00:00"/>
    <d v="1899-12-30T18:50:00"/>
    <s v="Cash"/>
    <n v="18.329999999999998"/>
    <n v="4.7619047620000003"/>
    <n v="0.91649999999999998"/>
    <n v="4.3"/>
    <d v="2019-02-02T00:00:00"/>
    <x v="2"/>
    <x v="3"/>
    <x v="8"/>
    <x v="0"/>
  </r>
  <r>
    <s v="393-65-2792"/>
    <x v="1"/>
    <s v="Naypyitaw"/>
    <s v="Normal"/>
    <s v="Male"/>
    <x v="4"/>
    <n v="89.48"/>
    <n v="10"/>
    <n v="44.74"/>
    <n v="939.54"/>
    <d v="2019-06-01T00:00:00"/>
    <d v="1899-12-30T12:46:00"/>
    <s v="Credit card"/>
    <n v="894.8"/>
    <n v="4.7619047620000003"/>
    <n v="44.74"/>
    <n v="9.6"/>
    <d v="2019-01-06T00:00:00"/>
    <x v="0"/>
    <x v="10"/>
    <x v="20"/>
    <x v="2"/>
  </r>
  <r>
    <s v="796-12-2025"/>
    <x v="1"/>
    <s v="Naypyitaw"/>
    <s v="Normal"/>
    <s v="Male"/>
    <x v="5"/>
    <n v="62.12"/>
    <n v="10"/>
    <n v="31.06"/>
    <n v="652.26"/>
    <d v="2019-11-02T00:00:00"/>
    <d v="1899-12-30T16:19:00"/>
    <s v="Cash"/>
    <n v="621.20000000000005"/>
    <n v="4.7619047620000003"/>
    <n v="31.06"/>
    <n v="5.9"/>
    <d v="2019-02-11T00:00:00"/>
    <x v="2"/>
    <x v="7"/>
    <x v="14"/>
    <x v="3"/>
  </r>
  <r>
    <s v="510-95-6347"/>
    <x v="2"/>
    <s v="Mandalay"/>
    <s v="Member"/>
    <s v="Female"/>
    <x v="4"/>
    <n v="48.52"/>
    <n v="3"/>
    <n v="7.2779999999999996"/>
    <n v="152.83799999999999"/>
    <d v="2019-05-03T00:00:00"/>
    <d v="1899-12-30T18:17:00"/>
    <s v="Ewallet"/>
    <n v="145.56"/>
    <n v="4.7619047620000003"/>
    <n v="7.2779999999999996"/>
    <n v="4"/>
    <d v="2019-03-05T00:00:00"/>
    <x v="1"/>
    <x v="3"/>
    <x v="0"/>
    <x v="5"/>
  </r>
  <r>
    <s v="841-35-6630"/>
    <x v="1"/>
    <s v="Naypyitaw"/>
    <s v="Normal"/>
    <s v="Female"/>
    <x v="1"/>
    <n v="75.91"/>
    <n v="6"/>
    <n v="22.773"/>
    <n v="478.233"/>
    <d v="2019-09-03T00:00:00"/>
    <d v="1899-12-30T18:21:00"/>
    <s v="Cash"/>
    <n v="455.46"/>
    <n v="4.7619047620000003"/>
    <n v="22.773"/>
    <n v="8.6999999999999993"/>
    <d v="2019-03-09T00:00:00"/>
    <x v="1"/>
    <x v="3"/>
    <x v="9"/>
    <x v="0"/>
  </r>
  <r>
    <s v="287-21-9091"/>
    <x v="0"/>
    <s v="Yangon"/>
    <s v="Normal"/>
    <s v="Male"/>
    <x v="2"/>
    <n v="74.67"/>
    <n v="9"/>
    <n v="33.601500000000001"/>
    <n v="705.63149999999996"/>
    <s v="1/22/2019"/>
    <d v="1899-12-30T10:55:00"/>
    <s v="Ewallet"/>
    <n v="672.03"/>
    <n v="4.7619047620000003"/>
    <n v="33.601500000000001"/>
    <n v="9.4"/>
    <d v="2019-01-22T00:00:00"/>
    <x v="0"/>
    <x v="1"/>
    <x v="18"/>
    <x v="5"/>
  </r>
  <r>
    <s v="732-94-0499"/>
    <x v="1"/>
    <s v="Naypyitaw"/>
    <s v="Normal"/>
    <s v="Female"/>
    <x v="1"/>
    <n v="41.65"/>
    <n v="10"/>
    <n v="20.824999999999999"/>
    <n v="437.32499999999999"/>
    <s v="1/13/2019"/>
    <d v="1899-12-30T17:04:00"/>
    <s v="Credit card"/>
    <n v="416.5"/>
    <n v="4.7619047620000003"/>
    <n v="20.824999999999999"/>
    <n v="5.4"/>
    <d v="2019-01-13T00:00:00"/>
    <x v="0"/>
    <x v="6"/>
    <x v="26"/>
    <x v="2"/>
  </r>
  <r>
    <s v="263-10-3913"/>
    <x v="1"/>
    <s v="Naypyitaw"/>
    <s v="Member"/>
    <s v="Male"/>
    <x v="5"/>
    <n v="49.04"/>
    <n v="9"/>
    <n v="22.068000000000001"/>
    <n v="463.428"/>
    <d v="2019-09-01T00:00:00"/>
    <d v="1899-12-30T14:20:00"/>
    <s v="Credit card"/>
    <n v="441.36"/>
    <n v="4.7619047620000003"/>
    <n v="22.068000000000001"/>
    <n v="8.6"/>
    <d v="2019-01-09T00:00:00"/>
    <x v="0"/>
    <x v="4"/>
    <x v="9"/>
    <x v="6"/>
  </r>
  <r>
    <s v="381-20-0914"/>
    <x v="0"/>
    <s v="Yangon"/>
    <s v="Member"/>
    <s v="Female"/>
    <x v="5"/>
    <n v="20.010000000000002"/>
    <n v="9"/>
    <n v="9.0045000000000002"/>
    <n v="189.09450000000001"/>
    <d v="2019-12-01T00:00:00"/>
    <d v="1899-12-30T15:48:00"/>
    <s v="Credit card"/>
    <n v="180.09"/>
    <n v="4.7619047620000003"/>
    <n v="9.0045000000000002"/>
    <n v="5.7"/>
    <d v="2019-01-12T00:00:00"/>
    <x v="0"/>
    <x v="9"/>
    <x v="10"/>
    <x v="0"/>
  </r>
  <r>
    <s v="829-49-1914"/>
    <x v="1"/>
    <s v="Naypyitaw"/>
    <s v="Member"/>
    <s v="Female"/>
    <x v="4"/>
    <n v="78.31"/>
    <n v="10"/>
    <n v="39.155000000000001"/>
    <n v="822.255"/>
    <d v="2019-05-03T00:00:00"/>
    <d v="1899-12-30T16:24:00"/>
    <s v="Ewallet"/>
    <n v="783.1"/>
    <n v="4.7619047620000003"/>
    <n v="39.155000000000001"/>
    <n v="6.6"/>
    <d v="2019-03-05T00:00:00"/>
    <x v="1"/>
    <x v="7"/>
    <x v="0"/>
    <x v="5"/>
  </r>
  <r>
    <s v="756-01-7507"/>
    <x v="1"/>
    <s v="Naypyitaw"/>
    <s v="Normal"/>
    <s v="Female"/>
    <x v="0"/>
    <n v="20.38"/>
    <n v="5"/>
    <n v="5.0949999999999998"/>
    <n v="106.995"/>
    <s v="1/22/2019"/>
    <d v="1899-12-30T18:56:00"/>
    <s v="Cash"/>
    <n v="101.9"/>
    <n v="4.7619047620000003"/>
    <n v="5.0949999999999998"/>
    <n v="6"/>
    <d v="2019-01-22T00:00:00"/>
    <x v="0"/>
    <x v="3"/>
    <x v="18"/>
    <x v="5"/>
  </r>
  <r>
    <s v="870-72-4431"/>
    <x v="1"/>
    <s v="Naypyitaw"/>
    <s v="Normal"/>
    <s v="Female"/>
    <x v="0"/>
    <n v="99.19"/>
    <n v="6"/>
    <n v="29.757000000000001"/>
    <n v="624.89700000000005"/>
    <s v="1/21/2019"/>
    <d v="1899-12-30T14:42:00"/>
    <s v="Credit card"/>
    <n v="595.14"/>
    <n v="4.7619047620000003"/>
    <n v="29.757000000000001"/>
    <n v="5.5"/>
    <d v="2019-01-21T00:00:00"/>
    <x v="0"/>
    <x v="4"/>
    <x v="16"/>
    <x v="3"/>
  </r>
  <r>
    <s v="847-38-7188"/>
    <x v="2"/>
    <s v="Mandalay"/>
    <s v="Normal"/>
    <s v="Female"/>
    <x v="4"/>
    <n v="96.68"/>
    <n v="3"/>
    <n v="14.502000000000001"/>
    <n v="304.54199999999997"/>
    <s v="1/26/2019"/>
    <d v="1899-12-30T19:56:00"/>
    <s v="Ewallet"/>
    <n v="290.04000000000002"/>
    <n v="4.7619047620000003"/>
    <n v="14.502000000000001"/>
    <n v="6.4"/>
    <d v="2019-01-26T00:00:00"/>
    <x v="0"/>
    <x v="8"/>
    <x v="27"/>
    <x v="0"/>
  </r>
  <r>
    <s v="480-63-2856"/>
    <x v="1"/>
    <s v="Naypyitaw"/>
    <s v="Normal"/>
    <s v="Male"/>
    <x v="4"/>
    <n v="19.25"/>
    <n v="8"/>
    <n v="7.7"/>
    <n v="161.69999999999999"/>
    <s v="1/23/2019"/>
    <d v="1899-12-30T18:37:00"/>
    <s v="Ewallet"/>
    <n v="154"/>
    <n v="4.7619047620000003"/>
    <n v="7.7"/>
    <n v="6.6"/>
    <d v="2019-01-23T00:00:00"/>
    <x v="0"/>
    <x v="3"/>
    <x v="21"/>
    <x v="6"/>
  </r>
  <r>
    <s v="787-56-0757"/>
    <x v="1"/>
    <s v="Naypyitaw"/>
    <s v="Member"/>
    <s v="Female"/>
    <x v="4"/>
    <n v="80.36"/>
    <n v="4"/>
    <n v="16.071999999999999"/>
    <n v="337.512"/>
    <s v="2/23/2019"/>
    <d v="1899-12-30T18:45:00"/>
    <s v="Credit card"/>
    <n v="321.44"/>
    <n v="4.7619047620000003"/>
    <n v="16.071999999999999"/>
    <n v="8.3000000000000007"/>
    <d v="2019-02-23T00:00:00"/>
    <x v="2"/>
    <x v="3"/>
    <x v="21"/>
    <x v="0"/>
  </r>
  <r>
    <s v="360-39-5055"/>
    <x v="1"/>
    <s v="Naypyitaw"/>
    <s v="Member"/>
    <s v="Male"/>
    <x v="3"/>
    <n v="48.91"/>
    <n v="5"/>
    <n v="12.227499999999999"/>
    <n v="256.77749999999997"/>
    <d v="2019-09-03T00:00:00"/>
    <d v="1899-12-30T10:17:00"/>
    <s v="Cash"/>
    <n v="244.55"/>
    <n v="4.7619047620000003"/>
    <n v="12.227499999999999"/>
    <n v="6.6"/>
    <d v="2019-03-09T00:00:00"/>
    <x v="1"/>
    <x v="1"/>
    <x v="9"/>
    <x v="0"/>
  </r>
  <r>
    <s v="730-50-9884"/>
    <x v="1"/>
    <s v="Naypyitaw"/>
    <s v="Normal"/>
    <s v="Female"/>
    <x v="3"/>
    <n v="83.06"/>
    <n v="7"/>
    <n v="29.071000000000002"/>
    <n v="610.49099999999999"/>
    <d v="2019-05-03T00:00:00"/>
    <d v="1899-12-30T14:31:00"/>
    <s v="Ewallet"/>
    <n v="581.41999999999996"/>
    <n v="4.7619047620000003"/>
    <n v="29.071000000000002"/>
    <n v="4"/>
    <d v="2019-03-05T00:00:00"/>
    <x v="1"/>
    <x v="4"/>
    <x v="0"/>
    <x v="5"/>
  </r>
  <r>
    <s v="362-58-8315"/>
    <x v="1"/>
    <s v="Naypyitaw"/>
    <s v="Normal"/>
    <s v="Male"/>
    <x v="5"/>
    <n v="76.52"/>
    <n v="5"/>
    <n v="19.13"/>
    <n v="401.73"/>
    <s v="3/25/2019"/>
    <d v="1899-12-30T10:23:00"/>
    <s v="Cash"/>
    <n v="382.6"/>
    <n v="4.7619047620000003"/>
    <n v="19.13"/>
    <n v="9.9"/>
    <d v="2019-03-25T00:00:00"/>
    <x v="1"/>
    <x v="1"/>
    <x v="4"/>
    <x v="3"/>
  </r>
  <r>
    <s v="633-44-8566"/>
    <x v="0"/>
    <s v="Yangon"/>
    <s v="Member"/>
    <s v="Male"/>
    <x v="4"/>
    <n v="49.38"/>
    <n v="7"/>
    <n v="17.283000000000001"/>
    <n v="362.94299999999998"/>
    <s v="3/27/2019"/>
    <d v="1899-12-30T20:35:00"/>
    <s v="Credit card"/>
    <n v="345.66"/>
    <n v="4.7619047620000003"/>
    <n v="17.283000000000001"/>
    <n v="7.3"/>
    <d v="2019-03-27T00:00:00"/>
    <x v="1"/>
    <x v="2"/>
    <x v="3"/>
    <x v="6"/>
  </r>
  <r>
    <s v="504-35-8843"/>
    <x v="0"/>
    <s v="Yangon"/>
    <s v="Normal"/>
    <s v="Male"/>
    <x v="3"/>
    <n v="42.47"/>
    <n v="1"/>
    <n v="2.1234999999999999"/>
    <n v="44.593499999999999"/>
    <d v="2019-02-01T00:00:00"/>
    <d v="1899-12-30T16:57:00"/>
    <s v="Cash"/>
    <n v="42.47"/>
    <n v="4.7619047620000003"/>
    <n v="2.1234999999999999"/>
    <n v="5.7"/>
    <d v="2019-01-02T00:00:00"/>
    <x v="0"/>
    <x v="7"/>
    <x v="8"/>
    <x v="6"/>
  </r>
  <r>
    <s v="318-68-5053"/>
    <x v="2"/>
    <s v="Mandalay"/>
    <s v="Normal"/>
    <s v="Female"/>
    <x v="0"/>
    <n v="76.989999999999995"/>
    <n v="6"/>
    <n v="23.097000000000001"/>
    <n v="485.03699999999998"/>
    <s v="2/27/2019"/>
    <d v="1899-12-30T17:55:00"/>
    <s v="Cash"/>
    <n v="461.94"/>
    <n v="4.7619047620000003"/>
    <n v="23.097000000000001"/>
    <n v="6.1"/>
    <d v="2019-02-27T00:00:00"/>
    <x v="2"/>
    <x v="6"/>
    <x v="3"/>
    <x v="6"/>
  </r>
  <r>
    <s v="565-80-5980"/>
    <x v="1"/>
    <s v="Naypyitaw"/>
    <s v="Member"/>
    <s v="Female"/>
    <x v="2"/>
    <n v="47.38"/>
    <n v="4"/>
    <n v="9.4760000000000009"/>
    <n v="198.99600000000001"/>
    <s v="1/23/2019"/>
    <d v="1899-12-30T10:25:00"/>
    <s v="Cash"/>
    <n v="189.52"/>
    <n v="4.7619047620000003"/>
    <n v="9.4760000000000009"/>
    <n v="7.1"/>
    <d v="2019-01-23T00:00:00"/>
    <x v="0"/>
    <x v="1"/>
    <x v="21"/>
    <x v="6"/>
  </r>
  <r>
    <s v="225-32-0908"/>
    <x v="1"/>
    <s v="Naypyitaw"/>
    <s v="Normal"/>
    <s v="Female"/>
    <x v="3"/>
    <n v="44.86"/>
    <n v="10"/>
    <n v="22.43"/>
    <n v="471.03"/>
    <s v="1/26/2019"/>
    <d v="1899-12-30T19:54:00"/>
    <s v="Ewallet"/>
    <n v="448.6"/>
    <n v="4.7619047620000003"/>
    <n v="22.43"/>
    <n v="8.1999999999999993"/>
    <d v="2019-01-26T00:00:00"/>
    <x v="0"/>
    <x v="8"/>
    <x v="27"/>
    <x v="0"/>
  </r>
  <r>
    <s v="873-51-0671"/>
    <x v="0"/>
    <s v="Yangon"/>
    <s v="Member"/>
    <s v="Female"/>
    <x v="3"/>
    <n v="21.98"/>
    <n v="7"/>
    <n v="7.6929999999999996"/>
    <n v="161.553"/>
    <d v="2019-10-01T00:00:00"/>
    <d v="1899-12-30T16:42:00"/>
    <s v="Ewallet"/>
    <n v="153.86000000000001"/>
    <n v="4.7619047620000003"/>
    <n v="7.6929999999999996"/>
    <n v="5.0999999999999996"/>
    <d v="2019-01-10T00:00:00"/>
    <x v="0"/>
    <x v="7"/>
    <x v="6"/>
    <x v="4"/>
  </r>
  <r>
    <s v="152-08-9985"/>
    <x v="2"/>
    <s v="Mandalay"/>
    <s v="Member"/>
    <s v="Male"/>
    <x v="0"/>
    <n v="64.36"/>
    <n v="9"/>
    <n v="28.962"/>
    <n v="608.202"/>
    <d v="2019-12-03T00:00:00"/>
    <d v="1899-12-30T12:09:00"/>
    <s v="Credit card"/>
    <n v="579.24"/>
    <n v="4.7619047620000003"/>
    <n v="28.962"/>
    <n v="8.6"/>
    <d v="2019-03-12T00:00:00"/>
    <x v="1"/>
    <x v="10"/>
    <x v="10"/>
    <x v="5"/>
  </r>
  <r>
    <s v="512-91-0811"/>
    <x v="1"/>
    <s v="Naypyitaw"/>
    <s v="Normal"/>
    <s v="Male"/>
    <x v="0"/>
    <n v="89.75"/>
    <n v="1"/>
    <n v="4.4874999999999998"/>
    <n v="94.237499999999997"/>
    <d v="2019-06-02T00:00:00"/>
    <d v="1899-12-30T20:05:00"/>
    <s v="Credit card"/>
    <n v="89.75"/>
    <n v="4.7619047620000003"/>
    <n v="4.4874999999999998"/>
    <n v="6.6"/>
    <d v="2019-02-06T00:00:00"/>
    <x v="2"/>
    <x v="2"/>
    <x v="20"/>
    <x v="6"/>
  </r>
  <r>
    <s v="594-34-4444"/>
    <x v="0"/>
    <s v="Yangon"/>
    <s v="Normal"/>
    <s v="Male"/>
    <x v="1"/>
    <n v="97.16"/>
    <n v="1"/>
    <n v="4.8579999999999997"/>
    <n v="102.018"/>
    <d v="2019-08-03T00:00:00"/>
    <d v="1899-12-30T20:38:00"/>
    <s v="Ewallet"/>
    <n v="97.16"/>
    <n v="4.7619047620000003"/>
    <n v="4.8579999999999997"/>
    <n v="7.2"/>
    <d v="2019-03-08T00:00:00"/>
    <x v="1"/>
    <x v="2"/>
    <x v="1"/>
    <x v="1"/>
  </r>
  <r>
    <s v="766-85-7061"/>
    <x v="2"/>
    <s v="Mandalay"/>
    <s v="Normal"/>
    <s v="Male"/>
    <x v="0"/>
    <n v="87.87"/>
    <n v="10"/>
    <n v="43.935000000000002"/>
    <n v="922.63499999999999"/>
    <s v="3/29/2019"/>
    <d v="1899-12-30T10:25:00"/>
    <s v="Ewallet"/>
    <n v="878.7"/>
    <n v="4.7619047620000003"/>
    <n v="43.935000000000002"/>
    <n v="5.0999999999999996"/>
    <d v="2019-03-29T00:00:00"/>
    <x v="1"/>
    <x v="1"/>
    <x v="12"/>
    <x v="1"/>
  </r>
  <r>
    <s v="871-39-9221"/>
    <x v="1"/>
    <s v="Naypyitaw"/>
    <s v="Normal"/>
    <s v="Female"/>
    <x v="1"/>
    <n v="12.45"/>
    <n v="6"/>
    <n v="3.7349999999999999"/>
    <n v="78.435000000000002"/>
    <d v="2019-09-02T00:00:00"/>
    <d v="1899-12-30T13:11:00"/>
    <s v="Cash"/>
    <n v="74.7"/>
    <n v="4.7619047620000003"/>
    <n v="3.7349999999999999"/>
    <n v="4.0999999999999996"/>
    <d v="2019-02-09T00:00:00"/>
    <x v="2"/>
    <x v="0"/>
    <x v="9"/>
    <x v="0"/>
  </r>
  <r>
    <s v="865-92-6136"/>
    <x v="0"/>
    <s v="Yangon"/>
    <s v="Normal"/>
    <s v="Male"/>
    <x v="4"/>
    <n v="52.75"/>
    <n v="3"/>
    <n v="7.9124999999999996"/>
    <n v="166.16249999999999"/>
    <s v="3/23/2019"/>
    <d v="1899-12-30T10:16:00"/>
    <s v="Ewallet"/>
    <n v="158.25"/>
    <n v="4.7619047620000003"/>
    <n v="7.9124999999999996"/>
    <n v="9.3000000000000007"/>
    <d v="2019-03-23T00:00:00"/>
    <x v="1"/>
    <x v="1"/>
    <x v="21"/>
    <x v="0"/>
  </r>
  <r>
    <s v="733-01-9107"/>
    <x v="2"/>
    <s v="Mandalay"/>
    <s v="Normal"/>
    <s v="Male"/>
    <x v="2"/>
    <n v="82.7"/>
    <n v="6"/>
    <n v="24.81"/>
    <n v="521.01"/>
    <d v="2019-05-03T00:00:00"/>
    <d v="1899-12-30T18:14:00"/>
    <s v="Cash"/>
    <n v="496.2"/>
    <n v="4.7619047620000003"/>
    <n v="24.81"/>
    <n v="7.4"/>
    <d v="2019-03-05T00:00:00"/>
    <x v="1"/>
    <x v="3"/>
    <x v="0"/>
    <x v="5"/>
  </r>
  <r>
    <s v="163-56-7055"/>
    <x v="1"/>
    <s v="Naypyitaw"/>
    <s v="Member"/>
    <s v="Male"/>
    <x v="5"/>
    <n v="48.71"/>
    <n v="1"/>
    <n v="2.4355000000000002"/>
    <n v="51.145499999999998"/>
    <s v="3/26/2019"/>
    <d v="1899-12-30T19:20:00"/>
    <s v="Cash"/>
    <n v="48.71"/>
    <n v="4.7619047620000003"/>
    <n v="2.4355000000000002"/>
    <n v="4.0999999999999996"/>
    <d v="2019-03-26T00:00:00"/>
    <x v="1"/>
    <x v="8"/>
    <x v="27"/>
    <x v="5"/>
  </r>
  <r>
    <s v="189-98-2939"/>
    <x v="1"/>
    <s v="Naypyitaw"/>
    <s v="Normal"/>
    <s v="Male"/>
    <x v="5"/>
    <n v="78.55"/>
    <n v="9"/>
    <n v="35.347499999999997"/>
    <n v="742.29750000000001"/>
    <d v="2019-01-03T00:00:00"/>
    <d v="1899-12-30T13:22:00"/>
    <s v="Cash"/>
    <n v="706.95"/>
    <n v="4.7619047620000003"/>
    <n v="35.347499999999997"/>
    <n v="7.2"/>
    <d v="2019-03-01T00:00:00"/>
    <x v="1"/>
    <x v="0"/>
    <x v="15"/>
    <x v="1"/>
  </r>
  <r>
    <s v="551-21-3069"/>
    <x v="1"/>
    <s v="Naypyitaw"/>
    <s v="Normal"/>
    <s v="Female"/>
    <x v="1"/>
    <n v="23.07"/>
    <n v="9"/>
    <n v="10.381500000000001"/>
    <n v="218.01150000000001"/>
    <d v="2019-01-02T00:00:00"/>
    <d v="1899-12-30T11:27:00"/>
    <s v="Cash"/>
    <n v="207.63"/>
    <n v="4.7619047620000003"/>
    <n v="10.381500000000001"/>
    <n v="4.9000000000000004"/>
    <d v="2019-02-01T00:00:00"/>
    <x v="2"/>
    <x v="5"/>
    <x v="15"/>
    <x v="1"/>
  </r>
  <r>
    <s v="212-62-1842"/>
    <x v="0"/>
    <s v="Yangon"/>
    <s v="Normal"/>
    <s v="Male"/>
    <x v="4"/>
    <n v="58.26"/>
    <n v="6"/>
    <n v="17.478000000000002"/>
    <n v="367.03800000000001"/>
    <s v="3/28/2019"/>
    <d v="1899-12-30T16:44:00"/>
    <s v="Cash"/>
    <n v="349.56"/>
    <n v="4.7619047620000003"/>
    <n v="17.478000000000002"/>
    <n v="9.9"/>
    <d v="2019-03-28T00:00:00"/>
    <x v="1"/>
    <x v="7"/>
    <x v="19"/>
    <x v="4"/>
  </r>
  <r>
    <s v="716-39-1409"/>
    <x v="2"/>
    <s v="Mandalay"/>
    <s v="Normal"/>
    <s v="Male"/>
    <x v="0"/>
    <n v="30.35"/>
    <n v="7"/>
    <n v="10.6225"/>
    <n v="223.07249999999999"/>
    <s v="3/19/2019"/>
    <d v="1899-12-30T18:19:00"/>
    <s v="Cash"/>
    <n v="212.45"/>
    <n v="4.7619047620000003"/>
    <n v="10.6225"/>
    <n v="8"/>
    <d v="2019-03-19T00:00:00"/>
    <x v="1"/>
    <x v="3"/>
    <x v="24"/>
    <x v="5"/>
  </r>
  <r>
    <s v="704-48-3927"/>
    <x v="0"/>
    <s v="Yangon"/>
    <s v="Member"/>
    <s v="Male"/>
    <x v="1"/>
    <n v="88.67"/>
    <n v="10"/>
    <n v="44.335000000000001"/>
    <n v="931.03499999999997"/>
    <d v="2019-12-01T00:00:00"/>
    <d v="1899-12-30T14:50:00"/>
    <s v="Ewallet"/>
    <n v="886.7"/>
    <n v="4.7619047620000003"/>
    <n v="44.335000000000001"/>
    <n v="7.3"/>
    <d v="2019-01-12T00:00:00"/>
    <x v="0"/>
    <x v="4"/>
    <x v="10"/>
    <x v="0"/>
  </r>
  <r>
    <s v="628-34-3388"/>
    <x v="1"/>
    <s v="Naypyitaw"/>
    <s v="Normal"/>
    <s v="Male"/>
    <x v="5"/>
    <n v="27.38"/>
    <n v="6"/>
    <n v="8.2140000000000004"/>
    <n v="172.494"/>
    <d v="2019-05-01T00:00:00"/>
    <d v="1899-12-30T20:54:00"/>
    <s v="Credit card"/>
    <n v="164.28"/>
    <n v="4.7619047620000003"/>
    <n v="8.2140000000000004"/>
    <n v="7.9"/>
    <d v="2019-01-05T00:00:00"/>
    <x v="0"/>
    <x v="2"/>
    <x v="0"/>
    <x v="0"/>
  </r>
  <r>
    <s v="630-74-5166"/>
    <x v="0"/>
    <s v="Yangon"/>
    <s v="Normal"/>
    <s v="Male"/>
    <x v="3"/>
    <n v="62.13"/>
    <n v="6"/>
    <n v="18.638999999999999"/>
    <n v="391.41899999999998"/>
    <s v="3/22/2019"/>
    <d v="1899-12-30T20:19:00"/>
    <s v="Cash"/>
    <n v="372.78"/>
    <n v="4.7619047620000003"/>
    <n v="18.638999999999999"/>
    <n v="7.4"/>
    <d v="2019-03-22T00:00:00"/>
    <x v="1"/>
    <x v="2"/>
    <x v="18"/>
    <x v="1"/>
  </r>
  <r>
    <s v="588-01-7461"/>
    <x v="1"/>
    <s v="Naypyitaw"/>
    <s v="Normal"/>
    <s v="Female"/>
    <x v="4"/>
    <n v="33.979999999999997"/>
    <n v="9"/>
    <n v="15.291"/>
    <n v="321.11099999999999"/>
    <s v="3/24/2019"/>
    <d v="1899-12-30T10:43:00"/>
    <s v="Cash"/>
    <n v="305.82"/>
    <n v="4.7619047620000003"/>
    <n v="15.291"/>
    <n v="4.2"/>
    <d v="2019-03-24T00:00:00"/>
    <x v="1"/>
    <x v="1"/>
    <x v="5"/>
    <x v="2"/>
  </r>
  <r>
    <s v="861-77-0145"/>
    <x v="1"/>
    <s v="Naypyitaw"/>
    <s v="Member"/>
    <s v="Male"/>
    <x v="1"/>
    <n v="81.97"/>
    <n v="10"/>
    <n v="40.984999999999999"/>
    <n v="860.68499999999995"/>
    <d v="2019-03-03T00:00:00"/>
    <d v="1899-12-30T14:30:00"/>
    <s v="Cash"/>
    <n v="819.7"/>
    <n v="4.7619047620000003"/>
    <n v="40.984999999999999"/>
    <n v="9.1999999999999993"/>
    <d v="2019-03-03T00:00:00"/>
    <x v="1"/>
    <x v="4"/>
    <x v="2"/>
    <x v="2"/>
  </r>
  <r>
    <s v="479-26-8945"/>
    <x v="2"/>
    <s v="Mandalay"/>
    <s v="Member"/>
    <s v="Female"/>
    <x v="3"/>
    <n v="16.489999999999998"/>
    <n v="2"/>
    <n v="1.649"/>
    <n v="34.628999999999998"/>
    <d v="2019-05-02T00:00:00"/>
    <d v="1899-12-30T11:32:00"/>
    <s v="Ewallet"/>
    <n v="32.979999999999997"/>
    <n v="4.7619047620000003"/>
    <n v="1.649"/>
    <n v="4.5999999999999996"/>
    <d v="2019-02-05T00:00:00"/>
    <x v="2"/>
    <x v="5"/>
    <x v="0"/>
    <x v="5"/>
  </r>
  <r>
    <s v="210-67-5886"/>
    <x v="1"/>
    <s v="Naypyitaw"/>
    <s v="Member"/>
    <s v="Female"/>
    <x v="0"/>
    <n v="98.21"/>
    <n v="3"/>
    <n v="14.7315"/>
    <n v="309.36149999999998"/>
    <d v="2019-05-02T00:00:00"/>
    <d v="1899-12-30T10:41:00"/>
    <s v="Credit card"/>
    <n v="294.63"/>
    <n v="4.7619047620000003"/>
    <n v="14.7315"/>
    <n v="7.8"/>
    <d v="2019-02-05T00:00:00"/>
    <x v="2"/>
    <x v="1"/>
    <x v="0"/>
    <x v="5"/>
  </r>
  <r>
    <s v="227-78-1148"/>
    <x v="2"/>
    <s v="Mandalay"/>
    <s v="Normal"/>
    <s v="Female"/>
    <x v="5"/>
    <n v="72.84"/>
    <n v="7"/>
    <n v="25.494"/>
    <n v="535.37400000000002"/>
    <s v="2/15/2019"/>
    <d v="1899-12-30T12:44:00"/>
    <s v="Cash"/>
    <n v="509.88"/>
    <n v="4.7619047620000003"/>
    <n v="25.494"/>
    <n v="8.4"/>
    <d v="2019-02-15T00:00:00"/>
    <x v="2"/>
    <x v="10"/>
    <x v="13"/>
    <x v="1"/>
  </r>
  <r>
    <s v="645-44-1170"/>
    <x v="0"/>
    <s v="Yangon"/>
    <s v="Member"/>
    <s v="Male"/>
    <x v="2"/>
    <n v="58.07"/>
    <n v="9"/>
    <n v="26.131499999999999"/>
    <n v="548.76149999999996"/>
    <s v="1/19/2019"/>
    <d v="1899-12-30T20:07:00"/>
    <s v="Ewallet"/>
    <n v="522.63"/>
    <n v="4.7619047620000003"/>
    <n v="26.131499999999999"/>
    <n v="4.3"/>
    <d v="2019-01-19T00:00:00"/>
    <x v="0"/>
    <x v="2"/>
    <x v="24"/>
    <x v="0"/>
  </r>
  <r>
    <s v="237-01-6122"/>
    <x v="1"/>
    <s v="Naypyitaw"/>
    <s v="Member"/>
    <s v="Female"/>
    <x v="2"/>
    <n v="80.790000000000006"/>
    <n v="9"/>
    <n v="36.355499999999999"/>
    <n v="763.46550000000002"/>
    <d v="2019-01-02T00:00:00"/>
    <d v="1899-12-30T20:31:00"/>
    <s v="Credit card"/>
    <n v="727.11"/>
    <n v="4.7619047620000003"/>
    <n v="36.355499999999999"/>
    <n v="9.5"/>
    <d v="2019-02-01T00:00:00"/>
    <x v="2"/>
    <x v="2"/>
    <x v="15"/>
    <x v="1"/>
  </r>
  <r>
    <s v="225-98-1496"/>
    <x v="1"/>
    <s v="Naypyitaw"/>
    <s v="Normal"/>
    <s v="Female"/>
    <x v="5"/>
    <n v="27.02"/>
    <n v="3"/>
    <n v="4.0529999999999999"/>
    <n v="85.113"/>
    <d v="2019-02-03T00:00:00"/>
    <d v="1899-12-30T13:01:00"/>
    <s v="Credit card"/>
    <n v="81.06"/>
    <n v="4.7619047620000003"/>
    <n v="4.0529999999999999"/>
    <n v="7.1"/>
    <d v="2019-03-02T00:00:00"/>
    <x v="1"/>
    <x v="0"/>
    <x v="8"/>
    <x v="0"/>
  </r>
  <r>
    <s v="291-32-1427"/>
    <x v="2"/>
    <s v="Mandalay"/>
    <s v="Member"/>
    <s v="Male"/>
    <x v="5"/>
    <n v="21.94"/>
    <n v="5"/>
    <n v="5.4850000000000003"/>
    <n v="115.185"/>
    <d v="2019-05-03T00:00:00"/>
    <d v="1899-12-30T12:29:00"/>
    <s v="Ewallet"/>
    <n v="109.7"/>
    <n v="4.7619047620000003"/>
    <n v="5.4850000000000003"/>
    <n v="5.3"/>
    <d v="2019-03-05T00:00:00"/>
    <x v="1"/>
    <x v="10"/>
    <x v="0"/>
    <x v="5"/>
  </r>
  <r>
    <s v="659-65-8956"/>
    <x v="2"/>
    <s v="Mandalay"/>
    <s v="Member"/>
    <s v="Male"/>
    <x v="5"/>
    <n v="51.36"/>
    <n v="1"/>
    <n v="2.5680000000000001"/>
    <n v="53.927999999999997"/>
    <s v="1/16/2019"/>
    <d v="1899-12-30T15:26:00"/>
    <s v="Ewallet"/>
    <n v="51.36"/>
    <n v="4.7619047620000003"/>
    <n v="2.5680000000000001"/>
    <n v="5.2"/>
    <d v="2019-01-16T00:00:00"/>
    <x v="0"/>
    <x v="9"/>
    <x v="23"/>
    <x v="6"/>
  </r>
  <r>
    <s v="642-32-2990"/>
    <x v="0"/>
    <s v="Yangon"/>
    <s v="Normal"/>
    <s v="Female"/>
    <x v="4"/>
    <n v="10.96"/>
    <n v="10"/>
    <n v="5.48"/>
    <n v="115.08"/>
    <d v="2019-02-02T00:00:00"/>
    <d v="1899-12-30T20:48:00"/>
    <s v="Ewallet"/>
    <n v="109.6"/>
    <n v="4.7619047620000003"/>
    <n v="5.48"/>
    <n v="6"/>
    <d v="2019-02-02T00:00:00"/>
    <x v="2"/>
    <x v="2"/>
    <x v="8"/>
    <x v="0"/>
  </r>
  <r>
    <s v="378-24-2715"/>
    <x v="2"/>
    <s v="Mandalay"/>
    <s v="Normal"/>
    <s v="Male"/>
    <x v="2"/>
    <n v="53.44"/>
    <n v="2"/>
    <n v="5.3440000000000003"/>
    <n v="112.224"/>
    <s v="1/20/2019"/>
    <d v="1899-12-30T20:38:00"/>
    <s v="Ewallet"/>
    <n v="106.88"/>
    <n v="4.7619047620000003"/>
    <n v="5.3440000000000003"/>
    <n v="4.0999999999999996"/>
    <d v="2019-01-20T00:00:00"/>
    <x v="0"/>
    <x v="2"/>
    <x v="7"/>
    <x v="2"/>
  </r>
  <r>
    <s v="638-60-7125"/>
    <x v="0"/>
    <s v="Yangon"/>
    <s v="Normal"/>
    <s v="Female"/>
    <x v="1"/>
    <n v="99.56"/>
    <n v="8"/>
    <n v="39.823999999999998"/>
    <n v="836.30399999999997"/>
    <s v="2/14/2019"/>
    <d v="1899-12-30T17:03:00"/>
    <s v="Credit card"/>
    <n v="796.48"/>
    <n v="4.7619047620000003"/>
    <n v="39.823999999999998"/>
    <n v="5.2"/>
    <d v="2019-02-14T00:00:00"/>
    <x v="2"/>
    <x v="6"/>
    <x v="25"/>
    <x v="4"/>
  </r>
  <r>
    <s v="659-36-1684"/>
    <x v="1"/>
    <s v="Naypyitaw"/>
    <s v="Member"/>
    <s v="Male"/>
    <x v="3"/>
    <n v="57.12"/>
    <n v="7"/>
    <n v="19.992000000000001"/>
    <n v="419.83199999999999"/>
    <d v="2019-12-01T00:00:00"/>
    <d v="1899-12-30T12:02:00"/>
    <s v="Credit card"/>
    <n v="399.84"/>
    <n v="4.7619047620000003"/>
    <n v="19.992000000000001"/>
    <n v="6.5"/>
    <d v="2019-01-12T00:00:00"/>
    <x v="0"/>
    <x v="10"/>
    <x v="10"/>
    <x v="0"/>
  </r>
  <r>
    <s v="219-22-9386"/>
    <x v="2"/>
    <s v="Mandalay"/>
    <s v="Member"/>
    <s v="Male"/>
    <x v="3"/>
    <n v="99.96"/>
    <n v="9"/>
    <n v="44.981999999999999"/>
    <n v="944.62199999999996"/>
    <d v="2019-09-03T00:00:00"/>
    <d v="1899-12-30T17:26:00"/>
    <s v="Credit card"/>
    <n v="899.64"/>
    <n v="4.7619047620000003"/>
    <n v="44.981999999999999"/>
    <n v="4.2"/>
    <d v="2019-03-09T00:00:00"/>
    <x v="1"/>
    <x v="6"/>
    <x v="9"/>
    <x v="0"/>
  </r>
  <r>
    <s v="336-78-2147"/>
    <x v="1"/>
    <s v="Naypyitaw"/>
    <s v="Member"/>
    <s v="Male"/>
    <x v="2"/>
    <n v="63.91"/>
    <n v="8"/>
    <n v="25.564"/>
    <n v="536.84400000000005"/>
    <s v="3/13/2019"/>
    <d v="1899-12-30T19:52:00"/>
    <s v="Credit card"/>
    <n v="511.28"/>
    <n v="4.7619047620000003"/>
    <n v="25.564"/>
    <n v="4.5999999999999996"/>
    <d v="2019-03-13T00:00:00"/>
    <x v="1"/>
    <x v="8"/>
    <x v="26"/>
    <x v="6"/>
  </r>
  <r>
    <s v="268-27-6179"/>
    <x v="2"/>
    <s v="Mandalay"/>
    <s v="Member"/>
    <s v="Female"/>
    <x v="5"/>
    <n v="56.47"/>
    <n v="8"/>
    <n v="22.588000000000001"/>
    <n v="474.34800000000001"/>
    <d v="2019-09-03T00:00:00"/>
    <d v="1899-12-30T14:57:00"/>
    <s v="Ewallet"/>
    <n v="451.76"/>
    <n v="4.7619047620000003"/>
    <n v="22.588000000000001"/>
    <n v="7.3"/>
    <d v="2019-03-09T00:00:00"/>
    <x v="1"/>
    <x v="4"/>
    <x v="9"/>
    <x v="0"/>
  </r>
  <r>
    <s v="668-90-8900"/>
    <x v="0"/>
    <s v="Yangon"/>
    <s v="Normal"/>
    <s v="Female"/>
    <x v="2"/>
    <n v="93.69"/>
    <n v="7"/>
    <n v="32.791499999999999"/>
    <n v="688.62149999999997"/>
    <d v="2019-10-03T00:00:00"/>
    <d v="1899-12-30T18:44:00"/>
    <s v="Credit card"/>
    <n v="655.83"/>
    <n v="4.7619047620000003"/>
    <n v="32.791499999999999"/>
    <n v="4.5"/>
    <d v="2019-03-10T00:00:00"/>
    <x v="1"/>
    <x v="3"/>
    <x v="6"/>
    <x v="2"/>
  </r>
  <r>
    <s v="870-54-3162"/>
    <x v="0"/>
    <s v="Yangon"/>
    <s v="Normal"/>
    <s v="Female"/>
    <x v="3"/>
    <n v="32.25"/>
    <n v="5"/>
    <n v="8.0625"/>
    <n v="169.3125"/>
    <s v="1/27/2019"/>
    <d v="1899-12-30T13:26:00"/>
    <s v="Cash"/>
    <n v="161.25"/>
    <n v="4.7619047620000003"/>
    <n v="8.0625"/>
    <n v="9"/>
    <d v="2019-01-27T00:00:00"/>
    <x v="0"/>
    <x v="0"/>
    <x v="3"/>
    <x v="2"/>
  </r>
  <r>
    <s v="189-08-9157"/>
    <x v="1"/>
    <s v="Naypyitaw"/>
    <s v="Normal"/>
    <s v="Female"/>
    <x v="5"/>
    <n v="31.73"/>
    <n v="9"/>
    <n v="14.278499999999999"/>
    <n v="299.8485"/>
    <d v="2019-08-01T00:00:00"/>
    <d v="1899-12-30T16:17:00"/>
    <s v="Credit card"/>
    <n v="285.57"/>
    <n v="4.7619047620000003"/>
    <n v="14.278499999999999"/>
    <n v="5.9"/>
    <d v="2019-01-08T00:00:00"/>
    <x v="0"/>
    <x v="7"/>
    <x v="1"/>
    <x v="5"/>
  </r>
  <r>
    <s v="663-86-9076"/>
    <x v="1"/>
    <s v="Naypyitaw"/>
    <s v="Member"/>
    <s v="Female"/>
    <x v="4"/>
    <n v="68.540000000000006"/>
    <n v="8"/>
    <n v="27.416"/>
    <n v="575.73599999999999"/>
    <d v="2019-08-01T00:00:00"/>
    <d v="1899-12-30T15:57:00"/>
    <s v="Ewallet"/>
    <n v="548.32000000000005"/>
    <n v="4.7619047620000003"/>
    <n v="27.416"/>
    <n v="8.5"/>
    <d v="2019-01-08T00:00:00"/>
    <x v="0"/>
    <x v="9"/>
    <x v="1"/>
    <x v="5"/>
  </r>
  <r>
    <s v="549-84-7482"/>
    <x v="2"/>
    <s v="Mandalay"/>
    <s v="Normal"/>
    <s v="Female"/>
    <x v="3"/>
    <n v="90.28"/>
    <n v="9"/>
    <n v="40.625999999999998"/>
    <n v="853.14599999999996"/>
    <d v="2019-08-02T00:00:00"/>
    <d v="1899-12-30T11:15:00"/>
    <s v="Ewallet"/>
    <n v="812.52"/>
    <n v="4.7619047620000003"/>
    <n v="40.625999999999998"/>
    <n v="7.2"/>
    <d v="2019-02-08T00:00:00"/>
    <x v="2"/>
    <x v="5"/>
    <x v="1"/>
    <x v="1"/>
  </r>
  <r>
    <s v="191-10-6171"/>
    <x v="2"/>
    <s v="Mandalay"/>
    <s v="Normal"/>
    <s v="Female"/>
    <x v="5"/>
    <n v="39.619999999999997"/>
    <n v="7"/>
    <n v="13.867000000000001"/>
    <n v="291.20699999999999"/>
    <s v="1/25/2019"/>
    <d v="1899-12-30T13:18:00"/>
    <s v="Cash"/>
    <n v="277.33999999999997"/>
    <n v="4.7619047620000003"/>
    <n v="13.867000000000001"/>
    <n v="7.5"/>
    <d v="2019-01-25T00:00:00"/>
    <x v="0"/>
    <x v="0"/>
    <x v="4"/>
    <x v="1"/>
  </r>
  <r>
    <s v="802-70-5316"/>
    <x v="0"/>
    <s v="Yangon"/>
    <s v="Member"/>
    <s v="Female"/>
    <x v="3"/>
    <n v="92.13"/>
    <n v="6"/>
    <n v="27.638999999999999"/>
    <n v="580.41899999999998"/>
    <d v="2019-06-03T00:00:00"/>
    <d v="1899-12-30T20:34:00"/>
    <s v="Cash"/>
    <n v="552.78"/>
    <n v="4.7619047620000003"/>
    <n v="27.638999999999999"/>
    <n v="8.3000000000000007"/>
    <d v="2019-03-06T00:00:00"/>
    <x v="1"/>
    <x v="2"/>
    <x v="20"/>
    <x v="6"/>
  </r>
  <r>
    <s v="695-51-0018"/>
    <x v="2"/>
    <s v="Mandalay"/>
    <s v="Normal"/>
    <s v="Female"/>
    <x v="3"/>
    <n v="34.840000000000003"/>
    <n v="4"/>
    <n v="6.968"/>
    <n v="146.328"/>
    <d v="2019-10-02T00:00:00"/>
    <d v="1899-12-30T18:36:00"/>
    <s v="Cash"/>
    <n v="139.36000000000001"/>
    <n v="4.7619047620000003"/>
    <n v="6.968"/>
    <n v="7.4"/>
    <d v="2019-02-10T00:00:00"/>
    <x v="2"/>
    <x v="3"/>
    <x v="6"/>
    <x v="2"/>
  </r>
  <r>
    <s v="590-83-4591"/>
    <x v="2"/>
    <s v="Mandalay"/>
    <s v="Member"/>
    <s v="Male"/>
    <x v="1"/>
    <n v="87.45"/>
    <n v="6"/>
    <n v="26.234999999999999"/>
    <n v="550.93499999999995"/>
    <s v="2/17/2019"/>
    <d v="1899-12-30T14:40:00"/>
    <s v="Credit card"/>
    <n v="524.70000000000005"/>
    <n v="4.7619047620000003"/>
    <n v="26.234999999999999"/>
    <n v="8.8000000000000007"/>
    <d v="2019-02-17T00:00:00"/>
    <x v="2"/>
    <x v="4"/>
    <x v="17"/>
    <x v="2"/>
  </r>
  <r>
    <s v="483-71-1164"/>
    <x v="1"/>
    <s v="Naypyitaw"/>
    <s v="Normal"/>
    <s v="Female"/>
    <x v="0"/>
    <n v="81.3"/>
    <n v="6"/>
    <n v="24.39"/>
    <n v="512.19000000000005"/>
    <d v="2019-08-03T00:00:00"/>
    <d v="1899-12-30T16:43:00"/>
    <s v="Ewallet"/>
    <n v="487.8"/>
    <n v="4.7619047620000003"/>
    <n v="24.39"/>
    <n v="5.3"/>
    <d v="2019-03-08T00:00:00"/>
    <x v="1"/>
    <x v="7"/>
    <x v="1"/>
    <x v="1"/>
  </r>
  <r>
    <s v="597-78-7908"/>
    <x v="1"/>
    <s v="Naypyitaw"/>
    <s v="Normal"/>
    <s v="Male"/>
    <x v="5"/>
    <n v="90.22"/>
    <n v="3"/>
    <n v="13.532999999999999"/>
    <n v="284.19299999999998"/>
    <s v="2/18/2019"/>
    <d v="1899-12-30T19:39:00"/>
    <s v="Cash"/>
    <n v="270.66000000000003"/>
    <n v="4.7619047620000003"/>
    <n v="13.532999999999999"/>
    <n v="6.2"/>
    <d v="2019-02-18T00:00:00"/>
    <x v="2"/>
    <x v="8"/>
    <x v="28"/>
    <x v="3"/>
  </r>
  <r>
    <s v="700-81-1757"/>
    <x v="0"/>
    <s v="Yangon"/>
    <s v="Normal"/>
    <s v="Female"/>
    <x v="1"/>
    <n v="26.31"/>
    <n v="5"/>
    <n v="6.5774999999999997"/>
    <n v="138.1275"/>
    <s v="1/18/2019"/>
    <d v="1899-12-30T20:59:00"/>
    <s v="Credit card"/>
    <n v="131.55000000000001"/>
    <n v="4.7619047620000003"/>
    <n v="6.5774999999999997"/>
    <n v="8.8000000000000007"/>
    <d v="2019-01-18T00:00:00"/>
    <x v="0"/>
    <x v="2"/>
    <x v="28"/>
    <x v="1"/>
  </r>
  <r>
    <s v="354-39-5160"/>
    <x v="0"/>
    <s v="Yangon"/>
    <s v="Member"/>
    <s v="Female"/>
    <x v="2"/>
    <n v="34.42"/>
    <n v="6"/>
    <n v="10.326000000000001"/>
    <n v="216.846"/>
    <s v="2/18/2019"/>
    <d v="1899-12-30T15:39:00"/>
    <s v="Cash"/>
    <n v="206.52"/>
    <n v="4.7619047620000003"/>
    <n v="10.326000000000001"/>
    <n v="9.8000000000000007"/>
    <d v="2019-02-18T00:00:00"/>
    <x v="2"/>
    <x v="9"/>
    <x v="28"/>
    <x v="3"/>
  </r>
  <r>
    <s v="241-72-9525"/>
    <x v="2"/>
    <s v="Mandalay"/>
    <s v="Normal"/>
    <s v="Male"/>
    <x v="3"/>
    <n v="51.91"/>
    <n v="10"/>
    <n v="25.954999999999998"/>
    <n v="545.05499999999995"/>
    <s v="2/16/2019"/>
    <d v="1899-12-30T12:21:00"/>
    <s v="Cash"/>
    <n v="519.1"/>
    <n v="4.7619047620000003"/>
    <n v="25.954999999999998"/>
    <n v="8.1999999999999993"/>
    <d v="2019-02-16T00:00:00"/>
    <x v="2"/>
    <x v="10"/>
    <x v="23"/>
    <x v="0"/>
  </r>
  <r>
    <s v="575-30-8091"/>
    <x v="0"/>
    <s v="Yangon"/>
    <s v="Normal"/>
    <s v="Male"/>
    <x v="3"/>
    <n v="72.5"/>
    <n v="8"/>
    <n v="29"/>
    <n v="609"/>
    <s v="3/16/2019"/>
    <d v="1899-12-30T19:25:00"/>
    <s v="Ewallet"/>
    <n v="580"/>
    <n v="4.7619047620000003"/>
    <n v="29"/>
    <n v="9.1999999999999993"/>
    <d v="2019-03-16T00:00:00"/>
    <x v="1"/>
    <x v="8"/>
    <x v="23"/>
    <x v="0"/>
  </r>
  <r>
    <s v="731-81-9469"/>
    <x v="1"/>
    <s v="Naypyitaw"/>
    <s v="Member"/>
    <s v="Female"/>
    <x v="3"/>
    <n v="89.8"/>
    <n v="10"/>
    <n v="44.9"/>
    <n v="942.9"/>
    <s v="1/23/2019"/>
    <d v="1899-12-30T13:00:00"/>
    <s v="Credit card"/>
    <n v="898"/>
    <n v="4.7619047620000003"/>
    <n v="44.9"/>
    <n v="5.4"/>
    <d v="2019-01-23T00:00:00"/>
    <x v="0"/>
    <x v="0"/>
    <x v="21"/>
    <x v="6"/>
  </r>
  <r>
    <s v="280-17-4359"/>
    <x v="1"/>
    <s v="Naypyitaw"/>
    <s v="Member"/>
    <s v="Male"/>
    <x v="0"/>
    <n v="90.5"/>
    <n v="10"/>
    <n v="45.25"/>
    <n v="950.25"/>
    <s v="1/25/2019"/>
    <d v="1899-12-30T13:48:00"/>
    <s v="Cash"/>
    <n v="905"/>
    <n v="4.7619047620000003"/>
    <n v="45.25"/>
    <n v="8.1"/>
    <d v="2019-01-25T00:00:00"/>
    <x v="0"/>
    <x v="0"/>
    <x v="4"/>
    <x v="1"/>
  </r>
  <r>
    <s v="338-65-2210"/>
    <x v="1"/>
    <s v="Naypyitaw"/>
    <s v="Member"/>
    <s v="Female"/>
    <x v="0"/>
    <n v="68.599999999999994"/>
    <n v="10"/>
    <n v="34.299999999999997"/>
    <n v="720.3"/>
    <d v="2019-05-02T00:00:00"/>
    <d v="1899-12-30T19:57:00"/>
    <s v="Cash"/>
    <n v="686"/>
    <n v="4.7619047620000003"/>
    <n v="34.299999999999997"/>
    <n v="9.1"/>
    <d v="2019-02-05T00:00:00"/>
    <x v="2"/>
    <x v="8"/>
    <x v="0"/>
    <x v="5"/>
  </r>
  <r>
    <s v="488-25-4221"/>
    <x v="1"/>
    <s v="Naypyitaw"/>
    <s v="Member"/>
    <s v="Female"/>
    <x v="4"/>
    <n v="30.41"/>
    <n v="1"/>
    <n v="1.5205"/>
    <n v="31.930499999999999"/>
    <s v="2/22/2019"/>
    <d v="1899-12-30T10:36:00"/>
    <s v="Credit card"/>
    <n v="30.41"/>
    <n v="4.7619047620000003"/>
    <n v="1.5205"/>
    <n v="8.4"/>
    <d v="2019-02-22T00:00:00"/>
    <x v="2"/>
    <x v="1"/>
    <x v="18"/>
    <x v="1"/>
  </r>
  <r>
    <s v="239-10-7476"/>
    <x v="0"/>
    <s v="Yangon"/>
    <s v="Normal"/>
    <s v="Female"/>
    <x v="2"/>
    <n v="77.95"/>
    <n v="6"/>
    <n v="23.385000000000002"/>
    <n v="491.08499999999998"/>
    <s v="1/21/2019"/>
    <d v="1899-12-30T16:37:00"/>
    <s v="Ewallet"/>
    <n v="467.7"/>
    <n v="4.7619047620000003"/>
    <n v="23.385000000000002"/>
    <n v="8"/>
    <d v="2019-01-21T00:00:00"/>
    <x v="0"/>
    <x v="7"/>
    <x v="16"/>
    <x v="3"/>
  </r>
  <r>
    <s v="458-41-1477"/>
    <x v="1"/>
    <s v="Naypyitaw"/>
    <s v="Normal"/>
    <s v="Female"/>
    <x v="0"/>
    <n v="46.26"/>
    <n v="6"/>
    <n v="13.878"/>
    <n v="291.43799999999999"/>
    <d v="2019-08-03T00:00:00"/>
    <d v="1899-12-30T17:11:00"/>
    <s v="Credit card"/>
    <n v="277.56"/>
    <n v="4.7619047620000003"/>
    <n v="13.878"/>
    <n v="9.5"/>
    <d v="2019-03-08T00:00:00"/>
    <x v="1"/>
    <x v="6"/>
    <x v="1"/>
    <x v="1"/>
  </r>
  <r>
    <s v="685-64-1609"/>
    <x v="0"/>
    <s v="Yangon"/>
    <s v="Member"/>
    <s v="Female"/>
    <x v="5"/>
    <n v="30.14"/>
    <n v="10"/>
    <n v="15.07"/>
    <n v="316.47000000000003"/>
    <d v="2019-10-02T00:00:00"/>
    <d v="1899-12-30T12:28:00"/>
    <s v="Ewallet"/>
    <n v="301.39999999999998"/>
    <n v="4.7619047620000003"/>
    <n v="15.07"/>
    <n v="9.1999999999999993"/>
    <d v="2019-02-10T00:00:00"/>
    <x v="2"/>
    <x v="10"/>
    <x v="6"/>
    <x v="2"/>
  </r>
  <r>
    <s v="568-90-5112"/>
    <x v="1"/>
    <s v="Naypyitaw"/>
    <s v="Normal"/>
    <s v="Male"/>
    <x v="0"/>
    <n v="66.14"/>
    <n v="4"/>
    <n v="13.228"/>
    <n v="277.78800000000001"/>
    <s v="3/19/2019"/>
    <d v="1899-12-30T12:46:00"/>
    <s v="Credit card"/>
    <n v="264.56"/>
    <n v="4.7619047620000003"/>
    <n v="13.228"/>
    <n v="5.6"/>
    <d v="2019-03-19T00:00:00"/>
    <x v="1"/>
    <x v="10"/>
    <x v="24"/>
    <x v="5"/>
  </r>
  <r>
    <s v="262-47-2794"/>
    <x v="2"/>
    <s v="Mandalay"/>
    <s v="Member"/>
    <s v="Male"/>
    <x v="2"/>
    <n v="71.86"/>
    <n v="8"/>
    <n v="28.744"/>
    <n v="603.62400000000002"/>
    <d v="2019-06-03T00:00:00"/>
    <d v="1899-12-30T15:07:00"/>
    <s v="Credit card"/>
    <n v="574.88"/>
    <n v="4.7619047620000003"/>
    <n v="28.744"/>
    <n v="6.2"/>
    <d v="2019-03-06T00:00:00"/>
    <x v="1"/>
    <x v="9"/>
    <x v="20"/>
    <x v="6"/>
  </r>
  <r>
    <s v="238-49-0436"/>
    <x v="0"/>
    <s v="Yangon"/>
    <s v="Normal"/>
    <s v="Male"/>
    <x v="0"/>
    <n v="32.46"/>
    <n v="8"/>
    <n v="12.984"/>
    <n v="272.66399999999999"/>
    <s v="3/27/2019"/>
    <d v="1899-12-30T13:48:00"/>
    <s v="Credit card"/>
    <n v="259.68"/>
    <n v="4.7619047620000003"/>
    <n v="12.984"/>
    <n v="4.9000000000000004"/>
    <d v="2019-03-27T00:00:00"/>
    <x v="1"/>
    <x v="0"/>
    <x v="3"/>
    <x v="6"/>
  </r>
  <r>
    <s v="608-96-3517"/>
    <x v="2"/>
    <s v="Mandalay"/>
    <s v="Member"/>
    <s v="Female"/>
    <x v="5"/>
    <n v="91.54"/>
    <n v="4"/>
    <n v="18.308"/>
    <n v="384.46800000000002"/>
    <s v="3/23/2019"/>
    <d v="1899-12-30T19:20:00"/>
    <s v="Credit card"/>
    <n v="366.16"/>
    <n v="4.7619047620000003"/>
    <n v="18.308"/>
    <n v="4.8"/>
    <d v="2019-03-23T00:00:00"/>
    <x v="1"/>
    <x v="8"/>
    <x v="21"/>
    <x v="0"/>
  </r>
  <r>
    <s v="584-86-7256"/>
    <x v="1"/>
    <s v="Naypyitaw"/>
    <s v="Member"/>
    <s v="Male"/>
    <x v="3"/>
    <n v="34.56"/>
    <n v="7"/>
    <n v="12.096"/>
    <n v="254.01599999999999"/>
    <d v="2019-11-03T00:00:00"/>
    <d v="1899-12-30T16:07:00"/>
    <s v="Credit card"/>
    <n v="241.92"/>
    <n v="4.7619047620000003"/>
    <n v="12.096"/>
    <n v="7.3"/>
    <d v="2019-03-11T00:00:00"/>
    <x v="1"/>
    <x v="7"/>
    <x v="14"/>
    <x v="3"/>
  </r>
  <r>
    <s v="746-94-0204"/>
    <x v="0"/>
    <s v="Yangon"/>
    <s v="Normal"/>
    <s v="Male"/>
    <x v="5"/>
    <n v="83.24"/>
    <n v="9"/>
    <n v="37.457999999999998"/>
    <n v="786.61800000000005"/>
    <s v="1/29/2019"/>
    <d v="1899-12-30T11:56:00"/>
    <s v="Credit card"/>
    <n v="749.16"/>
    <n v="4.7619047620000003"/>
    <n v="37.457999999999998"/>
    <n v="7.4"/>
    <d v="2019-01-29T00:00:00"/>
    <x v="0"/>
    <x v="5"/>
    <x v="12"/>
    <x v="5"/>
  </r>
  <r>
    <s v="214-17-6927"/>
    <x v="1"/>
    <s v="Naypyitaw"/>
    <s v="Normal"/>
    <s v="Female"/>
    <x v="4"/>
    <n v="16.48"/>
    <n v="6"/>
    <n v="4.944"/>
    <n v="103.824"/>
    <d v="2019-07-02T00:00:00"/>
    <d v="1899-12-30T18:23:00"/>
    <s v="Ewallet"/>
    <n v="98.88"/>
    <n v="4.7619047620000003"/>
    <n v="4.944"/>
    <n v="9.9"/>
    <d v="2019-02-07T00:00:00"/>
    <x v="2"/>
    <x v="3"/>
    <x v="11"/>
    <x v="4"/>
  </r>
  <r>
    <s v="400-89-4171"/>
    <x v="1"/>
    <s v="Naypyitaw"/>
    <s v="Normal"/>
    <s v="Female"/>
    <x v="3"/>
    <n v="80.97"/>
    <n v="8"/>
    <n v="32.387999999999998"/>
    <n v="680.14800000000002"/>
    <s v="1/28/2019"/>
    <d v="1899-12-30T13:05:00"/>
    <s v="Cash"/>
    <n v="647.76"/>
    <n v="4.7619047620000003"/>
    <n v="32.387999999999998"/>
    <n v="9.3000000000000007"/>
    <d v="2019-01-28T00:00:00"/>
    <x v="0"/>
    <x v="0"/>
    <x v="19"/>
    <x v="3"/>
  </r>
  <r>
    <s v="782-95-9291"/>
    <x v="0"/>
    <s v="Yangon"/>
    <s v="Member"/>
    <s v="Male"/>
    <x v="4"/>
    <n v="92.29"/>
    <n v="5"/>
    <n v="23.072500000000002"/>
    <n v="484.52249999999998"/>
    <s v="2/20/2019"/>
    <d v="1899-12-30T15:55:00"/>
    <s v="Credit card"/>
    <n v="461.45"/>
    <n v="4.7619047620000003"/>
    <n v="23.072500000000002"/>
    <n v="9"/>
    <d v="2019-02-20T00:00:00"/>
    <x v="2"/>
    <x v="9"/>
    <x v="7"/>
    <x v="6"/>
  </r>
  <r>
    <s v="279-74-2924"/>
    <x v="2"/>
    <s v="Mandalay"/>
    <s v="Member"/>
    <s v="Male"/>
    <x v="1"/>
    <n v="72.17"/>
    <n v="1"/>
    <n v="3.6084999999999998"/>
    <n v="75.778499999999994"/>
    <d v="2019-04-01T00:00:00"/>
    <d v="1899-12-30T19:40:00"/>
    <s v="Cash"/>
    <n v="72.17"/>
    <n v="4.7619047620000003"/>
    <n v="3.6084999999999998"/>
    <n v="6.1"/>
    <d v="2019-01-04T00:00:00"/>
    <x v="0"/>
    <x v="8"/>
    <x v="22"/>
    <x v="1"/>
  </r>
  <r>
    <s v="307-85-2293"/>
    <x v="2"/>
    <s v="Mandalay"/>
    <s v="Normal"/>
    <s v="Male"/>
    <x v="2"/>
    <n v="50.28"/>
    <n v="5"/>
    <n v="12.57"/>
    <n v="263.97000000000003"/>
    <d v="2019-07-03T00:00:00"/>
    <d v="1899-12-30T13:58:00"/>
    <s v="Ewallet"/>
    <n v="251.4"/>
    <n v="4.7619047620000003"/>
    <n v="12.57"/>
    <n v="9.6999999999999993"/>
    <d v="2019-03-07T00:00:00"/>
    <x v="1"/>
    <x v="0"/>
    <x v="11"/>
    <x v="4"/>
  </r>
  <r>
    <s v="743-04-1105"/>
    <x v="2"/>
    <s v="Mandalay"/>
    <s v="Member"/>
    <s v="Male"/>
    <x v="0"/>
    <n v="97.22"/>
    <n v="9"/>
    <n v="43.749000000000002"/>
    <n v="918.72900000000004"/>
    <s v="3/30/2019"/>
    <d v="1899-12-30T14:43:00"/>
    <s v="Ewallet"/>
    <n v="874.98"/>
    <n v="4.7619047620000003"/>
    <n v="43.749000000000002"/>
    <n v="6"/>
    <d v="2019-03-30T00:00:00"/>
    <x v="1"/>
    <x v="4"/>
    <x v="29"/>
    <x v="0"/>
  </r>
  <r>
    <s v="423-57-2993"/>
    <x v="2"/>
    <s v="Mandalay"/>
    <s v="Normal"/>
    <s v="Male"/>
    <x v="3"/>
    <n v="93.39"/>
    <n v="6"/>
    <n v="28.016999999999999"/>
    <n v="588.35699999999997"/>
    <s v="3/27/2019"/>
    <d v="1899-12-30T19:18:00"/>
    <s v="Ewallet"/>
    <n v="560.34"/>
    <n v="4.7619047620000003"/>
    <n v="28.016999999999999"/>
    <n v="10"/>
    <d v="2019-03-27T00:00:00"/>
    <x v="1"/>
    <x v="8"/>
    <x v="3"/>
    <x v="6"/>
  </r>
  <r>
    <s v="894-41-5205"/>
    <x v="1"/>
    <s v="Naypyitaw"/>
    <s v="Normal"/>
    <s v="Female"/>
    <x v="4"/>
    <n v="43.18"/>
    <n v="8"/>
    <n v="17.271999999999998"/>
    <n v="362.71199999999999"/>
    <s v="1/19/2019"/>
    <d v="1899-12-30T19:39:00"/>
    <s v="Credit card"/>
    <n v="345.44"/>
    <n v="4.7619047620000003"/>
    <n v="17.271999999999998"/>
    <n v="8.3000000000000007"/>
    <d v="2019-01-19T00:00:00"/>
    <x v="0"/>
    <x v="8"/>
    <x v="24"/>
    <x v="0"/>
  </r>
  <r>
    <s v="275-28-0149"/>
    <x v="0"/>
    <s v="Yangon"/>
    <s v="Normal"/>
    <s v="Male"/>
    <x v="3"/>
    <n v="63.69"/>
    <n v="1"/>
    <n v="3.1844999999999999"/>
    <n v="66.874499999999998"/>
    <s v="2/25/2019"/>
    <d v="1899-12-30T16:21:00"/>
    <s v="Cash"/>
    <n v="63.69"/>
    <n v="4.7619047620000003"/>
    <n v="3.1844999999999999"/>
    <n v="6"/>
    <d v="2019-02-25T00:00:00"/>
    <x v="2"/>
    <x v="7"/>
    <x v="4"/>
    <x v="3"/>
  </r>
  <r>
    <s v="101-17-6199"/>
    <x v="0"/>
    <s v="Yangon"/>
    <s v="Normal"/>
    <s v="Male"/>
    <x v="4"/>
    <n v="45.79"/>
    <n v="7"/>
    <n v="16.026499999999999"/>
    <n v="336.55650000000003"/>
    <s v="3/13/2019"/>
    <d v="1899-12-30T19:44:00"/>
    <s v="Credit card"/>
    <n v="320.52999999999997"/>
    <n v="4.7619047620000003"/>
    <n v="16.026499999999999"/>
    <n v="7"/>
    <d v="2019-03-13T00:00:00"/>
    <x v="1"/>
    <x v="8"/>
    <x v="26"/>
    <x v="6"/>
  </r>
  <r>
    <s v="423-80-0988"/>
    <x v="1"/>
    <s v="Naypyitaw"/>
    <s v="Normal"/>
    <s v="Male"/>
    <x v="3"/>
    <n v="76.400000000000006"/>
    <n v="2"/>
    <n v="7.64"/>
    <n v="160.44"/>
    <s v="1/30/2019"/>
    <d v="1899-12-30T19:42:00"/>
    <s v="Ewallet"/>
    <n v="152.80000000000001"/>
    <n v="4.7619047620000003"/>
    <n v="7.64"/>
    <n v="6.5"/>
    <d v="2019-01-30T00:00:00"/>
    <x v="0"/>
    <x v="8"/>
    <x v="29"/>
    <x v="6"/>
  </r>
  <r>
    <s v="548-46-9322"/>
    <x v="2"/>
    <s v="Mandalay"/>
    <s v="Normal"/>
    <s v="Male"/>
    <x v="4"/>
    <n v="39.9"/>
    <n v="10"/>
    <n v="19.95"/>
    <n v="418.95"/>
    <s v="2/20/2019"/>
    <d v="1899-12-30T15:24:00"/>
    <s v="Credit card"/>
    <n v="399"/>
    <n v="4.7619047620000003"/>
    <n v="19.95"/>
    <n v="5.9"/>
    <d v="2019-02-20T00:00:00"/>
    <x v="2"/>
    <x v="9"/>
    <x v="7"/>
    <x v="6"/>
  </r>
  <r>
    <s v="505-02-0892"/>
    <x v="2"/>
    <s v="Mandalay"/>
    <s v="Member"/>
    <s v="Male"/>
    <x v="0"/>
    <n v="42.57"/>
    <n v="8"/>
    <n v="17.027999999999999"/>
    <n v="357.58800000000002"/>
    <s v="2/25/2019"/>
    <d v="1899-12-30T14:12:00"/>
    <s v="Ewallet"/>
    <n v="340.56"/>
    <n v="4.7619047620000003"/>
    <n v="17.027999999999999"/>
    <n v="5.6"/>
    <d v="2019-02-25T00:00:00"/>
    <x v="2"/>
    <x v="4"/>
    <x v="4"/>
    <x v="3"/>
  </r>
  <r>
    <s v="234-65-2137"/>
    <x v="1"/>
    <s v="Naypyitaw"/>
    <s v="Normal"/>
    <s v="Male"/>
    <x v="2"/>
    <n v="95.58"/>
    <n v="10"/>
    <n v="47.79"/>
    <n v="1003.59"/>
    <s v="1/16/2019"/>
    <d v="1899-12-30T13:32:00"/>
    <s v="Cash"/>
    <n v="955.8"/>
    <n v="4.7619047620000003"/>
    <n v="47.79"/>
    <n v="4.8"/>
    <d v="2019-01-16T00:00:00"/>
    <x v="0"/>
    <x v="0"/>
    <x v="23"/>
    <x v="6"/>
  </r>
  <r>
    <s v="687-47-8271"/>
    <x v="0"/>
    <s v="Yangon"/>
    <s v="Normal"/>
    <s v="Male"/>
    <x v="5"/>
    <n v="98.98"/>
    <n v="10"/>
    <n v="49.49"/>
    <n v="1039.29"/>
    <d v="2019-08-02T00:00:00"/>
    <d v="1899-12-30T16:20:00"/>
    <s v="Credit card"/>
    <n v="989.8"/>
    <n v="4.7619047620000003"/>
    <n v="49.49"/>
    <n v="8.6999999999999993"/>
    <d v="2019-02-08T00:00:00"/>
    <x v="2"/>
    <x v="7"/>
    <x v="1"/>
    <x v="1"/>
  </r>
  <r>
    <s v="796-32-9050"/>
    <x v="0"/>
    <s v="Yangon"/>
    <s v="Normal"/>
    <s v="Male"/>
    <x v="4"/>
    <n v="51.28"/>
    <n v="6"/>
    <n v="15.384"/>
    <n v="323.06400000000002"/>
    <s v="1/19/2019"/>
    <d v="1899-12-30T16:31:00"/>
    <s v="Cash"/>
    <n v="307.68"/>
    <n v="4.7619047620000003"/>
    <n v="15.384"/>
    <n v="6.5"/>
    <d v="2019-01-19T00:00:00"/>
    <x v="0"/>
    <x v="7"/>
    <x v="24"/>
    <x v="0"/>
  </r>
  <r>
    <s v="105-31-1824"/>
    <x v="0"/>
    <s v="Yangon"/>
    <s v="Member"/>
    <s v="Male"/>
    <x v="3"/>
    <n v="69.52"/>
    <n v="7"/>
    <n v="24.332000000000001"/>
    <n v="510.97199999999998"/>
    <d v="2019-01-02T00:00:00"/>
    <d v="1899-12-30T15:10:00"/>
    <s v="Credit card"/>
    <n v="486.64"/>
    <n v="4.7619047620000003"/>
    <n v="24.332000000000001"/>
    <n v="8.5"/>
    <d v="2019-02-01T00:00:00"/>
    <x v="2"/>
    <x v="9"/>
    <x v="15"/>
    <x v="1"/>
  </r>
  <r>
    <s v="249-42-3782"/>
    <x v="0"/>
    <s v="Yangon"/>
    <s v="Normal"/>
    <s v="Male"/>
    <x v="0"/>
    <n v="70.010000000000005"/>
    <n v="5"/>
    <n v="17.502500000000001"/>
    <n v="367.55250000000001"/>
    <d v="2019-03-01T00:00:00"/>
    <d v="1899-12-30T11:36:00"/>
    <s v="Ewallet"/>
    <n v="350.05"/>
    <n v="4.7619047620000003"/>
    <n v="17.502500000000001"/>
    <n v="5.5"/>
    <d v="2019-01-03T00:00:00"/>
    <x v="0"/>
    <x v="5"/>
    <x v="2"/>
    <x v="4"/>
  </r>
  <r>
    <s v="316-55-4634"/>
    <x v="2"/>
    <s v="Mandalay"/>
    <s v="Member"/>
    <s v="Male"/>
    <x v="4"/>
    <n v="80.05"/>
    <n v="5"/>
    <n v="20.012499999999999"/>
    <n v="420.26249999999999"/>
    <s v="1/26/2019"/>
    <d v="1899-12-30T12:45:00"/>
    <s v="Credit card"/>
    <n v="400.25"/>
    <n v="4.7619047620000003"/>
    <n v="20.012499999999999"/>
    <n v="9.4"/>
    <d v="2019-01-26T00:00:00"/>
    <x v="0"/>
    <x v="10"/>
    <x v="27"/>
    <x v="0"/>
  </r>
  <r>
    <s v="733-33-4967"/>
    <x v="1"/>
    <s v="Naypyitaw"/>
    <s v="Normal"/>
    <s v="Male"/>
    <x v="1"/>
    <n v="20.85"/>
    <n v="8"/>
    <n v="8.34"/>
    <n v="175.14"/>
    <d v="2019-03-03T00:00:00"/>
    <d v="1899-12-30T19:17:00"/>
    <s v="Cash"/>
    <n v="166.8"/>
    <n v="4.7619047620000003"/>
    <n v="8.34"/>
    <n v="6.3"/>
    <d v="2019-03-03T00:00:00"/>
    <x v="1"/>
    <x v="8"/>
    <x v="2"/>
    <x v="2"/>
  </r>
  <r>
    <s v="608-27-6295"/>
    <x v="2"/>
    <s v="Mandalay"/>
    <s v="Member"/>
    <s v="Male"/>
    <x v="1"/>
    <n v="52.89"/>
    <n v="6"/>
    <n v="15.867000000000001"/>
    <n v="333.20699999999999"/>
    <s v="1/19/2019"/>
    <d v="1899-12-30T17:34:00"/>
    <s v="Credit card"/>
    <n v="317.33999999999997"/>
    <n v="4.7619047620000003"/>
    <n v="15.867000000000001"/>
    <n v="9.8000000000000007"/>
    <d v="2019-01-19T00:00:00"/>
    <x v="0"/>
    <x v="6"/>
    <x v="24"/>
    <x v="0"/>
  </r>
  <r>
    <s v="414-12-7047"/>
    <x v="2"/>
    <s v="Mandalay"/>
    <s v="Normal"/>
    <s v="Male"/>
    <x v="4"/>
    <n v="19.79"/>
    <n v="8"/>
    <n v="7.9160000000000004"/>
    <n v="166.23599999999999"/>
    <s v="1/18/2019"/>
    <d v="1899-12-30T12:04:00"/>
    <s v="Ewallet"/>
    <n v="158.32"/>
    <n v="4.7619047620000003"/>
    <n v="7.9160000000000004"/>
    <n v="8.6999999999999993"/>
    <d v="2019-01-18T00:00:00"/>
    <x v="0"/>
    <x v="10"/>
    <x v="28"/>
    <x v="1"/>
  </r>
  <r>
    <s v="827-26-2100"/>
    <x v="0"/>
    <s v="Yangon"/>
    <s v="Member"/>
    <s v="Male"/>
    <x v="2"/>
    <n v="33.840000000000003"/>
    <n v="9"/>
    <n v="15.228"/>
    <n v="319.78800000000001"/>
    <s v="3/21/2019"/>
    <d v="1899-12-30T16:21:00"/>
    <s v="Ewallet"/>
    <n v="304.56"/>
    <n v="4.7619047620000003"/>
    <n v="15.228"/>
    <n v="8.8000000000000007"/>
    <d v="2019-03-21T00:00:00"/>
    <x v="1"/>
    <x v="7"/>
    <x v="16"/>
    <x v="4"/>
  </r>
  <r>
    <s v="175-54-2529"/>
    <x v="0"/>
    <s v="Yangon"/>
    <s v="Member"/>
    <s v="Male"/>
    <x v="4"/>
    <n v="22.17"/>
    <n v="8"/>
    <n v="8.8680000000000003"/>
    <n v="186.22800000000001"/>
    <d v="2019-03-03T00:00:00"/>
    <d v="1899-12-30T17:01:00"/>
    <s v="Credit card"/>
    <n v="177.36"/>
    <n v="4.7619047620000003"/>
    <n v="8.8680000000000003"/>
    <n v="9.6"/>
    <d v="2019-03-03T00:00:00"/>
    <x v="1"/>
    <x v="6"/>
    <x v="2"/>
    <x v="2"/>
  </r>
  <r>
    <s v="139-52-2867"/>
    <x v="1"/>
    <s v="Naypyitaw"/>
    <s v="Normal"/>
    <s v="Female"/>
    <x v="5"/>
    <n v="22.51"/>
    <n v="7"/>
    <n v="7.8784999999999998"/>
    <n v="165.4485"/>
    <s v="2/13/2019"/>
    <d v="1899-12-30T10:50:00"/>
    <s v="Credit card"/>
    <n v="157.57"/>
    <n v="4.7619047620000003"/>
    <n v="7.8784999999999998"/>
    <n v="4.8"/>
    <d v="2019-02-13T00:00:00"/>
    <x v="2"/>
    <x v="1"/>
    <x v="26"/>
    <x v="6"/>
  </r>
  <r>
    <s v="407-63-8975"/>
    <x v="0"/>
    <s v="Yangon"/>
    <s v="Normal"/>
    <s v="Male"/>
    <x v="4"/>
    <n v="73.88"/>
    <n v="6"/>
    <n v="22.164000000000001"/>
    <n v="465.44400000000002"/>
    <s v="3/23/2019"/>
    <d v="1899-12-30T19:16:00"/>
    <s v="Ewallet"/>
    <n v="443.28"/>
    <n v="4.7619047620000003"/>
    <n v="22.164000000000001"/>
    <n v="4.4000000000000004"/>
    <d v="2019-03-23T00:00:00"/>
    <x v="1"/>
    <x v="8"/>
    <x v="21"/>
    <x v="0"/>
  </r>
  <r>
    <s v="342-65-4817"/>
    <x v="1"/>
    <s v="Naypyitaw"/>
    <s v="Member"/>
    <s v="Male"/>
    <x v="0"/>
    <n v="86.8"/>
    <n v="3"/>
    <n v="13.02"/>
    <n v="273.42"/>
    <s v="1/28/2019"/>
    <d v="1899-12-30T16:47:00"/>
    <s v="Ewallet"/>
    <n v="260.39999999999998"/>
    <n v="4.7619047620000003"/>
    <n v="13.02"/>
    <n v="9.9"/>
    <d v="2019-01-28T00:00:00"/>
    <x v="0"/>
    <x v="7"/>
    <x v="19"/>
    <x v="3"/>
  </r>
  <r>
    <s v="130-98-8941"/>
    <x v="1"/>
    <s v="Naypyitaw"/>
    <s v="Normal"/>
    <s v="Male"/>
    <x v="5"/>
    <n v="64.260000000000005"/>
    <n v="7"/>
    <n v="22.491"/>
    <n v="472.31099999999998"/>
    <d v="2019-09-02T00:00:00"/>
    <d v="1899-12-30T10:00:00"/>
    <s v="Cash"/>
    <n v="449.82"/>
    <n v="4.7619047620000003"/>
    <n v="22.491"/>
    <n v="5.7"/>
    <d v="2019-02-09T00:00:00"/>
    <x v="2"/>
    <x v="1"/>
    <x v="9"/>
    <x v="0"/>
  </r>
  <r>
    <s v="434-83-9547"/>
    <x v="1"/>
    <s v="Naypyitaw"/>
    <s v="Member"/>
    <s v="Male"/>
    <x v="4"/>
    <n v="38.47"/>
    <n v="8"/>
    <n v="15.388"/>
    <n v="323.14800000000002"/>
    <s v="1/23/2019"/>
    <d v="1899-12-30T11:51:00"/>
    <s v="Cash"/>
    <n v="307.76"/>
    <n v="4.7619047620000003"/>
    <n v="15.388"/>
    <n v="7.7"/>
    <d v="2019-01-23T00:00:00"/>
    <x v="0"/>
    <x v="5"/>
    <x v="21"/>
    <x v="6"/>
  </r>
  <r>
    <s v="851-28-6367"/>
    <x v="0"/>
    <s v="Yangon"/>
    <s v="Member"/>
    <s v="Male"/>
    <x v="3"/>
    <n v="15.5"/>
    <n v="10"/>
    <n v="7.75"/>
    <n v="162.75"/>
    <s v="3/23/2019"/>
    <d v="1899-12-30T10:55:00"/>
    <s v="Ewallet"/>
    <n v="155"/>
    <n v="4.7619047620000003"/>
    <n v="7.75"/>
    <n v="8"/>
    <d v="2019-03-23T00:00:00"/>
    <x v="1"/>
    <x v="1"/>
    <x v="21"/>
    <x v="0"/>
  </r>
  <r>
    <s v="824-88-3614"/>
    <x v="1"/>
    <s v="Naypyitaw"/>
    <s v="Normal"/>
    <s v="Male"/>
    <x v="0"/>
    <n v="34.31"/>
    <n v="8"/>
    <n v="13.724"/>
    <n v="288.20400000000001"/>
    <s v="1/25/2019"/>
    <d v="1899-12-30T15:00:00"/>
    <s v="Ewallet"/>
    <n v="274.48"/>
    <n v="4.7619047620000003"/>
    <n v="13.724"/>
    <n v="5.7"/>
    <d v="2019-01-25T00:00:00"/>
    <x v="0"/>
    <x v="9"/>
    <x v="4"/>
    <x v="1"/>
  </r>
  <r>
    <s v="586-25-0848"/>
    <x v="0"/>
    <s v="Yangon"/>
    <s v="Normal"/>
    <s v="Female"/>
    <x v="3"/>
    <n v="12.34"/>
    <n v="7"/>
    <n v="4.319"/>
    <n v="90.698999999999998"/>
    <d v="2019-04-03T00:00:00"/>
    <d v="1899-12-30T11:19:00"/>
    <s v="Credit card"/>
    <n v="86.38"/>
    <n v="4.7619047620000003"/>
    <n v="4.319"/>
    <n v="6.7"/>
    <d v="2019-03-04T00:00:00"/>
    <x v="1"/>
    <x v="5"/>
    <x v="22"/>
    <x v="3"/>
  </r>
  <r>
    <s v="895-66-0685"/>
    <x v="2"/>
    <s v="Mandalay"/>
    <s v="Member"/>
    <s v="Male"/>
    <x v="4"/>
    <n v="18.079999999999998"/>
    <n v="3"/>
    <n v="2.7120000000000002"/>
    <n v="56.951999999999998"/>
    <d v="2019-05-03T00:00:00"/>
    <d v="1899-12-30T19:46:00"/>
    <s v="Ewallet"/>
    <n v="54.24"/>
    <n v="4.7619047620000003"/>
    <n v="2.7120000000000002"/>
    <n v="8"/>
    <d v="2019-03-05T00:00:00"/>
    <x v="1"/>
    <x v="8"/>
    <x v="0"/>
    <x v="5"/>
  </r>
  <r>
    <s v="305-14-0245"/>
    <x v="2"/>
    <s v="Mandalay"/>
    <s v="Member"/>
    <s v="Female"/>
    <x v="2"/>
    <n v="94.49"/>
    <n v="8"/>
    <n v="37.795999999999999"/>
    <n v="793.71600000000001"/>
    <d v="2019-03-03T00:00:00"/>
    <d v="1899-12-30T19:00:00"/>
    <s v="Ewallet"/>
    <n v="755.92"/>
    <n v="4.7619047620000003"/>
    <n v="37.795999999999999"/>
    <n v="7.5"/>
    <d v="2019-03-03T00:00:00"/>
    <x v="1"/>
    <x v="8"/>
    <x v="2"/>
    <x v="2"/>
  </r>
  <r>
    <s v="732-04-5373"/>
    <x v="2"/>
    <s v="Mandalay"/>
    <s v="Member"/>
    <s v="Male"/>
    <x v="2"/>
    <n v="46.47"/>
    <n v="4"/>
    <n v="9.2940000000000005"/>
    <n v="195.17400000000001"/>
    <d v="2019-08-02T00:00:00"/>
    <d v="1899-12-30T10:53:00"/>
    <s v="Cash"/>
    <n v="185.88"/>
    <n v="4.7619047620000003"/>
    <n v="9.2940000000000005"/>
    <n v="7"/>
    <d v="2019-02-08T00:00:00"/>
    <x v="2"/>
    <x v="1"/>
    <x v="1"/>
    <x v="1"/>
  </r>
  <r>
    <s v="400-60-7251"/>
    <x v="0"/>
    <s v="Yangon"/>
    <s v="Normal"/>
    <s v="Male"/>
    <x v="2"/>
    <n v="74.069999999999993"/>
    <n v="1"/>
    <n v="3.7035"/>
    <n v="77.773499999999999"/>
    <d v="2019-10-02T00:00:00"/>
    <d v="1899-12-30T12:50:00"/>
    <s v="Ewallet"/>
    <n v="74.069999999999993"/>
    <n v="4.7619047620000003"/>
    <n v="3.7035"/>
    <n v="9.9"/>
    <d v="2019-02-10T00:00:00"/>
    <x v="2"/>
    <x v="10"/>
    <x v="6"/>
    <x v="2"/>
  </r>
  <r>
    <s v="593-65-1552"/>
    <x v="1"/>
    <s v="Naypyitaw"/>
    <s v="Normal"/>
    <s v="Female"/>
    <x v="2"/>
    <n v="69.81"/>
    <n v="4"/>
    <n v="13.962"/>
    <n v="293.202"/>
    <s v="1/28/2019"/>
    <d v="1899-12-30T20:50:00"/>
    <s v="Credit card"/>
    <n v="279.24"/>
    <n v="4.7619047620000003"/>
    <n v="13.962"/>
    <n v="5.9"/>
    <d v="2019-01-28T00:00:00"/>
    <x v="0"/>
    <x v="2"/>
    <x v="19"/>
    <x v="3"/>
  </r>
  <r>
    <s v="284-34-9626"/>
    <x v="2"/>
    <s v="Mandalay"/>
    <s v="Normal"/>
    <s v="Female"/>
    <x v="2"/>
    <n v="77.040000000000006"/>
    <n v="3"/>
    <n v="11.555999999999999"/>
    <n v="242.67599999999999"/>
    <d v="2019-11-02T00:00:00"/>
    <d v="1899-12-30T10:39:00"/>
    <s v="Credit card"/>
    <n v="231.12"/>
    <n v="4.7619047620000003"/>
    <n v="11.555999999999999"/>
    <n v="7.2"/>
    <d v="2019-02-11T00:00:00"/>
    <x v="2"/>
    <x v="1"/>
    <x v="14"/>
    <x v="3"/>
  </r>
  <r>
    <s v="437-58-8131"/>
    <x v="2"/>
    <s v="Mandalay"/>
    <s v="Normal"/>
    <s v="Female"/>
    <x v="5"/>
    <n v="73.52"/>
    <n v="2"/>
    <n v="7.3520000000000003"/>
    <n v="154.392"/>
    <s v="1/15/2019"/>
    <d v="1899-12-30T13:41:00"/>
    <s v="Ewallet"/>
    <n v="147.04"/>
    <n v="4.7619047620000003"/>
    <n v="7.3520000000000003"/>
    <n v="4.5999999999999996"/>
    <d v="2019-01-15T00:00:00"/>
    <x v="0"/>
    <x v="0"/>
    <x v="13"/>
    <x v="5"/>
  </r>
  <r>
    <s v="286-43-6208"/>
    <x v="1"/>
    <s v="Naypyitaw"/>
    <s v="Normal"/>
    <s v="Female"/>
    <x v="4"/>
    <n v="87.8"/>
    <n v="9"/>
    <n v="39.51"/>
    <n v="829.71"/>
    <s v="3/16/2019"/>
    <d v="1899-12-30T19:08:00"/>
    <s v="Cash"/>
    <n v="790.2"/>
    <n v="4.7619047620000003"/>
    <n v="39.51"/>
    <n v="9.1999999999999993"/>
    <d v="2019-03-16T00:00:00"/>
    <x v="1"/>
    <x v="8"/>
    <x v="23"/>
    <x v="0"/>
  </r>
  <r>
    <s v="641-43-2399"/>
    <x v="2"/>
    <s v="Mandalay"/>
    <s v="Normal"/>
    <s v="Male"/>
    <x v="2"/>
    <n v="25.55"/>
    <n v="4"/>
    <n v="5.1100000000000003"/>
    <n v="107.31"/>
    <s v="1/26/2019"/>
    <d v="1899-12-30T20:23:00"/>
    <s v="Ewallet"/>
    <n v="102.2"/>
    <n v="4.7619047620000003"/>
    <n v="5.1100000000000003"/>
    <n v="5.7"/>
    <d v="2019-01-26T00:00:00"/>
    <x v="0"/>
    <x v="2"/>
    <x v="27"/>
    <x v="0"/>
  </r>
  <r>
    <s v="831-07-6050"/>
    <x v="0"/>
    <s v="Yangon"/>
    <s v="Normal"/>
    <s v="Male"/>
    <x v="1"/>
    <n v="32.71"/>
    <n v="5"/>
    <n v="8.1775000000000002"/>
    <n v="171.72749999999999"/>
    <s v="3/19/2019"/>
    <d v="1899-12-30T11:30:00"/>
    <s v="Credit card"/>
    <n v="163.55000000000001"/>
    <n v="4.7619047620000003"/>
    <n v="8.1775000000000002"/>
    <n v="9.9"/>
    <d v="2019-03-19T00:00:00"/>
    <x v="1"/>
    <x v="5"/>
    <x v="24"/>
    <x v="5"/>
  </r>
  <r>
    <s v="556-86-3144"/>
    <x v="1"/>
    <s v="Naypyitaw"/>
    <s v="Member"/>
    <s v="Female"/>
    <x v="5"/>
    <n v="74.290000000000006"/>
    <n v="1"/>
    <n v="3.7145000000000001"/>
    <n v="78.004499999999993"/>
    <s v="1/13/2019"/>
    <d v="1899-12-30T19:30:00"/>
    <s v="Cash"/>
    <n v="74.290000000000006"/>
    <n v="4.7619047620000003"/>
    <n v="3.7145000000000001"/>
    <n v="5"/>
    <d v="2019-01-13T00:00:00"/>
    <x v="0"/>
    <x v="8"/>
    <x v="26"/>
    <x v="2"/>
  </r>
  <r>
    <s v="848-24-9445"/>
    <x v="1"/>
    <s v="Naypyitaw"/>
    <s v="Member"/>
    <s v="Male"/>
    <x v="0"/>
    <n v="43.7"/>
    <n v="2"/>
    <n v="4.37"/>
    <n v="91.77"/>
    <s v="3/26/2019"/>
    <d v="1899-12-30T18:03:00"/>
    <s v="Cash"/>
    <n v="87.4"/>
    <n v="4.7619047620000003"/>
    <n v="4.37"/>
    <n v="4.9000000000000004"/>
    <d v="2019-03-26T00:00:00"/>
    <x v="1"/>
    <x v="3"/>
    <x v="27"/>
    <x v="5"/>
  </r>
  <r>
    <s v="856-22-8149"/>
    <x v="0"/>
    <s v="Yangon"/>
    <s v="Normal"/>
    <s v="Female"/>
    <x v="2"/>
    <n v="25.29"/>
    <n v="1"/>
    <n v="1.2645"/>
    <n v="26.554500000000001"/>
    <s v="3/23/2019"/>
    <d v="1899-12-30T10:13:00"/>
    <s v="Ewallet"/>
    <n v="25.29"/>
    <n v="4.7619047620000003"/>
    <n v="1.2645"/>
    <n v="6.1"/>
    <d v="2019-03-23T00:00:00"/>
    <x v="1"/>
    <x v="1"/>
    <x v="21"/>
    <x v="0"/>
  </r>
  <r>
    <s v="699-01-4164"/>
    <x v="1"/>
    <s v="Naypyitaw"/>
    <s v="Normal"/>
    <s v="Male"/>
    <x v="0"/>
    <n v="41.5"/>
    <n v="4"/>
    <n v="8.3000000000000007"/>
    <n v="174.3"/>
    <d v="2019-12-03T00:00:00"/>
    <d v="1899-12-30T19:58:00"/>
    <s v="Credit card"/>
    <n v="166"/>
    <n v="4.7619047620000003"/>
    <n v="8.3000000000000007"/>
    <n v="8.1999999999999993"/>
    <d v="2019-03-12T00:00:00"/>
    <x v="1"/>
    <x v="8"/>
    <x v="10"/>
    <x v="5"/>
  </r>
  <r>
    <s v="420-11-4919"/>
    <x v="1"/>
    <s v="Naypyitaw"/>
    <s v="Member"/>
    <s v="Female"/>
    <x v="4"/>
    <n v="71.39"/>
    <n v="5"/>
    <n v="17.8475"/>
    <n v="374.79750000000001"/>
    <s v="2/17/2019"/>
    <d v="1899-12-30T19:57:00"/>
    <s v="Credit card"/>
    <n v="356.95"/>
    <n v="4.7619047620000003"/>
    <n v="17.8475"/>
    <n v="5.5"/>
    <d v="2019-02-17T00:00:00"/>
    <x v="2"/>
    <x v="8"/>
    <x v="17"/>
    <x v="2"/>
  </r>
  <r>
    <s v="606-80-4905"/>
    <x v="1"/>
    <s v="Naypyitaw"/>
    <s v="Member"/>
    <s v="Female"/>
    <x v="3"/>
    <n v="19.149999999999999"/>
    <n v="6"/>
    <n v="5.7450000000000001"/>
    <n v="120.645"/>
    <s v="1/29/2019"/>
    <d v="1899-12-30T10:01:00"/>
    <s v="Credit card"/>
    <n v="114.9"/>
    <n v="4.7619047620000003"/>
    <n v="5.7450000000000001"/>
    <n v="6.8"/>
    <d v="2019-01-29T00:00:00"/>
    <x v="0"/>
    <x v="1"/>
    <x v="12"/>
    <x v="5"/>
  </r>
  <r>
    <s v="542-41-0513"/>
    <x v="2"/>
    <s v="Mandalay"/>
    <s v="Member"/>
    <s v="Female"/>
    <x v="1"/>
    <n v="57.49"/>
    <n v="4"/>
    <n v="11.497999999999999"/>
    <n v="241.458"/>
    <s v="3/15/2019"/>
    <d v="1899-12-30T11:57:00"/>
    <s v="Cash"/>
    <n v="229.96"/>
    <n v="4.7619047620000003"/>
    <n v="11.497999999999999"/>
    <n v="6.6"/>
    <d v="2019-03-15T00:00:00"/>
    <x v="1"/>
    <x v="5"/>
    <x v="13"/>
    <x v="1"/>
  </r>
  <r>
    <s v="426-39-2418"/>
    <x v="1"/>
    <s v="Naypyitaw"/>
    <s v="Normal"/>
    <s v="Male"/>
    <x v="1"/>
    <n v="61.41"/>
    <n v="7"/>
    <n v="21.493500000000001"/>
    <n v="451.36349999999999"/>
    <s v="1/14/2019"/>
    <d v="1899-12-30T10:02:00"/>
    <s v="Cash"/>
    <n v="429.87"/>
    <n v="4.7619047620000003"/>
    <n v="21.493500000000001"/>
    <n v="9.8000000000000007"/>
    <d v="2019-01-14T00:00:00"/>
    <x v="0"/>
    <x v="1"/>
    <x v="25"/>
    <x v="3"/>
  </r>
  <r>
    <s v="875-46-5808"/>
    <x v="2"/>
    <s v="Mandalay"/>
    <s v="Member"/>
    <s v="Male"/>
    <x v="0"/>
    <n v="25.9"/>
    <n v="10"/>
    <n v="12.95"/>
    <n v="271.95"/>
    <d v="2019-06-02T00:00:00"/>
    <d v="1899-12-30T14:51:00"/>
    <s v="Ewallet"/>
    <n v="259"/>
    <n v="4.7619047620000003"/>
    <n v="12.95"/>
    <n v="8.6999999999999993"/>
    <d v="2019-02-06T00:00:00"/>
    <x v="2"/>
    <x v="4"/>
    <x v="20"/>
    <x v="6"/>
  </r>
  <r>
    <s v="394-43-4238"/>
    <x v="2"/>
    <s v="Mandalay"/>
    <s v="Member"/>
    <s v="Male"/>
    <x v="2"/>
    <n v="17.77"/>
    <n v="5"/>
    <n v="4.4424999999999999"/>
    <n v="93.292500000000004"/>
    <s v="2/15/2019"/>
    <d v="1899-12-30T12:42:00"/>
    <s v="Credit card"/>
    <n v="88.85"/>
    <n v="4.7619047620000003"/>
    <n v="4.4424999999999999"/>
    <n v="5.4"/>
    <d v="2019-02-15T00:00:00"/>
    <x v="2"/>
    <x v="10"/>
    <x v="13"/>
    <x v="1"/>
  </r>
  <r>
    <s v="749-24-1565"/>
    <x v="0"/>
    <s v="Yangon"/>
    <s v="Normal"/>
    <s v="Female"/>
    <x v="0"/>
    <n v="23.03"/>
    <n v="9"/>
    <n v="10.3635"/>
    <n v="217.6335"/>
    <d v="2019-03-01T00:00:00"/>
    <d v="1899-12-30T12:02:00"/>
    <s v="Ewallet"/>
    <n v="207.27"/>
    <n v="4.7619047620000003"/>
    <n v="10.3635"/>
    <n v="7.9"/>
    <d v="2019-01-03T00:00:00"/>
    <x v="0"/>
    <x v="10"/>
    <x v="2"/>
    <x v="4"/>
  </r>
  <r>
    <s v="672-51-8681"/>
    <x v="1"/>
    <s v="Naypyitaw"/>
    <s v="Member"/>
    <s v="Female"/>
    <x v="1"/>
    <n v="66.650000000000006"/>
    <n v="9"/>
    <n v="29.9925"/>
    <n v="629.84249999999997"/>
    <d v="2019-04-01T00:00:00"/>
    <d v="1899-12-30T18:19:00"/>
    <s v="Credit card"/>
    <n v="599.85"/>
    <n v="4.7619047620000003"/>
    <n v="29.9925"/>
    <n v="9.6999999999999993"/>
    <d v="2019-01-04T00:00:00"/>
    <x v="0"/>
    <x v="3"/>
    <x v="22"/>
    <x v="1"/>
  </r>
  <r>
    <s v="263-87-5680"/>
    <x v="1"/>
    <s v="Naypyitaw"/>
    <s v="Member"/>
    <s v="Female"/>
    <x v="2"/>
    <n v="28.53"/>
    <n v="10"/>
    <n v="14.265000000000001"/>
    <n v="299.565"/>
    <s v="3/18/2019"/>
    <d v="1899-12-30T17:38:00"/>
    <s v="Ewallet"/>
    <n v="285.3"/>
    <n v="4.7619047620000003"/>
    <n v="14.265000000000001"/>
    <n v="7.8"/>
    <d v="2019-03-18T00:00:00"/>
    <x v="1"/>
    <x v="6"/>
    <x v="28"/>
    <x v="3"/>
  </r>
  <r>
    <s v="573-58-9734"/>
    <x v="2"/>
    <s v="Mandalay"/>
    <s v="Normal"/>
    <s v="Female"/>
    <x v="5"/>
    <n v="30.37"/>
    <n v="3"/>
    <n v="4.5555000000000003"/>
    <n v="95.665499999999994"/>
    <s v="3/28/2019"/>
    <d v="1899-12-30T13:41:00"/>
    <s v="Ewallet"/>
    <n v="91.11"/>
    <n v="4.7619047620000003"/>
    <n v="4.5555000000000003"/>
    <n v="5.0999999999999996"/>
    <d v="2019-03-28T00:00:00"/>
    <x v="1"/>
    <x v="0"/>
    <x v="19"/>
    <x v="4"/>
  </r>
  <r>
    <s v="817-69-8206"/>
    <x v="2"/>
    <s v="Mandalay"/>
    <s v="Normal"/>
    <s v="Female"/>
    <x v="1"/>
    <n v="99.73"/>
    <n v="9"/>
    <n v="44.878500000000003"/>
    <n v="942.44849999999997"/>
    <d v="2019-02-03T00:00:00"/>
    <d v="1899-12-30T19:42:00"/>
    <s v="Credit card"/>
    <n v="897.57"/>
    <n v="4.7619047620000003"/>
    <n v="44.878500000000003"/>
    <n v="6.5"/>
    <d v="2019-03-02T00:00:00"/>
    <x v="1"/>
    <x v="8"/>
    <x v="8"/>
    <x v="0"/>
  </r>
  <r>
    <s v="888-02-0338"/>
    <x v="0"/>
    <s v="Yangon"/>
    <s v="Normal"/>
    <s v="Male"/>
    <x v="1"/>
    <n v="26.23"/>
    <n v="9"/>
    <n v="11.8035"/>
    <n v="247.87350000000001"/>
    <s v="1/25/2019"/>
    <d v="1899-12-30T20:24:00"/>
    <s v="Ewallet"/>
    <n v="236.07"/>
    <n v="4.7619047620000003"/>
    <n v="11.8035"/>
    <n v="5.9"/>
    <d v="2019-01-25T00:00:00"/>
    <x v="0"/>
    <x v="2"/>
    <x v="4"/>
    <x v="1"/>
  </r>
  <r>
    <s v="677-11-0152"/>
    <x v="1"/>
    <s v="Naypyitaw"/>
    <s v="Normal"/>
    <s v="Female"/>
    <x v="4"/>
    <n v="93.26"/>
    <n v="9"/>
    <n v="41.966999999999999"/>
    <n v="881.30700000000002"/>
    <s v="1/16/2019"/>
    <d v="1899-12-30T18:08:00"/>
    <s v="Cash"/>
    <n v="839.34"/>
    <n v="4.7619047620000003"/>
    <n v="41.966999999999999"/>
    <n v="8.8000000000000007"/>
    <d v="2019-01-16T00:00:00"/>
    <x v="0"/>
    <x v="3"/>
    <x v="23"/>
    <x v="6"/>
  </r>
  <r>
    <s v="142-63-6033"/>
    <x v="2"/>
    <s v="Mandalay"/>
    <s v="Normal"/>
    <s v="Male"/>
    <x v="2"/>
    <n v="92.36"/>
    <n v="5"/>
    <n v="23.09"/>
    <n v="484.89"/>
    <s v="3/20/2019"/>
    <d v="1899-12-30T19:17:00"/>
    <s v="Ewallet"/>
    <n v="461.8"/>
    <n v="4.7619047620000003"/>
    <n v="23.09"/>
    <n v="4.9000000000000004"/>
    <d v="2019-03-20T00:00:00"/>
    <x v="1"/>
    <x v="8"/>
    <x v="7"/>
    <x v="6"/>
  </r>
  <r>
    <s v="656-16-1063"/>
    <x v="2"/>
    <s v="Mandalay"/>
    <s v="Normal"/>
    <s v="Male"/>
    <x v="3"/>
    <n v="46.42"/>
    <n v="3"/>
    <n v="6.9630000000000001"/>
    <n v="146.22300000000001"/>
    <d v="2019-04-01T00:00:00"/>
    <d v="1899-12-30T13:24:00"/>
    <s v="Credit card"/>
    <n v="139.26"/>
    <n v="4.7619047620000003"/>
    <n v="6.9630000000000001"/>
    <n v="4.4000000000000004"/>
    <d v="2019-01-04T00:00:00"/>
    <x v="0"/>
    <x v="0"/>
    <x v="22"/>
    <x v="1"/>
  </r>
  <r>
    <s v="891-58-8335"/>
    <x v="2"/>
    <s v="Mandalay"/>
    <s v="Member"/>
    <s v="Female"/>
    <x v="3"/>
    <n v="29.61"/>
    <n v="7"/>
    <n v="10.3635"/>
    <n v="217.6335"/>
    <d v="2019-11-03T00:00:00"/>
    <d v="1899-12-30T15:53:00"/>
    <s v="Cash"/>
    <n v="207.27"/>
    <n v="4.7619047620000003"/>
    <n v="10.3635"/>
    <n v="6.5"/>
    <d v="2019-03-11T00:00:00"/>
    <x v="1"/>
    <x v="9"/>
    <x v="14"/>
    <x v="3"/>
  </r>
  <r>
    <s v="802-43-8934"/>
    <x v="0"/>
    <s v="Yangon"/>
    <s v="Normal"/>
    <s v="Male"/>
    <x v="2"/>
    <n v="18.28"/>
    <n v="1"/>
    <n v="0.91400000000000003"/>
    <n v="19.193999999999999"/>
    <s v="3/22/2019"/>
    <d v="1899-12-30T15:05:00"/>
    <s v="Credit card"/>
    <n v="18.28"/>
    <n v="4.7619047620000003"/>
    <n v="0.91400000000000003"/>
    <n v="8.3000000000000007"/>
    <d v="2019-03-22T00:00:00"/>
    <x v="1"/>
    <x v="9"/>
    <x v="18"/>
    <x v="1"/>
  </r>
  <r>
    <s v="560-30-5617"/>
    <x v="2"/>
    <s v="Mandalay"/>
    <s v="Normal"/>
    <s v="Female"/>
    <x v="3"/>
    <n v="24.77"/>
    <n v="5"/>
    <n v="6.1924999999999999"/>
    <n v="130.04249999999999"/>
    <s v="3/24/2019"/>
    <d v="1899-12-30T18:27:00"/>
    <s v="Cash"/>
    <n v="123.85"/>
    <n v="4.7619047620000003"/>
    <n v="6.1924999999999999"/>
    <n v="8.5"/>
    <d v="2019-03-24T00:00:00"/>
    <x v="1"/>
    <x v="3"/>
    <x v="5"/>
    <x v="2"/>
  </r>
  <r>
    <s v="319-74-2561"/>
    <x v="0"/>
    <s v="Yangon"/>
    <s v="Member"/>
    <s v="Female"/>
    <x v="1"/>
    <n v="94.64"/>
    <n v="3"/>
    <n v="14.196"/>
    <n v="298.11599999999999"/>
    <s v="2/21/2019"/>
    <d v="1899-12-30T16:55:00"/>
    <s v="Cash"/>
    <n v="283.92"/>
    <n v="4.7619047620000003"/>
    <n v="14.196"/>
    <n v="5.5"/>
    <d v="2019-02-21T00:00:00"/>
    <x v="2"/>
    <x v="7"/>
    <x v="16"/>
    <x v="4"/>
  </r>
  <r>
    <s v="549-03-9315"/>
    <x v="2"/>
    <s v="Mandalay"/>
    <s v="Normal"/>
    <s v="Male"/>
    <x v="5"/>
    <n v="94.87"/>
    <n v="8"/>
    <n v="37.948"/>
    <n v="796.90800000000002"/>
    <d v="2019-12-02T00:00:00"/>
    <d v="1899-12-30T12:58:00"/>
    <s v="Ewallet"/>
    <n v="758.96"/>
    <n v="4.7619047620000003"/>
    <n v="37.948"/>
    <n v="8.6999999999999993"/>
    <d v="2019-02-12T00:00:00"/>
    <x v="2"/>
    <x v="10"/>
    <x v="10"/>
    <x v="5"/>
  </r>
  <r>
    <s v="790-29-1172"/>
    <x v="2"/>
    <s v="Mandalay"/>
    <s v="Normal"/>
    <s v="Female"/>
    <x v="4"/>
    <n v="57.34"/>
    <n v="3"/>
    <n v="8.6010000000000009"/>
    <n v="180.62100000000001"/>
    <d v="2019-10-03T00:00:00"/>
    <d v="1899-12-30T18:59:00"/>
    <s v="Credit card"/>
    <n v="172.02"/>
    <n v="4.7619047620000003"/>
    <n v="8.6010000000000009"/>
    <n v="7.9"/>
    <d v="2019-03-10T00:00:00"/>
    <x v="1"/>
    <x v="3"/>
    <x v="6"/>
    <x v="2"/>
  </r>
  <r>
    <s v="239-36-3640"/>
    <x v="2"/>
    <s v="Mandalay"/>
    <s v="Normal"/>
    <s v="Male"/>
    <x v="1"/>
    <n v="45.35"/>
    <n v="6"/>
    <n v="13.605"/>
    <n v="285.70499999999998"/>
    <s v="1/31/2019"/>
    <d v="1899-12-30T13:44:00"/>
    <s v="Ewallet"/>
    <n v="272.10000000000002"/>
    <n v="4.7619047620000003"/>
    <n v="13.605"/>
    <n v="6.1"/>
    <d v="2019-01-31T00:00:00"/>
    <x v="0"/>
    <x v="0"/>
    <x v="30"/>
    <x v="4"/>
  </r>
  <r>
    <s v="468-01-2051"/>
    <x v="2"/>
    <s v="Mandalay"/>
    <s v="Normal"/>
    <s v="Male"/>
    <x v="4"/>
    <n v="62.08"/>
    <n v="7"/>
    <n v="21.728000000000002"/>
    <n v="456.28800000000001"/>
    <d v="2019-06-03T00:00:00"/>
    <d v="1899-12-30T13:46:00"/>
    <s v="Ewallet"/>
    <n v="434.56"/>
    <n v="4.7619047620000003"/>
    <n v="21.728000000000002"/>
    <n v="5.4"/>
    <d v="2019-03-06T00:00:00"/>
    <x v="1"/>
    <x v="0"/>
    <x v="20"/>
    <x v="6"/>
  </r>
  <r>
    <s v="389-25-3394"/>
    <x v="1"/>
    <s v="Naypyitaw"/>
    <s v="Normal"/>
    <s v="Male"/>
    <x v="1"/>
    <n v="11.81"/>
    <n v="5"/>
    <n v="2.9525000000000001"/>
    <n v="62.002499999999998"/>
    <s v="2/17/2019"/>
    <d v="1899-12-30T18:06:00"/>
    <s v="Cash"/>
    <n v="59.05"/>
    <n v="4.7619047620000003"/>
    <n v="2.9525000000000001"/>
    <n v="9.4"/>
    <d v="2019-02-17T00:00:00"/>
    <x v="2"/>
    <x v="3"/>
    <x v="17"/>
    <x v="2"/>
  </r>
  <r>
    <s v="279-62-1445"/>
    <x v="1"/>
    <s v="Naypyitaw"/>
    <s v="Member"/>
    <s v="Female"/>
    <x v="5"/>
    <n v="12.54"/>
    <n v="1"/>
    <n v="0.627"/>
    <n v="13.167"/>
    <s v="2/21/2019"/>
    <d v="1899-12-30T12:38:00"/>
    <s v="Cash"/>
    <n v="12.54"/>
    <n v="4.7619047620000003"/>
    <n v="0.627"/>
    <n v="8.1999999999999993"/>
    <d v="2019-02-21T00:00:00"/>
    <x v="2"/>
    <x v="10"/>
    <x v="16"/>
    <x v="4"/>
  </r>
  <r>
    <s v="213-72-6612"/>
    <x v="0"/>
    <s v="Yangon"/>
    <s v="Normal"/>
    <s v="Male"/>
    <x v="4"/>
    <n v="43.25"/>
    <n v="2"/>
    <n v="4.3250000000000002"/>
    <n v="90.825000000000003"/>
    <s v="3/20/2019"/>
    <d v="1899-12-30T15:56:00"/>
    <s v="Cash"/>
    <n v="86.5"/>
    <n v="4.7619047620000003"/>
    <n v="4.3250000000000002"/>
    <n v="6.2"/>
    <d v="2019-03-20T00:00:00"/>
    <x v="1"/>
    <x v="9"/>
    <x v="7"/>
    <x v="6"/>
  </r>
  <r>
    <s v="746-68-6593"/>
    <x v="1"/>
    <s v="Naypyitaw"/>
    <s v="Member"/>
    <s v="Female"/>
    <x v="3"/>
    <n v="87.16"/>
    <n v="2"/>
    <n v="8.7159999999999993"/>
    <n v="183.036"/>
    <d v="2019-11-01T00:00:00"/>
    <d v="1899-12-30T14:29:00"/>
    <s v="Credit card"/>
    <n v="174.32"/>
    <n v="4.7619047620000003"/>
    <n v="8.7159999999999993"/>
    <n v="9.6999999999999993"/>
    <d v="2019-01-11T00:00:00"/>
    <x v="0"/>
    <x v="4"/>
    <x v="14"/>
    <x v="1"/>
  </r>
  <r>
    <s v="836-82-5858"/>
    <x v="2"/>
    <s v="Mandalay"/>
    <s v="Member"/>
    <s v="Male"/>
    <x v="0"/>
    <n v="69.37"/>
    <n v="9"/>
    <n v="31.2165"/>
    <n v="655.54650000000004"/>
    <s v="1/26/2019"/>
    <d v="1899-12-30T19:14:00"/>
    <s v="Ewallet"/>
    <n v="624.33000000000004"/>
    <n v="4.7619047620000003"/>
    <n v="31.2165"/>
    <n v="4"/>
    <d v="2019-01-26T00:00:00"/>
    <x v="0"/>
    <x v="8"/>
    <x v="27"/>
    <x v="0"/>
  </r>
  <r>
    <s v="583-72-1480"/>
    <x v="1"/>
    <s v="Naypyitaw"/>
    <s v="Member"/>
    <s v="Male"/>
    <x v="1"/>
    <n v="37.06"/>
    <n v="4"/>
    <n v="7.4119999999999999"/>
    <n v="155.65199999999999"/>
    <s v="1/31/2019"/>
    <d v="1899-12-30T16:24:00"/>
    <s v="Ewallet"/>
    <n v="148.24"/>
    <n v="4.7619047620000003"/>
    <n v="7.4119999999999999"/>
    <n v="9.6999999999999993"/>
    <d v="2019-01-31T00:00:00"/>
    <x v="0"/>
    <x v="7"/>
    <x v="30"/>
    <x v="4"/>
  </r>
  <r>
    <s v="466-61-5506"/>
    <x v="2"/>
    <s v="Mandalay"/>
    <s v="Member"/>
    <s v="Female"/>
    <x v="1"/>
    <n v="90.7"/>
    <n v="6"/>
    <n v="27.21"/>
    <n v="571.41"/>
    <s v="2/26/2019"/>
    <d v="1899-12-30T10:52:00"/>
    <s v="Cash"/>
    <n v="544.20000000000005"/>
    <n v="4.7619047620000003"/>
    <n v="27.21"/>
    <n v="5.3"/>
    <d v="2019-02-26T00:00:00"/>
    <x v="2"/>
    <x v="1"/>
    <x v="27"/>
    <x v="5"/>
  </r>
  <r>
    <s v="721-86-6247"/>
    <x v="0"/>
    <s v="Yangon"/>
    <s v="Normal"/>
    <s v="Female"/>
    <x v="2"/>
    <n v="63.42"/>
    <n v="8"/>
    <n v="25.367999999999999"/>
    <n v="532.72799999999995"/>
    <d v="2019-11-03T00:00:00"/>
    <d v="1899-12-30T12:55:00"/>
    <s v="Ewallet"/>
    <n v="507.36"/>
    <n v="4.7619047620000003"/>
    <n v="25.367999999999999"/>
    <n v="7.4"/>
    <d v="2019-03-11T00:00:00"/>
    <x v="1"/>
    <x v="10"/>
    <x v="14"/>
    <x v="3"/>
  </r>
  <r>
    <s v="289-65-5721"/>
    <x v="2"/>
    <s v="Mandalay"/>
    <s v="Normal"/>
    <s v="Female"/>
    <x v="5"/>
    <n v="81.37"/>
    <n v="2"/>
    <n v="8.1370000000000005"/>
    <n v="170.87700000000001"/>
    <s v="1/26/2019"/>
    <d v="1899-12-30T19:28:00"/>
    <s v="Cash"/>
    <n v="162.74"/>
    <n v="4.7619047620000003"/>
    <n v="8.1370000000000005"/>
    <n v="6.5"/>
    <d v="2019-01-26T00:00:00"/>
    <x v="0"/>
    <x v="8"/>
    <x v="27"/>
    <x v="0"/>
  </r>
  <r>
    <s v="545-46-3100"/>
    <x v="2"/>
    <s v="Mandalay"/>
    <s v="Member"/>
    <s v="Female"/>
    <x v="1"/>
    <n v="10.59"/>
    <n v="3"/>
    <n v="1.5885"/>
    <n v="33.358499999999999"/>
    <d v="2019-12-03T00:00:00"/>
    <d v="1899-12-30T13:52:00"/>
    <s v="Credit card"/>
    <n v="31.77"/>
    <n v="4.7619047620000003"/>
    <n v="1.5885"/>
    <n v="8.6999999999999993"/>
    <d v="2019-03-12T00:00:00"/>
    <x v="1"/>
    <x v="0"/>
    <x v="10"/>
    <x v="5"/>
  </r>
  <r>
    <s v="418-02-5978"/>
    <x v="2"/>
    <s v="Mandalay"/>
    <s v="Normal"/>
    <s v="Female"/>
    <x v="0"/>
    <n v="84.09"/>
    <n v="9"/>
    <n v="37.840499999999999"/>
    <n v="794.65049999999997"/>
    <d v="2019-11-02T00:00:00"/>
    <d v="1899-12-30T10:54:00"/>
    <s v="Cash"/>
    <n v="756.81"/>
    <n v="4.7619047620000003"/>
    <n v="37.840499999999999"/>
    <n v="8"/>
    <d v="2019-02-11T00:00:00"/>
    <x v="2"/>
    <x v="1"/>
    <x v="14"/>
    <x v="3"/>
  </r>
  <r>
    <s v="269-04-5750"/>
    <x v="2"/>
    <s v="Mandalay"/>
    <s v="Member"/>
    <s v="Male"/>
    <x v="5"/>
    <n v="73.819999999999993"/>
    <n v="4"/>
    <n v="14.763999999999999"/>
    <n v="310.04399999999998"/>
    <s v="2/21/2019"/>
    <d v="1899-12-30T18:31:00"/>
    <s v="Cash"/>
    <n v="295.27999999999997"/>
    <n v="4.7619047620000003"/>
    <n v="14.763999999999999"/>
    <n v="6.7"/>
    <d v="2019-02-21T00:00:00"/>
    <x v="2"/>
    <x v="3"/>
    <x v="16"/>
    <x v="4"/>
  </r>
  <r>
    <s v="157-13-5295"/>
    <x v="0"/>
    <s v="Yangon"/>
    <s v="Member"/>
    <s v="Male"/>
    <x v="0"/>
    <n v="51.94"/>
    <n v="10"/>
    <n v="25.97"/>
    <n v="545.37"/>
    <d v="2019-09-03T00:00:00"/>
    <d v="1899-12-30T18:24:00"/>
    <s v="Ewallet"/>
    <n v="519.4"/>
    <n v="4.7619047620000003"/>
    <n v="25.97"/>
    <n v="6.5"/>
    <d v="2019-03-09T00:00:00"/>
    <x v="1"/>
    <x v="3"/>
    <x v="9"/>
    <x v="0"/>
  </r>
  <r>
    <s v="645-78-8093"/>
    <x v="0"/>
    <s v="Yangon"/>
    <s v="Normal"/>
    <s v="Female"/>
    <x v="3"/>
    <n v="93.14"/>
    <n v="2"/>
    <n v="9.3140000000000001"/>
    <n v="195.59399999999999"/>
    <s v="1/20/2019"/>
    <d v="1899-12-30T18:09:00"/>
    <s v="Ewallet"/>
    <n v="186.28"/>
    <n v="4.7619047620000003"/>
    <n v="9.3140000000000001"/>
    <n v="4.0999999999999996"/>
    <d v="2019-01-20T00:00:00"/>
    <x v="0"/>
    <x v="3"/>
    <x v="7"/>
    <x v="2"/>
  </r>
  <r>
    <s v="211-30-9270"/>
    <x v="1"/>
    <s v="Naypyitaw"/>
    <s v="Normal"/>
    <s v="Male"/>
    <x v="0"/>
    <n v="17.41"/>
    <n v="5"/>
    <n v="4.3525"/>
    <n v="91.402500000000003"/>
    <s v="1/28/2019"/>
    <d v="1899-12-30T15:16:00"/>
    <s v="Credit card"/>
    <n v="87.05"/>
    <n v="4.7619047620000003"/>
    <n v="4.3525"/>
    <n v="4.9000000000000004"/>
    <d v="2019-01-28T00:00:00"/>
    <x v="0"/>
    <x v="9"/>
    <x v="19"/>
    <x v="3"/>
  </r>
  <r>
    <s v="755-12-3214"/>
    <x v="1"/>
    <s v="Naypyitaw"/>
    <s v="Member"/>
    <s v="Female"/>
    <x v="5"/>
    <n v="44.22"/>
    <n v="5"/>
    <n v="11.055"/>
    <n v="232.155"/>
    <d v="2019-05-03T00:00:00"/>
    <d v="1899-12-30T17:07:00"/>
    <s v="Credit card"/>
    <n v="221.1"/>
    <n v="4.7619047620000003"/>
    <n v="11.055"/>
    <n v="8.6"/>
    <d v="2019-03-05T00:00:00"/>
    <x v="1"/>
    <x v="6"/>
    <x v="0"/>
    <x v="5"/>
  </r>
  <r>
    <s v="346-84-3103"/>
    <x v="2"/>
    <s v="Mandalay"/>
    <s v="Member"/>
    <s v="Female"/>
    <x v="1"/>
    <n v="13.22"/>
    <n v="5"/>
    <n v="3.3050000000000002"/>
    <n v="69.405000000000001"/>
    <d v="2019-02-03T00:00:00"/>
    <d v="1899-12-30T19:26:00"/>
    <s v="Cash"/>
    <n v="66.099999999999994"/>
    <n v="4.7619047620000003"/>
    <n v="3.3050000000000002"/>
    <n v="4.3"/>
    <d v="2019-03-02T00:00:00"/>
    <x v="1"/>
    <x v="8"/>
    <x v="8"/>
    <x v="0"/>
  </r>
  <r>
    <s v="478-06-7835"/>
    <x v="0"/>
    <s v="Yangon"/>
    <s v="Normal"/>
    <s v="Male"/>
    <x v="5"/>
    <n v="89.69"/>
    <n v="1"/>
    <n v="4.4844999999999997"/>
    <n v="94.174499999999995"/>
    <d v="2019-11-01T00:00:00"/>
    <d v="1899-12-30T11:20:00"/>
    <s v="Ewallet"/>
    <n v="89.69"/>
    <n v="4.7619047620000003"/>
    <n v="4.4844999999999997"/>
    <n v="4.9000000000000004"/>
    <d v="2019-01-11T00:00:00"/>
    <x v="0"/>
    <x v="5"/>
    <x v="14"/>
    <x v="1"/>
  </r>
  <r>
    <s v="540-11-4336"/>
    <x v="0"/>
    <s v="Yangon"/>
    <s v="Normal"/>
    <s v="Male"/>
    <x v="4"/>
    <n v="24.94"/>
    <n v="9"/>
    <n v="11.223000000000001"/>
    <n v="235.68299999999999"/>
    <d v="2019-11-01T00:00:00"/>
    <d v="1899-12-30T16:49:00"/>
    <s v="Credit card"/>
    <n v="224.46"/>
    <n v="4.7619047620000003"/>
    <n v="11.223000000000001"/>
    <n v="5.6"/>
    <d v="2019-01-11T00:00:00"/>
    <x v="0"/>
    <x v="7"/>
    <x v="14"/>
    <x v="1"/>
  </r>
  <r>
    <s v="448-81-5016"/>
    <x v="0"/>
    <s v="Yangon"/>
    <s v="Normal"/>
    <s v="Male"/>
    <x v="0"/>
    <n v="59.77"/>
    <n v="2"/>
    <n v="5.9770000000000003"/>
    <n v="125.517"/>
    <d v="2019-11-03T00:00:00"/>
    <d v="1899-12-30T12:01:00"/>
    <s v="Credit card"/>
    <n v="119.54"/>
    <n v="4.7619047620000003"/>
    <n v="5.9770000000000003"/>
    <n v="5.8"/>
    <d v="2019-03-11T00:00:00"/>
    <x v="1"/>
    <x v="10"/>
    <x v="14"/>
    <x v="3"/>
  </r>
  <r>
    <s v="142-72-4741"/>
    <x v="1"/>
    <s v="Naypyitaw"/>
    <s v="Member"/>
    <s v="Male"/>
    <x v="5"/>
    <n v="93.2"/>
    <n v="2"/>
    <n v="9.32"/>
    <n v="195.72"/>
    <s v="2/28/2019"/>
    <d v="1899-12-30T18:37:00"/>
    <s v="Credit card"/>
    <n v="186.4"/>
    <n v="4.7619047620000003"/>
    <n v="9.32"/>
    <n v="6"/>
    <d v="2019-02-28T00:00:00"/>
    <x v="2"/>
    <x v="3"/>
    <x v="19"/>
    <x v="4"/>
  </r>
  <r>
    <s v="217-58-1179"/>
    <x v="0"/>
    <s v="Yangon"/>
    <s v="Member"/>
    <s v="Male"/>
    <x v="2"/>
    <n v="62.65"/>
    <n v="4"/>
    <n v="12.53"/>
    <n v="263.13"/>
    <d v="2019-05-01T00:00:00"/>
    <d v="1899-12-30T11:25:00"/>
    <s v="Cash"/>
    <n v="250.6"/>
    <n v="4.7619047620000003"/>
    <n v="12.53"/>
    <n v="4.2"/>
    <d v="2019-01-05T00:00:00"/>
    <x v="0"/>
    <x v="5"/>
    <x v="0"/>
    <x v="0"/>
  </r>
  <r>
    <s v="376-02-8238"/>
    <x v="2"/>
    <s v="Mandalay"/>
    <s v="Normal"/>
    <s v="Male"/>
    <x v="2"/>
    <n v="93.87"/>
    <n v="8"/>
    <n v="37.548000000000002"/>
    <n v="788.50800000000004"/>
    <d v="2019-02-02T00:00:00"/>
    <d v="1899-12-30T18:42:00"/>
    <s v="Credit card"/>
    <n v="750.96"/>
    <n v="4.7619047620000003"/>
    <n v="37.548000000000002"/>
    <n v="8.3000000000000007"/>
    <d v="2019-02-02T00:00:00"/>
    <x v="2"/>
    <x v="3"/>
    <x v="8"/>
    <x v="0"/>
  </r>
  <r>
    <s v="530-90-9855"/>
    <x v="0"/>
    <s v="Yangon"/>
    <s v="Member"/>
    <s v="Male"/>
    <x v="2"/>
    <n v="47.59"/>
    <n v="8"/>
    <n v="19.036000000000001"/>
    <n v="399.75599999999997"/>
    <d v="2019-01-01T00:00:00"/>
    <d v="1899-12-30T14:47:00"/>
    <s v="Cash"/>
    <n v="380.72"/>
    <n v="4.7619047620000003"/>
    <n v="19.036000000000001"/>
    <n v="5.7"/>
    <d v="2019-01-01T00:00:00"/>
    <x v="0"/>
    <x v="4"/>
    <x v="15"/>
    <x v="5"/>
  </r>
  <r>
    <s v="866-05-7563"/>
    <x v="2"/>
    <s v="Mandalay"/>
    <s v="Member"/>
    <s v="Female"/>
    <x v="1"/>
    <n v="81.400000000000006"/>
    <n v="3"/>
    <n v="12.21"/>
    <n v="256.41000000000003"/>
    <d v="2019-09-02T00:00:00"/>
    <d v="1899-12-30T19:43:00"/>
    <s v="Cash"/>
    <n v="244.2"/>
    <n v="4.7619047620000003"/>
    <n v="12.21"/>
    <n v="4.8"/>
    <d v="2019-02-09T00:00:00"/>
    <x v="2"/>
    <x v="8"/>
    <x v="9"/>
    <x v="0"/>
  </r>
  <r>
    <s v="604-70-6476"/>
    <x v="0"/>
    <s v="Yangon"/>
    <s v="Member"/>
    <s v="Male"/>
    <x v="5"/>
    <n v="17.940000000000001"/>
    <n v="5"/>
    <n v="4.4850000000000003"/>
    <n v="94.185000000000002"/>
    <s v="1/23/2019"/>
    <d v="1899-12-30T14:04:00"/>
    <s v="Ewallet"/>
    <n v="89.7"/>
    <n v="4.7619047620000003"/>
    <n v="4.4850000000000003"/>
    <n v="6.8"/>
    <d v="2019-01-23T00:00:00"/>
    <x v="0"/>
    <x v="4"/>
    <x v="21"/>
    <x v="6"/>
  </r>
  <r>
    <s v="799-71-1548"/>
    <x v="0"/>
    <s v="Yangon"/>
    <s v="Member"/>
    <s v="Male"/>
    <x v="1"/>
    <n v="77.72"/>
    <n v="4"/>
    <n v="15.544"/>
    <n v="326.42399999999998"/>
    <d v="2019-07-01T00:00:00"/>
    <d v="1899-12-30T16:11:00"/>
    <s v="Credit card"/>
    <n v="310.88"/>
    <n v="4.7619047620000003"/>
    <n v="15.544"/>
    <n v="8.8000000000000007"/>
    <d v="2019-01-07T00:00:00"/>
    <x v="0"/>
    <x v="7"/>
    <x v="11"/>
    <x v="3"/>
  </r>
  <r>
    <s v="785-13-7708"/>
    <x v="2"/>
    <s v="Mandalay"/>
    <s v="Normal"/>
    <s v="Male"/>
    <x v="4"/>
    <n v="73.06"/>
    <n v="7"/>
    <n v="25.571000000000002"/>
    <n v="536.99099999999999"/>
    <s v="1/14/2019"/>
    <d v="1899-12-30T19:06:00"/>
    <s v="Credit card"/>
    <n v="511.42"/>
    <n v="4.7619047620000003"/>
    <n v="25.571000000000002"/>
    <n v="4.2"/>
    <d v="2019-01-14T00:00:00"/>
    <x v="0"/>
    <x v="8"/>
    <x v="25"/>
    <x v="3"/>
  </r>
  <r>
    <s v="845-51-0542"/>
    <x v="2"/>
    <s v="Mandalay"/>
    <s v="Member"/>
    <s v="Male"/>
    <x v="4"/>
    <n v="46.55"/>
    <n v="9"/>
    <n v="20.947500000000002"/>
    <n v="439.89749999999998"/>
    <d v="2019-02-02T00:00:00"/>
    <d v="1899-12-30T15:34:00"/>
    <s v="Ewallet"/>
    <n v="418.95"/>
    <n v="4.7619047620000003"/>
    <n v="20.947500000000002"/>
    <n v="6.4"/>
    <d v="2019-02-02T00:00:00"/>
    <x v="2"/>
    <x v="9"/>
    <x v="8"/>
    <x v="0"/>
  </r>
  <r>
    <s v="662-47-5456"/>
    <x v="1"/>
    <s v="Naypyitaw"/>
    <s v="Member"/>
    <s v="Male"/>
    <x v="5"/>
    <n v="35.19"/>
    <n v="10"/>
    <n v="17.594999999999999"/>
    <n v="369.495"/>
    <s v="3/17/2019"/>
    <d v="1899-12-30T19:06:00"/>
    <s v="Credit card"/>
    <n v="351.9"/>
    <n v="4.7619047620000003"/>
    <n v="17.594999999999999"/>
    <n v="8.4"/>
    <d v="2019-03-17T00:00:00"/>
    <x v="1"/>
    <x v="8"/>
    <x v="17"/>
    <x v="2"/>
  </r>
  <r>
    <s v="883-17-4236"/>
    <x v="1"/>
    <s v="Naypyitaw"/>
    <s v="Normal"/>
    <s v="Female"/>
    <x v="3"/>
    <n v="14.39"/>
    <n v="2"/>
    <n v="1.4390000000000001"/>
    <n v="30.219000000000001"/>
    <d v="2019-02-03T00:00:00"/>
    <d v="1899-12-30T19:44:00"/>
    <s v="Credit card"/>
    <n v="28.78"/>
    <n v="4.7619047620000003"/>
    <n v="1.4390000000000001"/>
    <n v="7.2"/>
    <d v="2019-03-02T00:00:00"/>
    <x v="1"/>
    <x v="8"/>
    <x v="8"/>
    <x v="0"/>
  </r>
  <r>
    <s v="290-68-2984"/>
    <x v="0"/>
    <s v="Yangon"/>
    <s v="Normal"/>
    <s v="Male"/>
    <x v="2"/>
    <n v="23.75"/>
    <n v="4"/>
    <n v="4.75"/>
    <n v="99.75"/>
    <s v="3/16/2019"/>
    <d v="1899-12-30T11:22:00"/>
    <s v="Cash"/>
    <n v="95"/>
    <n v="4.7619047620000003"/>
    <n v="4.75"/>
    <n v="5.2"/>
    <d v="2019-03-16T00:00:00"/>
    <x v="1"/>
    <x v="5"/>
    <x v="23"/>
    <x v="0"/>
  </r>
  <r>
    <s v="704-11-6354"/>
    <x v="0"/>
    <s v="Yangon"/>
    <s v="Member"/>
    <s v="Male"/>
    <x v="2"/>
    <n v="58.9"/>
    <n v="8"/>
    <n v="23.56"/>
    <n v="494.76"/>
    <d v="2019-06-01T00:00:00"/>
    <d v="1899-12-30T11:23:00"/>
    <s v="Cash"/>
    <n v="471.2"/>
    <n v="4.7619047620000003"/>
    <n v="23.56"/>
    <n v="8.9"/>
    <d v="2019-01-06T00:00:00"/>
    <x v="0"/>
    <x v="5"/>
    <x v="20"/>
    <x v="2"/>
  </r>
  <r>
    <s v="110-48-7033"/>
    <x v="2"/>
    <s v="Mandalay"/>
    <s v="Member"/>
    <s v="Male"/>
    <x v="5"/>
    <n v="32.619999999999997"/>
    <n v="4"/>
    <n v="6.524"/>
    <n v="137.00399999999999"/>
    <s v="1/29/2019"/>
    <d v="1899-12-30T14:12:00"/>
    <s v="Cash"/>
    <n v="130.47999999999999"/>
    <n v="4.7619047620000003"/>
    <n v="6.524"/>
    <n v="9"/>
    <d v="2019-01-29T00:00:00"/>
    <x v="0"/>
    <x v="4"/>
    <x v="12"/>
    <x v="5"/>
  </r>
  <r>
    <s v="366-93-0948"/>
    <x v="0"/>
    <s v="Yangon"/>
    <s v="Member"/>
    <s v="Male"/>
    <x v="1"/>
    <n v="66.349999999999994"/>
    <n v="1"/>
    <n v="3.3174999999999999"/>
    <n v="69.667500000000004"/>
    <s v="1/31/2019"/>
    <d v="1899-12-30T10:46:00"/>
    <s v="Credit card"/>
    <n v="66.349999999999994"/>
    <n v="4.7619047620000003"/>
    <n v="3.3174999999999999"/>
    <n v="9.6999999999999993"/>
    <d v="2019-01-31T00:00:00"/>
    <x v="0"/>
    <x v="1"/>
    <x v="30"/>
    <x v="4"/>
  </r>
  <r>
    <s v="729-09-9681"/>
    <x v="0"/>
    <s v="Yangon"/>
    <s v="Member"/>
    <s v="Male"/>
    <x v="2"/>
    <n v="25.91"/>
    <n v="6"/>
    <n v="7.7729999999999997"/>
    <n v="163.233"/>
    <d v="2019-05-02T00:00:00"/>
    <d v="1899-12-30T10:16:00"/>
    <s v="Ewallet"/>
    <n v="155.46"/>
    <n v="4.7619047620000003"/>
    <n v="7.7729999999999997"/>
    <n v="8.6999999999999993"/>
    <d v="2019-02-05T00:00:00"/>
    <x v="2"/>
    <x v="1"/>
    <x v="0"/>
    <x v="5"/>
  </r>
  <r>
    <s v="151-16-1484"/>
    <x v="0"/>
    <s v="Yangon"/>
    <s v="Member"/>
    <s v="Male"/>
    <x v="1"/>
    <n v="32.25"/>
    <n v="4"/>
    <n v="6.45"/>
    <n v="135.44999999999999"/>
    <s v="2/13/2019"/>
    <d v="1899-12-30T12:38:00"/>
    <s v="Ewallet"/>
    <n v="129"/>
    <n v="4.7619047620000003"/>
    <n v="6.45"/>
    <n v="6.5"/>
    <d v="2019-02-13T00:00:00"/>
    <x v="2"/>
    <x v="10"/>
    <x v="26"/>
    <x v="6"/>
  </r>
  <r>
    <s v="380-94-4661"/>
    <x v="1"/>
    <s v="Naypyitaw"/>
    <s v="Member"/>
    <s v="Male"/>
    <x v="1"/>
    <n v="65.94"/>
    <n v="4"/>
    <n v="13.188000000000001"/>
    <n v="276.94799999999998"/>
    <d v="2019-07-02T00:00:00"/>
    <d v="1899-12-30T13:05:00"/>
    <s v="Credit card"/>
    <n v="263.76"/>
    <n v="4.7619047620000003"/>
    <n v="13.188000000000001"/>
    <n v="6.9"/>
    <d v="2019-02-07T00:00:00"/>
    <x v="2"/>
    <x v="0"/>
    <x v="11"/>
    <x v="4"/>
  </r>
  <r>
    <s v="850-41-9669"/>
    <x v="0"/>
    <s v="Yangon"/>
    <s v="Normal"/>
    <s v="Female"/>
    <x v="1"/>
    <n v="75.06"/>
    <n v="9"/>
    <n v="33.777000000000001"/>
    <n v="709.31700000000001"/>
    <s v="3/19/2019"/>
    <d v="1899-12-30T13:25:00"/>
    <s v="Ewallet"/>
    <n v="675.54"/>
    <n v="4.7619047620000003"/>
    <n v="33.777000000000001"/>
    <n v="6.2"/>
    <d v="2019-03-19T00:00:00"/>
    <x v="1"/>
    <x v="0"/>
    <x v="24"/>
    <x v="5"/>
  </r>
  <r>
    <s v="821-07-3596"/>
    <x v="1"/>
    <s v="Naypyitaw"/>
    <s v="Normal"/>
    <s v="Female"/>
    <x v="5"/>
    <n v="16.45"/>
    <n v="4"/>
    <n v="3.29"/>
    <n v="69.09"/>
    <d v="2019-07-03T00:00:00"/>
    <d v="1899-12-30T14:53:00"/>
    <s v="Ewallet"/>
    <n v="65.8"/>
    <n v="4.7619047620000003"/>
    <n v="3.29"/>
    <n v="5.6"/>
    <d v="2019-03-07T00:00:00"/>
    <x v="1"/>
    <x v="4"/>
    <x v="11"/>
    <x v="4"/>
  </r>
  <r>
    <s v="655-85-5130"/>
    <x v="2"/>
    <s v="Mandalay"/>
    <s v="Member"/>
    <s v="Female"/>
    <x v="5"/>
    <n v="38.299999999999997"/>
    <n v="4"/>
    <n v="7.66"/>
    <n v="160.86000000000001"/>
    <s v="3/13/2019"/>
    <d v="1899-12-30T19:22:00"/>
    <s v="Cash"/>
    <n v="153.19999999999999"/>
    <n v="4.7619047620000003"/>
    <n v="7.66"/>
    <n v="5.7"/>
    <d v="2019-03-13T00:00:00"/>
    <x v="1"/>
    <x v="8"/>
    <x v="26"/>
    <x v="6"/>
  </r>
  <r>
    <s v="447-15-7839"/>
    <x v="0"/>
    <s v="Yangon"/>
    <s v="Member"/>
    <s v="Female"/>
    <x v="3"/>
    <n v="22.24"/>
    <n v="10"/>
    <n v="11.12"/>
    <n v="233.52"/>
    <d v="2019-09-02T00:00:00"/>
    <d v="1899-12-30T11:00:00"/>
    <s v="Cash"/>
    <n v="222.4"/>
    <n v="4.7619047620000003"/>
    <n v="11.12"/>
    <n v="4.2"/>
    <d v="2019-02-09T00:00:00"/>
    <x v="2"/>
    <x v="5"/>
    <x v="9"/>
    <x v="0"/>
  </r>
  <r>
    <s v="154-74-7179"/>
    <x v="2"/>
    <s v="Mandalay"/>
    <s v="Normal"/>
    <s v="Male"/>
    <x v="3"/>
    <n v="54.45"/>
    <n v="1"/>
    <n v="2.7225000000000001"/>
    <n v="57.172499999999999"/>
    <s v="2/26/2019"/>
    <d v="1899-12-30T19:24:00"/>
    <s v="Ewallet"/>
    <n v="54.45"/>
    <n v="4.7619047620000003"/>
    <n v="2.7225000000000001"/>
    <n v="7.9"/>
    <d v="2019-02-26T00:00:00"/>
    <x v="2"/>
    <x v="8"/>
    <x v="27"/>
    <x v="5"/>
  </r>
  <r>
    <s v="253-12-6086"/>
    <x v="0"/>
    <s v="Yangon"/>
    <s v="Member"/>
    <s v="Female"/>
    <x v="3"/>
    <n v="98.4"/>
    <n v="7"/>
    <n v="34.44"/>
    <n v="723.24"/>
    <d v="2019-12-03T00:00:00"/>
    <d v="1899-12-30T12:43:00"/>
    <s v="Credit card"/>
    <n v="688.8"/>
    <n v="4.7619047620000003"/>
    <n v="34.44"/>
    <n v="8.6999999999999993"/>
    <d v="2019-03-12T00:00:00"/>
    <x v="1"/>
    <x v="10"/>
    <x v="10"/>
    <x v="5"/>
  </r>
  <r>
    <s v="808-65-0703"/>
    <x v="1"/>
    <s v="Naypyitaw"/>
    <s v="Normal"/>
    <s v="Male"/>
    <x v="2"/>
    <n v="35.47"/>
    <n v="4"/>
    <n v="7.0940000000000003"/>
    <n v="148.97399999999999"/>
    <s v="3/14/2019"/>
    <d v="1899-12-30T17:22:00"/>
    <s v="Credit card"/>
    <n v="141.88"/>
    <n v="4.7619047620000003"/>
    <n v="7.0940000000000003"/>
    <n v="6.9"/>
    <d v="2019-03-14T00:00:00"/>
    <x v="1"/>
    <x v="6"/>
    <x v="25"/>
    <x v="4"/>
  </r>
  <r>
    <s v="571-94-0759"/>
    <x v="2"/>
    <s v="Mandalay"/>
    <s v="Member"/>
    <s v="Female"/>
    <x v="4"/>
    <n v="74.599999999999994"/>
    <n v="10"/>
    <n v="37.299999999999997"/>
    <n v="783.3"/>
    <d v="2019-08-01T00:00:00"/>
    <d v="1899-12-30T20:55:00"/>
    <s v="Cash"/>
    <n v="746"/>
    <n v="4.7619047620000003"/>
    <n v="37.299999999999997"/>
    <n v="9.5"/>
    <d v="2019-01-08T00:00:00"/>
    <x v="0"/>
    <x v="2"/>
    <x v="1"/>
    <x v="5"/>
  </r>
  <r>
    <s v="144-51-6085"/>
    <x v="0"/>
    <s v="Yangon"/>
    <s v="Member"/>
    <s v="Male"/>
    <x v="2"/>
    <n v="70.739999999999995"/>
    <n v="4"/>
    <n v="14.148"/>
    <n v="297.108"/>
    <d v="2019-05-01T00:00:00"/>
    <d v="1899-12-30T16:05:00"/>
    <s v="Credit card"/>
    <n v="282.95999999999998"/>
    <n v="4.7619047620000003"/>
    <n v="14.148"/>
    <n v="4.4000000000000004"/>
    <d v="2019-01-05T00:00:00"/>
    <x v="0"/>
    <x v="7"/>
    <x v="0"/>
    <x v="0"/>
  </r>
  <r>
    <s v="731-14-2199"/>
    <x v="0"/>
    <s v="Yangon"/>
    <s v="Member"/>
    <s v="Female"/>
    <x v="2"/>
    <n v="35.54"/>
    <n v="10"/>
    <n v="17.77"/>
    <n v="373.17"/>
    <d v="2019-04-01T00:00:00"/>
    <d v="1899-12-30T13:34:00"/>
    <s v="Ewallet"/>
    <n v="355.4"/>
    <n v="4.7619047620000003"/>
    <n v="17.77"/>
    <n v="7"/>
    <d v="2019-01-04T00:00:00"/>
    <x v="0"/>
    <x v="0"/>
    <x v="22"/>
    <x v="1"/>
  </r>
  <r>
    <s v="783-09-1637"/>
    <x v="2"/>
    <s v="Mandalay"/>
    <s v="Normal"/>
    <s v="Female"/>
    <x v="3"/>
    <n v="67.430000000000007"/>
    <n v="5"/>
    <n v="16.857500000000002"/>
    <n v="354.00749999999999"/>
    <d v="2019-06-03T00:00:00"/>
    <d v="1899-12-30T18:13:00"/>
    <s v="Ewallet"/>
    <n v="337.15"/>
    <n v="4.7619047620000003"/>
    <n v="16.857500000000002"/>
    <n v="6.3"/>
    <d v="2019-03-06T00:00:00"/>
    <x v="1"/>
    <x v="3"/>
    <x v="20"/>
    <x v="6"/>
  </r>
  <r>
    <s v="687-15-1097"/>
    <x v="1"/>
    <s v="Naypyitaw"/>
    <s v="Member"/>
    <s v="Female"/>
    <x v="0"/>
    <n v="21.12"/>
    <n v="2"/>
    <n v="2.1120000000000001"/>
    <n v="44.351999999999997"/>
    <d v="2019-03-01T00:00:00"/>
    <d v="1899-12-30T19:17:00"/>
    <s v="Cash"/>
    <n v="42.24"/>
    <n v="4.7619047620000003"/>
    <n v="2.1120000000000001"/>
    <n v="9.6999999999999993"/>
    <d v="2019-01-03T00:00:00"/>
    <x v="0"/>
    <x v="8"/>
    <x v="2"/>
    <x v="4"/>
  </r>
  <r>
    <s v="126-54-1082"/>
    <x v="0"/>
    <s v="Yangon"/>
    <s v="Member"/>
    <s v="Female"/>
    <x v="2"/>
    <n v="21.54"/>
    <n v="9"/>
    <n v="9.6929999999999996"/>
    <n v="203.553"/>
    <d v="2019-07-01T00:00:00"/>
    <d v="1899-12-30T11:44:00"/>
    <s v="Credit card"/>
    <n v="193.86"/>
    <n v="4.7619047620000003"/>
    <n v="9.6929999999999996"/>
    <n v="8.8000000000000007"/>
    <d v="2019-01-07T00:00:00"/>
    <x v="0"/>
    <x v="5"/>
    <x v="11"/>
    <x v="3"/>
  </r>
  <r>
    <s v="633-91-1052"/>
    <x v="0"/>
    <s v="Yangon"/>
    <s v="Normal"/>
    <s v="Female"/>
    <x v="2"/>
    <n v="12.03"/>
    <n v="2"/>
    <n v="1.2030000000000001"/>
    <n v="25.263000000000002"/>
    <s v="1/27/2019"/>
    <d v="1899-12-30T15:51:00"/>
    <s v="Cash"/>
    <n v="24.06"/>
    <n v="4.7619047620000003"/>
    <n v="1.2030000000000001"/>
    <n v="5.0999999999999996"/>
    <d v="2019-01-27T00:00:00"/>
    <x v="0"/>
    <x v="9"/>
    <x v="3"/>
    <x v="2"/>
  </r>
  <r>
    <s v="477-24-6490"/>
    <x v="2"/>
    <s v="Mandalay"/>
    <s v="Normal"/>
    <s v="Female"/>
    <x v="0"/>
    <n v="99.71"/>
    <n v="6"/>
    <n v="29.913"/>
    <n v="628.173"/>
    <s v="2/26/2019"/>
    <d v="1899-12-30T16:52:00"/>
    <s v="Ewallet"/>
    <n v="598.26"/>
    <n v="4.7619047620000003"/>
    <n v="29.913"/>
    <n v="7.9"/>
    <d v="2019-02-26T00:00:00"/>
    <x v="2"/>
    <x v="7"/>
    <x v="27"/>
    <x v="5"/>
  </r>
  <r>
    <s v="566-19-5475"/>
    <x v="2"/>
    <s v="Mandalay"/>
    <s v="Normal"/>
    <s v="Male"/>
    <x v="5"/>
    <n v="47.97"/>
    <n v="7"/>
    <n v="16.7895"/>
    <n v="352.5795"/>
    <d v="2019-07-01T00:00:00"/>
    <d v="1899-12-30T20:52:00"/>
    <s v="Cash"/>
    <n v="335.79"/>
    <n v="4.7619047620000003"/>
    <n v="16.7895"/>
    <n v="6.2"/>
    <d v="2019-01-07T00:00:00"/>
    <x v="0"/>
    <x v="2"/>
    <x v="11"/>
    <x v="3"/>
  </r>
  <r>
    <s v="526-86-8552"/>
    <x v="1"/>
    <s v="Naypyitaw"/>
    <s v="Member"/>
    <s v="Female"/>
    <x v="2"/>
    <n v="21.82"/>
    <n v="10"/>
    <n v="10.91"/>
    <n v="229.11"/>
    <d v="2019-07-01T00:00:00"/>
    <d v="1899-12-30T17:36:00"/>
    <s v="Cash"/>
    <n v="218.2"/>
    <n v="4.7619047620000003"/>
    <n v="10.91"/>
    <n v="7.1"/>
    <d v="2019-01-07T00:00:00"/>
    <x v="0"/>
    <x v="6"/>
    <x v="11"/>
    <x v="3"/>
  </r>
  <r>
    <s v="376-56-3573"/>
    <x v="1"/>
    <s v="Naypyitaw"/>
    <s v="Normal"/>
    <s v="Female"/>
    <x v="5"/>
    <n v="95.42"/>
    <n v="4"/>
    <n v="19.084"/>
    <n v="400.76400000000001"/>
    <d v="2019-02-02T00:00:00"/>
    <d v="1899-12-30T13:23:00"/>
    <s v="Ewallet"/>
    <n v="381.68"/>
    <n v="4.7619047620000003"/>
    <n v="19.084"/>
    <n v="6.4"/>
    <d v="2019-02-02T00:00:00"/>
    <x v="2"/>
    <x v="0"/>
    <x v="8"/>
    <x v="0"/>
  </r>
  <r>
    <s v="537-72-0426"/>
    <x v="1"/>
    <s v="Naypyitaw"/>
    <s v="Member"/>
    <s v="Male"/>
    <x v="5"/>
    <n v="70.989999999999995"/>
    <n v="10"/>
    <n v="35.494999999999997"/>
    <n v="745.39499999999998"/>
    <s v="3/20/2019"/>
    <d v="1899-12-30T16:28:00"/>
    <s v="Cash"/>
    <n v="709.9"/>
    <n v="4.7619047620000003"/>
    <n v="35.494999999999997"/>
    <n v="5.7"/>
    <d v="2019-03-20T00:00:00"/>
    <x v="1"/>
    <x v="7"/>
    <x v="7"/>
    <x v="6"/>
  </r>
  <r>
    <s v="828-61-5674"/>
    <x v="0"/>
    <s v="Yangon"/>
    <s v="Member"/>
    <s v="Male"/>
    <x v="3"/>
    <n v="44.02"/>
    <n v="10"/>
    <n v="22.01"/>
    <n v="462.21"/>
    <s v="3/20/2019"/>
    <d v="1899-12-30T19:57:00"/>
    <s v="Credit card"/>
    <n v="440.2"/>
    <n v="4.7619047620000003"/>
    <n v="22.01"/>
    <n v="9.6"/>
    <d v="2019-03-20T00:00:00"/>
    <x v="1"/>
    <x v="8"/>
    <x v="7"/>
    <x v="6"/>
  </r>
  <r>
    <s v="136-08-6195"/>
    <x v="0"/>
    <s v="Yangon"/>
    <s v="Normal"/>
    <s v="Female"/>
    <x v="2"/>
    <n v="69.959999999999994"/>
    <n v="8"/>
    <n v="27.984000000000002"/>
    <n v="587.66399999999999"/>
    <s v="2/15/2019"/>
    <d v="1899-12-30T17:01:00"/>
    <s v="Credit card"/>
    <n v="559.67999999999995"/>
    <n v="4.7619047620000003"/>
    <n v="27.984000000000002"/>
    <n v="6.4"/>
    <d v="2019-02-15T00:00:00"/>
    <x v="2"/>
    <x v="6"/>
    <x v="13"/>
    <x v="1"/>
  </r>
  <r>
    <s v="523-38-0215"/>
    <x v="1"/>
    <s v="Naypyitaw"/>
    <s v="Normal"/>
    <s v="Male"/>
    <x v="2"/>
    <n v="37"/>
    <n v="1"/>
    <n v="1.85"/>
    <n v="38.85"/>
    <d v="2019-06-03T00:00:00"/>
    <d v="1899-12-30T13:29:00"/>
    <s v="Credit card"/>
    <n v="37"/>
    <n v="4.7619047620000003"/>
    <n v="1.85"/>
    <n v="7.9"/>
    <d v="2019-03-06T00:00:00"/>
    <x v="1"/>
    <x v="0"/>
    <x v="20"/>
    <x v="6"/>
  </r>
  <r>
    <s v="490-29-1201"/>
    <x v="0"/>
    <s v="Yangon"/>
    <s v="Normal"/>
    <s v="Female"/>
    <x v="3"/>
    <n v="15.34"/>
    <n v="1"/>
    <n v="0.76700000000000002"/>
    <n v="16.106999999999999"/>
    <d v="2019-06-01T00:00:00"/>
    <d v="1899-12-30T11:09:00"/>
    <s v="Cash"/>
    <n v="15.34"/>
    <n v="4.7619047620000003"/>
    <n v="0.76700000000000002"/>
    <n v="6.5"/>
    <d v="2019-01-06T00:00:00"/>
    <x v="0"/>
    <x v="5"/>
    <x v="20"/>
    <x v="2"/>
  </r>
  <r>
    <s v="667-92-0055"/>
    <x v="0"/>
    <s v="Yangon"/>
    <s v="Member"/>
    <s v="Male"/>
    <x v="0"/>
    <n v="99.83"/>
    <n v="6"/>
    <n v="29.949000000000002"/>
    <n v="628.92899999999997"/>
    <d v="2019-04-03T00:00:00"/>
    <d v="1899-12-30T15:02:00"/>
    <s v="Ewallet"/>
    <n v="598.98"/>
    <n v="4.7619047620000003"/>
    <n v="29.949000000000002"/>
    <n v="8.5"/>
    <d v="2019-03-04T00:00:00"/>
    <x v="1"/>
    <x v="9"/>
    <x v="22"/>
    <x v="3"/>
  </r>
  <r>
    <s v="565-17-3836"/>
    <x v="0"/>
    <s v="Yangon"/>
    <s v="Member"/>
    <s v="Female"/>
    <x v="0"/>
    <n v="47.67"/>
    <n v="4"/>
    <n v="9.5340000000000007"/>
    <n v="200.214"/>
    <d v="2019-12-03T00:00:00"/>
    <d v="1899-12-30T14:21:00"/>
    <s v="Cash"/>
    <n v="190.68"/>
    <n v="4.7619047620000003"/>
    <n v="9.5340000000000007"/>
    <n v="9.1"/>
    <d v="2019-03-12T00:00:00"/>
    <x v="1"/>
    <x v="4"/>
    <x v="10"/>
    <x v="5"/>
  </r>
  <r>
    <s v="498-41-1961"/>
    <x v="2"/>
    <s v="Mandalay"/>
    <s v="Normal"/>
    <s v="Male"/>
    <x v="0"/>
    <n v="66.680000000000007"/>
    <n v="5"/>
    <n v="16.670000000000002"/>
    <n v="350.07"/>
    <s v="2/20/2019"/>
    <d v="1899-12-30T18:01:00"/>
    <s v="Cash"/>
    <n v="333.4"/>
    <n v="4.7619047620000003"/>
    <n v="16.670000000000002"/>
    <n v="7.6"/>
    <d v="2019-02-20T00:00:00"/>
    <x v="2"/>
    <x v="3"/>
    <x v="7"/>
    <x v="6"/>
  </r>
  <r>
    <s v="593-95-4461"/>
    <x v="1"/>
    <s v="Naypyitaw"/>
    <s v="Member"/>
    <s v="Male"/>
    <x v="2"/>
    <n v="74.86"/>
    <n v="1"/>
    <n v="3.7429999999999999"/>
    <n v="78.602999999999994"/>
    <s v="3/24/2019"/>
    <d v="1899-12-30T14:49:00"/>
    <s v="Cash"/>
    <n v="74.86"/>
    <n v="4.7619047620000003"/>
    <n v="3.7429999999999999"/>
    <n v="6.9"/>
    <d v="2019-03-24T00:00:00"/>
    <x v="1"/>
    <x v="4"/>
    <x v="5"/>
    <x v="2"/>
  </r>
  <r>
    <s v="226-71-3580"/>
    <x v="1"/>
    <s v="Naypyitaw"/>
    <s v="Normal"/>
    <s v="Female"/>
    <x v="3"/>
    <n v="23.75"/>
    <n v="9"/>
    <n v="10.6875"/>
    <n v="224.4375"/>
    <s v="1/31/2019"/>
    <d v="1899-12-30T12:02:00"/>
    <s v="Cash"/>
    <n v="213.75"/>
    <n v="4.7619047620000003"/>
    <n v="10.6875"/>
    <n v="9.5"/>
    <d v="2019-01-31T00:00:00"/>
    <x v="0"/>
    <x v="10"/>
    <x v="30"/>
    <x v="4"/>
  </r>
  <r>
    <s v="283-79-9594"/>
    <x v="2"/>
    <s v="Mandalay"/>
    <s v="Normal"/>
    <s v="Female"/>
    <x v="4"/>
    <n v="48.51"/>
    <n v="7"/>
    <n v="16.9785"/>
    <n v="356.54849999999999"/>
    <s v="1/25/2019"/>
    <d v="1899-12-30T13:30:00"/>
    <s v="Credit card"/>
    <n v="339.57"/>
    <n v="4.7619047620000003"/>
    <n v="16.9785"/>
    <n v="5.2"/>
    <d v="2019-01-25T00:00:00"/>
    <x v="0"/>
    <x v="0"/>
    <x v="4"/>
    <x v="1"/>
  </r>
  <r>
    <s v="430-60-3493"/>
    <x v="0"/>
    <s v="Yangon"/>
    <s v="Member"/>
    <s v="Female"/>
    <x v="2"/>
    <n v="94.88"/>
    <n v="7"/>
    <n v="33.207999999999998"/>
    <n v="697.36800000000005"/>
    <d v="2019-03-02T00:00:00"/>
    <d v="1899-12-30T14:38:00"/>
    <s v="Cash"/>
    <n v="664.16"/>
    <n v="4.7619047620000003"/>
    <n v="33.207999999999998"/>
    <n v="4.2"/>
    <d v="2019-02-03T00:00:00"/>
    <x v="2"/>
    <x v="4"/>
    <x v="2"/>
    <x v="2"/>
  </r>
  <r>
    <s v="139-20-0155"/>
    <x v="2"/>
    <s v="Mandalay"/>
    <s v="Member"/>
    <s v="Male"/>
    <x v="1"/>
    <n v="40.299999999999997"/>
    <n v="10"/>
    <n v="20.149999999999999"/>
    <n v="423.15"/>
    <s v="1/24/2019"/>
    <d v="1899-12-30T17:37:00"/>
    <s v="Credit card"/>
    <n v="403"/>
    <n v="4.7619047620000003"/>
    <n v="20.149999999999999"/>
    <n v="7"/>
    <d v="2019-01-24T00:00:00"/>
    <x v="0"/>
    <x v="6"/>
    <x v="5"/>
    <x v="4"/>
  </r>
  <r>
    <s v="558-80-4082"/>
    <x v="1"/>
    <s v="Naypyitaw"/>
    <s v="Normal"/>
    <s v="Male"/>
    <x v="1"/>
    <n v="27.85"/>
    <n v="7"/>
    <n v="9.7475000000000005"/>
    <n v="204.69749999999999"/>
    <s v="3/14/2019"/>
    <d v="1899-12-30T17:20:00"/>
    <s v="Ewallet"/>
    <n v="194.95"/>
    <n v="4.7619047620000003"/>
    <n v="9.7475000000000005"/>
    <n v="6"/>
    <d v="2019-03-14T00:00:00"/>
    <x v="1"/>
    <x v="6"/>
    <x v="25"/>
    <x v="4"/>
  </r>
  <r>
    <s v="278-97-7759"/>
    <x v="0"/>
    <s v="Yangon"/>
    <s v="Member"/>
    <s v="Female"/>
    <x v="1"/>
    <n v="62.48"/>
    <n v="1"/>
    <n v="3.1240000000000001"/>
    <n v="65.603999999999999"/>
    <s v="2/18/2019"/>
    <d v="1899-12-30T20:29:00"/>
    <s v="Cash"/>
    <n v="62.48"/>
    <n v="4.7619047620000003"/>
    <n v="3.1240000000000001"/>
    <n v="4.7"/>
    <d v="2019-02-18T00:00:00"/>
    <x v="2"/>
    <x v="2"/>
    <x v="28"/>
    <x v="3"/>
  </r>
  <r>
    <s v="316-68-6352"/>
    <x v="0"/>
    <s v="Yangon"/>
    <s v="Member"/>
    <s v="Female"/>
    <x v="4"/>
    <n v="36.36"/>
    <n v="2"/>
    <n v="3.6360000000000001"/>
    <n v="76.355999999999995"/>
    <s v="1/21/2019"/>
    <d v="1899-12-30T10:00:00"/>
    <s v="Cash"/>
    <n v="72.72"/>
    <n v="4.7619047620000003"/>
    <n v="3.6360000000000001"/>
    <n v="7.1"/>
    <d v="2019-01-21T00:00:00"/>
    <x v="0"/>
    <x v="1"/>
    <x v="16"/>
    <x v="3"/>
  </r>
  <r>
    <s v="585-03-5943"/>
    <x v="2"/>
    <s v="Mandalay"/>
    <s v="Normal"/>
    <s v="Male"/>
    <x v="0"/>
    <n v="18.11"/>
    <n v="10"/>
    <n v="9.0549999999999997"/>
    <n v="190.155"/>
    <s v="3/13/2019"/>
    <d v="1899-12-30T11:46:00"/>
    <s v="Ewallet"/>
    <n v="181.1"/>
    <n v="4.7619047620000003"/>
    <n v="9.0549999999999997"/>
    <n v="5.9"/>
    <d v="2019-03-13T00:00:00"/>
    <x v="1"/>
    <x v="5"/>
    <x v="26"/>
    <x v="6"/>
  </r>
  <r>
    <s v="211-05-0490"/>
    <x v="1"/>
    <s v="Naypyitaw"/>
    <s v="Member"/>
    <s v="Female"/>
    <x v="1"/>
    <n v="51.92"/>
    <n v="5"/>
    <n v="12.98"/>
    <n v="272.58"/>
    <d v="2019-03-03T00:00:00"/>
    <d v="1899-12-30T13:42:00"/>
    <s v="Cash"/>
    <n v="259.60000000000002"/>
    <n v="4.7619047620000003"/>
    <n v="12.98"/>
    <n v="7.5"/>
    <d v="2019-03-03T00:00:00"/>
    <x v="1"/>
    <x v="0"/>
    <x v="2"/>
    <x v="2"/>
  </r>
  <r>
    <s v="727-75-6477"/>
    <x v="1"/>
    <s v="Naypyitaw"/>
    <s v="Normal"/>
    <s v="Male"/>
    <x v="1"/>
    <n v="28.84"/>
    <n v="4"/>
    <n v="5.7679999999999998"/>
    <n v="121.128"/>
    <s v="3/29/2019"/>
    <d v="1899-12-30T14:44:00"/>
    <s v="Cash"/>
    <n v="115.36"/>
    <n v="4.7619047620000003"/>
    <n v="5.7679999999999998"/>
    <n v="6.4"/>
    <d v="2019-03-29T00:00:00"/>
    <x v="1"/>
    <x v="4"/>
    <x v="12"/>
    <x v="1"/>
  </r>
  <r>
    <s v="744-02-5987"/>
    <x v="0"/>
    <s v="Yangon"/>
    <s v="Member"/>
    <s v="Male"/>
    <x v="2"/>
    <n v="78.38"/>
    <n v="6"/>
    <n v="23.513999999999999"/>
    <n v="493.79399999999998"/>
    <d v="2019-10-01T00:00:00"/>
    <d v="1899-12-30T14:16:00"/>
    <s v="Ewallet"/>
    <n v="470.28"/>
    <n v="4.7619047620000003"/>
    <n v="23.513999999999999"/>
    <n v="5.8"/>
    <d v="2019-01-10T00:00:00"/>
    <x v="0"/>
    <x v="4"/>
    <x v="6"/>
    <x v="4"/>
  </r>
  <r>
    <s v="307-83-9164"/>
    <x v="0"/>
    <s v="Yangon"/>
    <s v="Member"/>
    <s v="Male"/>
    <x v="2"/>
    <n v="60.01"/>
    <n v="4"/>
    <n v="12.002000000000001"/>
    <n v="252.042"/>
    <s v="1/25/2019"/>
    <d v="1899-12-30T15:54:00"/>
    <s v="Cash"/>
    <n v="240.04"/>
    <n v="4.7619047620000003"/>
    <n v="12.002000000000001"/>
    <n v="4.5"/>
    <d v="2019-01-25T00:00:00"/>
    <x v="0"/>
    <x v="9"/>
    <x v="4"/>
    <x v="1"/>
  </r>
  <r>
    <s v="779-06-0012"/>
    <x v="1"/>
    <s v="Naypyitaw"/>
    <s v="Member"/>
    <s v="Female"/>
    <x v="2"/>
    <n v="88.61"/>
    <n v="1"/>
    <n v="4.4305000000000003"/>
    <n v="93.040499999999994"/>
    <s v="1/19/2019"/>
    <d v="1899-12-30T10:21:00"/>
    <s v="Cash"/>
    <n v="88.61"/>
    <n v="4.7619047620000003"/>
    <n v="4.4305000000000003"/>
    <n v="7.7"/>
    <d v="2019-01-19T00:00:00"/>
    <x v="0"/>
    <x v="1"/>
    <x v="24"/>
    <x v="0"/>
  </r>
  <r>
    <s v="446-47-6729"/>
    <x v="1"/>
    <s v="Naypyitaw"/>
    <s v="Normal"/>
    <s v="Male"/>
    <x v="5"/>
    <n v="99.82"/>
    <n v="2"/>
    <n v="9.9819999999999993"/>
    <n v="209.62200000000001"/>
    <d v="2019-02-01T00:00:00"/>
    <d v="1899-12-30T18:09:00"/>
    <s v="Credit card"/>
    <n v="199.64"/>
    <n v="4.7619047620000003"/>
    <n v="9.9819999999999993"/>
    <n v="6.7"/>
    <d v="2019-01-02T00:00:00"/>
    <x v="0"/>
    <x v="3"/>
    <x v="8"/>
    <x v="6"/>
  </r>
  <r>
    <s v="573-10-3877"/>
    <x v="2"/>
    <s v="Mandalay"/>
    <s v="Member"/>
    <s v="Male"/>
    <x v="0"/>
    <n v="39.01"/>
    <n v="1"/>
    <n v="1.9504999999999999"/>
    <n v="40.960500000000003"/>
    <d v="2019-12-03T00:00:00"/>
    <d v="1899-12-30T16:46:00"/>
    <s v="Credit card"/>
    <n v="39.01"/>
    <n v="4.7619047620000003"/>
    <n v="1.9504999999999999"/>
    <n v="4.7"/>
    <d v="2019-03-12T00:00:00"/>
    <x v="1"/>
    <x v="7"/>
    <x v="10"/>
    <x v="5"/>
  </r>
  <r>
    <s v="735-06-4124"/>
    <x v="1"/>
    <s v="Naypyitaw"/>
    <s v="Normal"/>
    <s v="Male"/>
    <x v="4"/>
    <n v="48.61"/>
    <n v="1"/>
    <n v="2.4304999999999999"/>
    <n v="51.040500000000002"/>
    <s v="2/25/2019"/>
    <d v="1899-12-30T15:31:00"/>
    <s v="Cash"/>
    <n v="48.61"/>
    <n v="4.7619047620000003"/>
    <n v="2.4304999999999999"/>
    <n v="4.4000000000000004"/>
    <d v="2019-02-25T00:00:00"/>
    <x v="2"/>
    <x v="9"/>
    <x v="4"/>
    <x v="3"/>
  </r>
  <r>
    <s v="439-54-7422"/>
    <x v="0"/>
    <s v="Yangon"/>
    <s v="Normal"/>
    <s v="Female"/>
    <x v="1"/>
    <n v="51.19"/>
    <n v="4"/>
    <n v="10.238"/>
    <n v="214.99799999999999"/>
    <s v="3/18/2019"/>
    <d v="1899-12-30T17:15:00"/>
    <s v="Credit card"/>
    <n v="204.76"/>
    <n v="4.7619047620000003"/>
    <n v="10.238"/>
    <n v="4.7"/>
    <d v="2019-03-18T00:00:00"/>
    <x v="1"/>
    <x v="6"/>
    <x v="28"/>
    <x v="3"/>
  </r>
  <r>
    <s v="396-90-2219"/>
    <x v="2"/>
    <s v="Mandalay"/>
    <s v="Normal"/>
    <s v="Female"/>
    <x v="1"/>
    <n v="14.96"/>
    <n v="8"/>
    <n v="5.984"/>
    <n v="125.664"/>
    <s v="2/23/2019"/>
    <d v="1899-12-30T12:29:00"/>
    <s v="Cash"/>
    <n v="119.68"/>
    <n v="4.7619047620000003"/>
    <n v="5.984"/>
    <n v="8.6"/>
    <d v="2019-02-23T00:00:00"/>
    <x v="2"/>
    <x v="10"/>
    <x v="21"/>
    <x v="0"/>
  </r>
  <r>
    <s v="411-77-0180"/>
    <x v="0"/>
    <s v="Yangon"/>
    <s v="Member"/>
    <s v="Male"/>
    <x v="1"/>
    <n v="72.2"/>
    <n v="7"/>
    <n v="25.27"/>
    <n v="530.66999999999996"/>
    <s v="3/26/2019"/>
    <d v="1899-12-30T20:14:00"/>
    <s v="Ewallet"/>
    <n v="505.4"/>
    <n v="4.7619047620000003"/>
    <n v="25.27"/>
    <n v="4.3"/>
    <d v="2019-03-26T00:00:00"/>
    <x v="1"/>
    <x v="2"/>
    <x v="27"/>
    <x v="5"/>
  </r>
  <r>
    <s v="286-01-5402"/>
    <x v="0"/>
    <s v="Yangon"/>
    <s v="Normal"/>
    <s v="Female"/>
    <x v="3"/>
    <n v="40.229999999999997"/>
    <n v="7"/>
    <n v="14.080500000000001"/>
    <n v="295.69049999999999"/>
    <s v="3/30/2019"/>
    <d v="1899-12-30T13:22:00"/>
    <s v="Cash"/>
    <n v="281.61"/>
    <n v="4.7619047620000003"/>
    <n v="14.080500000000001"/>
    <n v="9.6"/>
    <d v="2019-03-30T00:00:00"/>
    <x v="1"/>
    <x v="0"/>
    <x v="29"/>
    <x v="0"/>
  </r>
  <r>
    <s v="803-17-8013"/>
    <x v="0"/>
    <s v="Yangon"/>
    <s v="Member"/>
    <s v="Female"/>
    <x v="2"/>
    <n v="88.79"/>
    <n v="8"/>
    <n v="35.515999999999998"/>
    <n v="745.83600000000001"/>
    <s v="2/17/2019"/>
    <d v="1899-12-30T17:09:00"/>
    <s v="Cash"/>
    <n v="710.32"/>
    <n v="4.7619047620000003"/>
    <n v="35.515999999999998"/>
    <n v="4.0999999999999996"/>
    <d v="2019-02-17T00:00:00"/>
    <x v="2"/>
    <x v="6"/>
    <x v="17"/>
    <x v="2"/>
  </r>
  <r>
    <s v="512-98-1403"/>
    <x v="0"/>
    <s v="Yangon"/>
    <s v="Member"/>
    <s v="Female"/>
    <x v="1"/>
    <n v="26.48"/>
    <n v="3"/>
    <n v="3.972"/>
    <n v="83.412000000000006"/>
    <s v="3/21/2019"/>
    <d v="1899-12-30T10:40:00"/>
    <s v="Ewallet"/>
    <n v="79.44"/>
    <n v="4.7619047620000003"/>
    <n v="3.972"/>
    <n v="4.7"/>
    <d v="2019-03-21T00:00:00"/>
    <x v="1"/>
    <x v="1"/>
    <x v="16"/>
    <x v="4"/>
  </r>
  <r>
    <s v="848-42-2560"/>
    <x v="0"/>
    <s v="Yangon"/>
    <s v="Normal"/>
    <s v="Female"/>
    <x v="5"/>
    <n v="81.91"/>
    <n v="2"/>
    <n v="8.1910000000000007"/>
    <n v="172.011"/>
    <d v="2019-05-03T00:00:00"/>
    <d v="1899-12-30T17:43:00"/>
    <s v="Cash"/>
    <n v="163.82"/>
    <n v="4.7619047620000003"/>
    <n v="8.1910000000000007"/>
    <n v="7.8"/>
    <d v="2019-03-05T00:00:00"/>
    <x v="1"/>
    <x v="6"/>
    <x v="0"/>
    <x v="5"/>
  </r>
  <r>
    <s v="532-59-7201"/>
    <x v="2"/>
    <s v="Mandalay"/>
    <s v="Member"/>
    <s v="Male"/>
    <x v="3"/>
    <n v="79.930000000000007"/>
    <n v="6"/>
    <n v="23.978999999999999"/>
    <n v="503.55900000000003"/>
    <s v="1/31/2019"/>
    <d v="1899-12-30T14:04:00"/>
    <s v="Cash"/>
    <n v="479.58"/>
    <n v="4.7619047620000003"/>
    <n v="23.978999999999999"/>
    <n v="5.5"/>
    <d v="2019-01-31T00:00:00"/>
    <x v="0"/>
    <x v="4"/>
    <x v="30"/>
    <x v="4"/>
  </r>
  <r>
    <s v="181-94-6432"/>
    <x v="1"/>
    <s v="Naypyitaw"/>
    <s v="Member"/>
    <s v="Male"/>
    <x v="5"/>
    <n v="69.33"/>
    <n v="2"/>
    <n v="6.9329999999999998"/>
    <n v="145.59299999999999"/>
    <d v="2019-05-02T00:00:00"/>
    <d v="1899-12-30T19:05:00"/>
    <s v="Ewallet"/>
    <n v="138.66"/>
    <n v="4.7619047620000003"/>
    <n v="6.9329999999999998"/>
    <n v="9.6999999999999993"/>
    <d v="2019-02-05T00:00:00"/>
    <x v="2"/>
    <x v="8"/>
    <x v="0"/>
    <x v="5"/>
  </r>
  <r>
    <s v="870-76-1733"/>
    <x v="0"/>
    <s v="Yangon"/>
    <s v="Member"/>
    <s v="Female"/>
    <x v="4"/>
    <n v="14.23"/>
    <n v="5"/>
    <n v="3.5575000000000001"/>
    <n v="74.707499999999996"/>
    <d v="2019-01-02T00:00:00"/>
    <d v="1899-12-30T10:08:00"/>
    <s v="Credit card"/>
    <n v="71.150000000000006"/>
    <n v="4.7619047620000003"/>
    <n v="3.5575000000000001"/>
    <n v="4.4000000000000004"/>
    <d v="2019-02-01T00:00:00"/>
    <x v="2"/>
    <x v="1"/>
    <x v="15"/>
    <x v="1"/>
  </r>
  <r>
    <s v="423-64-4619"/>
    <x v="0"/>
    <s v="Yangon"/>
    <s v="Member"/>
    <s v="Female"/>
    <x v="0"/>
    <n v="15.55"/>
    <n v="9"/>
    <n v="6.9974999999999996"/>
    <n v="146.94749999999999"/>
    <d v="2019-07-03T00:00:00"/>
    <d v="1899-12-30T13:12:00"/>
    <s v="Cash"/>
    <n v="139.94999999999999"/>
    <n v="4.7619047620000003"/>
    <n v="6.9974999999999996"/>
    <n v="5"/>
    <d v="2019-03-07T00:00:00"/>
    <x v="1"/>
    <x v="0"/>
    <x v="11"/>
    <x v="4"/>
  </r>
  <r>
    <s v="227-07-4446"/>
    <x v="1"/>
    <s v="Naypyitaw"/>
    <s v="Member"/>
    <s v="Female"/>
    <x v="1"/>
    <n v="78.13"/>
    <n v="10"/>
    <n v="39.064999999999998"/>
    <n v="820.36500000000001"/>
    <d v="2019-10-02T00:00:00"/>
    <d v="1899-12-30T20:51:00"/>
    <s v="Cash"/>
    <n v="781.3"/>
    <n v="4.7619047620000003"/>
    <n v="39.064999999999998"/>
    <n v="4.4000000000000004"/>
    <d v="2019-02-10T00:00:00"/>
    <x v="2"/>
    <x v="2"/>
    <x v="6"/>
    <x v="2"/>
  </r>
  <r>
    <s v="174-36-3675"/>
    <x v="1"/>
    <s v="Naypyitaw"/>
    <s v="Member"/>
    <s v="Male"/>
    <x v="4"/>
    <n v="99.37"/>
    <n v="2"/>
    <n v="9.9369999999999994"/>
    <n v="208.67699999999999"/>
    <s v="2/14/2019"/>
    <d v="1899-12-30T17:29:00"/>
    <s v="Cash"/>
    <n v="198.74"/>
    <n v="4.7619047620000003"/>
    <n v="9.9369999999999994"/>
    <n v="5.2"/>
    <d v="2019-02-14T00:00:00"/>
    <x v="2"/>
    <x v="6"/>
    <x v="25"/>
    <x v="4"/>
  </r>
  <r>
    <s v="428-83-5800"/>
    <x v="1"/>
    <s v="Naypyitaw"/>
    <s v="Member"/>
    <s v="Female"/>
    <x v="4"/>
    <n v="21.08"/>
    <n v="3"/>
    <n v="3.1619999999999999"/>
    <n v="66.402000000000001"/>
    <d v="2019-09-02T00:00:00"/>
    <d v="1899-12-30T10:25:00"/>
    <s v="Cash"/>
    <n v="63.24"/>
    <n v="4.7619047620000003"/>
    <n v="3.1619999999999999"/>
    <n v="7.3"/>
    <d v="2019-02-09T00:00:00"/>
    <x v="2"/>
    <x v="1"/>
    <x v="9"/>
    <x v="0"/>
  </r>
  <r>
    <s v="603-07-0961"/>
    <x v="1"/>
    <s v="Naypyitaw"/>
    <s v="Member"/>
    <s v="Male"/>
    <x v="1"/>
    <n v="74.790000000000006"/>
    <n v="5"/>
    <n v="18.697500000000002"/>
    <n v="392.64749999999998"/>
    <d v="2019-10-01T00:00:00"/>
    <d v="1899-12-30T11:34:00"/>
    <s v="Cash"/>
    <n v="373.95"/>
    <n v="4.7619047620000003"/>
    <n v="18.697500000000002"/>
    <n v="4.9000000000000004"/>
    <d v="2019-01-10T00:00:00"/>
    <x v="0"/>
    <x v="5"/>
    <x v="6"/>
    <x v="4"/>
  </r>
  <r>
    <s v="704-20-4138"/>
    <x v="1"/>
    <s v="Naypyitaw"/>
    <s v="Member"/>
    <s v="Female"/>
    <x v="0"/>
    <n v="29.67"/>
    <n v="7"/>
    <n v="10.384499999999999"/>
    <n v="218.0745"/>
    <d v="2019-11-03T00:00:00"/>
    <d v="1899-12-30T18:58:00"/>
    <s v="Credit card"/>
    <n v="207.69"/>
    <n v="4.7619047620000003"/>
    <n v="10.384499999999999"/>
    <n v="8.1"/>
    <d v="2019-03-11T00:00:00"/>
    <x v="1"/>
    <x v="3"/>
    <x v="14"/>
    <x v="3"/>
  </r>
  <r>
    <s v="787-15-1757"/>
    <x v="1"/>
    <s v="Naypyitaw"/>
    <s v="Member"/>
    <s v="Male"/>
    <x v="0"/>
    <n v="44.07"/>
    <n v="4"/>
    <n v="8.8140000000000001"/>
    <n v="185.09399999999999"/>
    <s v="2/18/2019"/>
    <d v="1899-12-30T16:28:00"/>
    <s v="Ewallet"/>
    <n v="176.28"/>
    <n v="4.7619047620000003"/>
    <n v="8.8140000000000001"/>
    <n v="8.4"/>
    <d v="2019-02-18T00:00:00"/>
    <x v="2"/>
    <x v="7"/>
    <x v="28"/>
    <x v="3"/>
  </r>
  <r>
    <s v="649-11-3678"/>
    <x v="1"/>
    <s v="Naypyitaw"/>
    <s v="Normal"/>
    <s v="Female"/>
    <x v="4"/>
    <n v="22.93"/>
    <n v="9"/>
    <n v="10.3185"/>
    <n v="216.6885"/>
    <s v="2/26/2019"/>
    <d v="1899-12-30T20:26:00"/>
    <s v="Cash"/>
    <n v="206.37"/>
    <n v="4.7619047620000003"/>
    <n v="10.3185"/>
    <n v="5.5"/>
    <d v="2019-02-26T00:00:00"/>
    <x v="2"/>
    <x v="2"/>
    <x v="27"/>
    <x v="5"/>
  </r>
  <r>
    <s v="622-20-1945"/>
    <x v="1"/>
    <s v="Naypyitaw"/>
    <s v="Normal"/>
    <s v="Female"/>
    <x v="0"/>
    <n v="39.42"/>
    <n v="1"/>
    <n v="1.9710000000000001"/>
    <n v="41.390999999999998"/>
    <s v="1/18/2019"/>
    <d v="1899-12-30T15:08:00"/>
    <s v="Cash"/>
    <n v="39.42"/>
    <n v="4.7619047620000003"/>
    <n v="1.9710000000000001"/>
    <n v="8.4"/>
    <d v="2019-01-18T00:00:00"/>
    <x v="0"/>
    <x v="9"/>
    <x v="28"/>
    <x v="1"/>
  </r>
  <r>
    <s v="372-94-8041"/>
    <x v="0"/>
    <s v="Yangon"/>
    <s v="Normal"/>
    <s v="Male"/>
    <x v="0"/>
    <n v="15.26"/>
    <n v="6"/>
    <n v="4.5780000000000003"/>
    <n v="96.138000000000005"/>
    <s v="2/15/2019"/>
    <d v="1899-12-30T18:03:00"/>
    <s v="Ewallet"/>
    <n v="91.56"/>
    <n v="4.7619047620000003"/>
    <n v="4.5780000000000003"/>
    <n v="9.8000000000000007"/>
    <d v="2019-02-15T00:00:00"/>
    <x v="2"/>
    <x v="3"/>
    <x v="13"/>
    <x v="1"/>
  </r>
  <r>
    <s v="563-91-7120"/>
    <x v="0"/>
    <s v="Yangon"/>
    <s v="Normal"/>
    <s v="Female"/>
    <x v="5"/>
    <n v="61.77"/>
    <n v="5"/>
    <n v="15.442500000000001"/>
    <n v="324.29250000000002"/>
    <d v="2019-08-03T00:00:00"/>
    <d v="1899-12-30T13:21:00"/>
    <s v="Cash"/>
    <n v="308.85000000000002"/>
    <n v="4.7619047620000003"/>
    <n v="15.442500000000001"/>
    <n v="6.7"/>
    <d v="2019-03-08T00:00:00"/>
    <x v="1"/>
    <x v="0"/>
    <x v="1"/>
    <x v="1"/>
  </r>
  <r>
    <s v="746-54-5508"/>
    <x v="0"/>
    <s v="Yangon"/>
    <s v="Normal"/>
    <s v="Male"/>
    <x v="2"/>
    <n v="21.52"/>
    <n v="6"/>
    <n v="6.4560000000000004"/>
    <n v="135.57599999999999"/>
    <s v="1/17/2019"/>
    <d v="1899-12-30T12:48:00"/>
    <s v="Credit card"/>
    <n v="129.12"/>
    <n v="4.7619047620000003"/>
    <n v="6.4560000000000004"/>
    <n v="9.4"/>
    <d v="2019-01-17T00:00:00"/>
    <x v="0"/>
    <x v="10"/>
    <x v="17"/>
    <x v="4"/>
  </r>
  <r>
    <s v="276-54-0879"/>
    <x v="2"/>
    <s v="Mandalay"/>
    <s v="Normal"/>
    <s v="Male"/>
    <x v="3"/>
    <n v="97.74"/>
    <n v="4"/>
    <n v="19.547999999999998"/>
    <n v="410.50799999999998"/>
    <d v="2019-12-03T00:00:00"/>
    <d v="1899-12-30T19:53:00"/>
    <s v="Ewallet"/>
    <n v="390.96"/>
    <n v="4.7619047620000003"/>
    <n v="19.547999999999998"/>
    <n v="6.4"/>
    <d v="2019-03-12T00:00:00"/>
    <x v="1"/>
    <x v="8"/>
    <x v="10"/>
    <x v="5"/>
  </r>
  <r>
    <s v="815-11-1168"/>
    <x v="0"/>
    <s v="Yangon"/>
    <s v="Member"/>
    <s v="Male"/>
    <x v="4"/>
    <n v="99.78"/>
    <n v="5"/>
    <n v="24.945"/>
    <n v="523.84500000000003"/>
    <d v="2019-09-03T00:00:00"/>
    <d v="1899-12-30T19:09:00"/>
    <s v="Cash"/>
    <n v="498.9"/>
    <n v="4.7619047620000003"/>
    <n v="24.945"/>
    <n v="5.4"/>
    <d v="2019-03-09T00:00:00"/>
    <x v="1"/>
    <x v="8"/>
    <x v="9"/>
    <x v="0"/>
  </r>
  <r>
    <s v="719-76-3868"/>
    <x v="1"/>
    <s v="Naypyitaw"/>
    <s v="Member"/>
    <s v="Male"/>
    <x v="4"/>
    <n v="94.26"/>
    <n v="4"/>
    <n v="18.852"/>
    <n v="395.892"/>
    <d v="2019-12-03T00:00:00"/>
    <d v="1899-12-30T16:30:00"/>
    <s v="Cash"/>
    <n v="377.04"/>
    <n v="4.7619047620000003"/>
    <n v="18.852"/>
    <n v="8.6"/>
    <d v="2019-03-12T00:00:00"/>
    <x v="1"/>
    <x v="7"/>
    <x v="10"/>
    <x v="5"/>
  </r>
  <r>
    <s v="730-61-8757"/>
    <x v="2"/>
    <s v="Mandalay"/>
    <s v="Member"/>
    <s v="Male"/>
    <x v="0"/>
    <n v="51.13"/>
    <n v="4"/>
    <n v="10.226000000000001"/>
    <n v="214.74600000000001"/>
    <s v="1/25/2019"/>
    <d v="1899-12-30T10:11:00"/>
    <s v="Credit card"/>
    <n v="204.52"/>
    <n v="4.7619047620000003"/>
    <n v="10.226000000000001"/>
    <n v="4"/>
    <d v="2019-01-25T00:00:00"/>
    <x v="0"/>
    <x v="1"/>
    <x v="4"/>
    <x v="1"/>
  </r>
  <r>
    <s v="340-66-0321"/>
    <x v="0"/>
    <s v="Yangon"/>
    <s v="Member"/>
    <s v="Male"/>
    <x v="1"/>
    <n v="36.36"/>
    <n v="4"/>
    <n v="7.2720000000000002"/>
    <n v="152.71199999999999"/>
    <s v="3/25/2019"/>
    <d v="1899-12-30T13:07:00"/>
    <s v="Cash"/>
    <n v="145.44"/>
    <n v="4.7619047620000003"/>
    <n v="7.2720000000000002"/>
    <n v="7.6"/>
    <d v="2019-03-25T00:00:00"/>
    <x v="1"/>
    <x v="0"/>
    <x v="4"/>
    <x v="3"/>
  </r>
  <r>
    <s v="868-81-1752"/>
    <x v="2"/>
    <s v="Mandalay"/>
    <s v="Normal"/>
    <s v="Male"/>
    <x v="2"/>
    <n v="22.02"/>
    <n v="9"/>
    <n v="9.9090000000000007"/>
    <n v="208.089"/>
    <d v="2019-07-02T00:00:00"/>
    <d v="1899-12-30T18:48:00"/>
    <s v="Cash"/>
    <n v="198.18"/>
    <n v="4.7619047620000003"/>
    <n v="9.9090000000000007"/>
    <n v="6.8"/>
    <d v="2019-02-07T00:00:00"/>
    <x v="2"/>
    <x v="3"/>
    <x v="11"/>
    <x v="4"/>
  </r>
  <r>
    <s v="634-97-8956"/>
    <x v="0"/>
    <s v="Yangon"/>
    <s v="Normal"/>
    <s v="Male"/>
    <x v="4"/>
    <n v="32.9"/>
    <n v="3"/>
    <n v="4.9349999999999996"/>
    <n v="103.63500000000001"/>
    <s v="2/17/2019"/>
    <d v="1899-12-30T17:27:00"/>
    <s v="Credit card"/>
    <n v="98.7"/>
    <n v="4.7619047620000003"/>
    <n v="4.9349999999999996"/>
    <n v="9.1"/>
    <d v="2019-02-17T00:00:00"/>
    <x v="2"/>
    <x v="6"/>
    <x v="17"/>
    <x v="2"/>
  </r>
  <r>
    <s v="566-71-1091"/>
    <x v="0"/>
    <s v="Yangon"/>
    <s v="Normal"/>
    <s v="Male"/>
    <x v="5"/>
    <n v="77.02"/>
    <n v="5"/>
    <n v="19.254999999999999"/>
    <n v="404.35500000000002"/>
    <d v="2019-03-02T00:00:00"/>
    <d v="1899-12-30T15:59:00"/>
    <s v="Cash"/>
    <n v="385.1"/>
    <n v="4.7619047620000003"/>
    <n v="19.254999999999999"/>
    <n v="5.5"/>
    <d v="2019-02-03T00:00:00"/>
    <x v="2"/>
    <x v="9"/>
    <x v="2"/>
    <x v="2"/>
  </r>
  <r>
    <s v="442-48-3607"/>
    <x v="0"/>
    <s v="Yangon"/>
    <s v="Member"/>
    <s v="Male"/>
    <x v="4"/>
    <n v="23.48"/>
    <n v="2"/>
    <n v="2.3479999999999999"/>
    <n v="49.308"/>
    <s v="3/14/2019"/>
    <d v="1899-12-30T11:21:00"/>
    <s v="Credit card"/>
    <n v="46.96"/>
    <n v="4.7619047620000003"/>
    <n v="2.3479999999999999"/>
    <n v="7.9"/>
    <d v="2019-03-14T00:00:00"/>
    <x v="1"/>
    <x v="5"/>
    <x v="25"/>
    <x v="4"/>
  </r>
  <r>
    <s v="835-16-0096"/>
    <x v="1"/>
    <s v="Naypyitaw"/>
    <s v="Member"/>
    <s v="Male"/>
    <x v="3"/>
    <n v="14.7"/>
    <n v="5"/>
    <n v="3.6749999999999998"/>
    <n v="77.174999999999997"/>
    <s v="3/24/2019"/>
    <d v="1899-12-30T13:48:00"/>
    <s v="Ewallet"/>
    <n v="73.5"/>
    <n v="4.7619047620000003"/>
    <n v="3.6749999999999998"/>
    <n v="8.5"/>
    <d v="2019-03-24T00:00:00"/>
    <x v="1"/>
    <x v="0"/>
    <x v="5"/>
    <x v="2"/>
  </r>
  <r>
    <s v="527-09-6272"/>
    <x v="0"/>
    <s v="Yangon"/>
    <s v="Member"/>
    <s v="Female"/>
    <x v="1"/>
    <n v="28.45"/>
    <n v="5"/>
    <n v="7.1124999999999998"/>
    <n v="149.36250000000001"/>
    <s v="3/21/2019"/>
    <d v="1899-12-30T10:17:00"/>
    <s v="Credit card"/>
    <n v="142.25"/>
    <n v="4.7619047620000003"/>
    <n v="7.1124999999999998"/>
    <n v="9.1"/>
    <d v="2019-03-21T00:00:00"/>
    <x v="1"/>
    <x v="1"/>
    <x v="16"/>
    <x v="4"/>
  </r>
  <r>
    <s v="898-04-2717"/>
    <x v="0"/>
    <s v="Yangon"/>
    <s v="Normal"/>
    <s v="Male"/>
    <x v="5"/>
    <n v="76.400000000000006"/>
    <n v="9"/>
    <n v="34.380000000000003"/>
    <n v="721.98"/>
    <s v="3/19/2019"/>
    <d v="1899-12-30T15:49:00"/>
    <s v="Ewallet"/>
    <n v="687.6"/>
    <n v="4.7619047620000003"/>
    <n v="34.380000000000003"/>
    <n v="7.5"/>
    <d v="2019-03-19T00:00:00"/>
    <x v="1"/>
    <x v="9"/>
    <x v="24"/>
    <x v="5"/>
  </r>
  <r>
    <s v="692-27-8933"/>
    <x v="2"/>
    <s v="Mandalay"/>
    <s v="Normal"/>
    <s v="Female"/>
    <x v="3"/>
    <n v="57.95"/>
    <n v="6"/>
    <n v="17.385000000000002"/>
    <n v="365.08499999999998"/>
    <s v="2/24/2019"/>
    <d v="1899-12-30T13:02:00"/>
    <s v="Cash"/>
    <n v="347.7"/>
    <n v="4.7619047620000003"/>
    <n v="17.385000000000002"/>
    <n v="5.2"/>
    <d v="2019-02-24T00:00:00"/>
    <x v="2"/>
    <x v="0"/>
    <x v="5"/>
    <x v="2"/>
  </r>
  <r>
    <s v="633-09-3463"/>
    <x v="1"/>
    <s v="Naypyitaw"/>
    <s v="Normal"/>
    <s v="Female"/>
    <x v="1"/>
    <n v="47.65"/>
    <n v="3"/>
    <n v="7.1475"/>
    <n v="150.0975"/>
    <s v="3/28/2019"/>
    <d v="1899-12-30T12:58:00"/>
    <s v="Credit card"/>
    <n v="142.94999999999999"/>
    <n v="4.7619047620000003"/>
    <n v="7.1475"/>
    <n v="9.5"/>
    <d v="2019-03-28T00:00:00"/>
    <x v="1"/>
    <x v="10"/>
    <x v="19"/>
    <x v="4"/>
  </r>
  <r>
    <s v="374-17-3652"/>
    <x v="2"/>
    <s v="Mandalay"/>
    <s v="Member"/>
    <s v="Female"/>
    <x v="4"/>
    <n v="42.82"/>
    <n v="9"/>
    <n v="19.268999999999998"/>
    <n v="404.649"/>
    <d v="2019-05-02T00:00:00"/>
    <d v="1899-12-30T15:26:00"/>
    <s v="Credit card"/>
    <n v="385.38"/>
    <n v="4.7619047620000003"/>
    <n v="19.268999999999998"/>
    <n v="8.9"/>
    <d v="2019-02-05T00:00:00"/>
    <x v="2"/>
    <x v="9"/>
    <x v="0"/>
    <x v="5"/>
  </r>
  <r>
    <s v="378-07-7001"/>
    <x v="2"/>
    <s v="Mandalay"/>
    <s v="Member"/>
    <s v="Male"/>
    <x v="1"/>
    <n v="48.09"/>
    <n v="3"/>
    <n v="7.2134999999999998"/>
    <n v="151.48349999999999"/>
    <d v="2019-10-02T00:00:00"/>
    <d v="1899-12-30T18:23:00"/>
    <s v="Credit card"/>
    <n v="144.27000000000001"/>
    <n v="4.7619047620000003"/>
    <n v="7.2134999999999998"/>
    <n v="7.8"/>
    <d v="2019-02-10T00:00:00"/>
    <x v="2"/>
    <x v="3"/>
    <x v="6"/>
    <x v="2"/>
  </r>
  <r>
    <s v="433-75-6987"/>
    <x v="2"/>
    <s v="Mandalay"/>
    <s v="Member"/>
    <s v="Female"/>
    <x v="0"/>
    <n v="55.97"/>
    <n v="7"/>
    <n v="19.589500000000001"/>
    <n v="411.37950000000001"/>
    <d v="2019-05-03T00:00:00"/>
    <d v="1899-12-30T19:06:00"/>
    <s v="Ewallet"/>
    <n v="391.79"/>
    <n v="4.7619047620000003"/>
    <n v="19.589500000000001"/>
    <n v="8.9"/>
    <d v="2019-03-05T00:00:00"/>
    <x v="1"/>
    <x v="8"/>
    <x v="0"/>
    <x v="5"/>
  </r>
  <r>
    <s v="873-95-4984"/>
    <x v="2"/>
    <s v="Mandalay"/>
    <s v="Member"/>
    <s v="Female"/>
    <x v="0"/>
    <n v="76.900000000000006"/>
    <n v="7"/>
    <n v="26.914999999999999"/>
    <n v="565.21500000000003"/>
    <s v="2/15/2019"/>
    <d v="1899-12-30T20:21:00"/>
    <s v="Cash"/>
    <n v="538.29999999999995"/>
    <n v="4.7619047620000003"/>
    <n v="26.914999999999999"/>
    <n v="7.7"/>
    <d v="2019-02-15T00:00:00"/>
    <x v="2"/>
    <x v="2"/>
    <x v="13"/>
    <x v="1"/>
  </r>
  <r>
    <s v="416-13-5917"/>
    <x v="1"/>
    <s v="Naypyitaw"/>
    <s v="Normal"/>
    <s v="Female"/>
    <x v="4"/>
    <n v="97.03"/>
    <n v="5"/>
    <n v="24.2575"/>
    <n v="509.40750000000003"/>
    <s v="1/30/2019"/>
    <d v="1899-12-30T16:24:00"/>
    <s v="Ewallet"/>
    <n v="485.15"/>
    <n v="4.7619047620000003"/>
    <n v="24.2575"/>
    <n v="9.3000000000000007"/>
    <d v="2019-01-30T00:00:00"/>
    <x v="0"/>
    <x v="7"/>
    <x v="29"/>
    <x v="6"/>
  </r>
  <r>
    <s v="150-89-8043"/>
    <x v="0"/>
    <s v="Yangon"/>
    <s v="Normal"/>
    <s v="Male"/>
    <x v="3"/>
    <n v="44.65"/>
    <n v="3"/>
    <n v="6.6974999999999998"/>
    <n v="140.64750000000001"/>
    <s v="2/14/2019"/>
    <d v="1899-12-30T15:04:00"/>
    <s v="Cash"/>
    <n v="133.94999999999999"/>
    <n v="4.7619047620000003"/>
    <n v="6.6974999999999998"/>
    <n v="6.2"/>
    <d v="2019-02-14T00:00:00"/>
    <x v="2"/>
    <x v="9"/>
    <x v="25"/>
    <x v="4"/>
  </r>
  <r>
    <s v="135-84-8019"/>
    <x v="0"/>
    <s v="Yangon"/>
    <s v="Normal"/>
    <s v="Female"/>
    <x v="5"/>
    <n v="77.930000000000007"/>
    <n v="9"/>
    <n v="35.0685"/>
    <n v="736.43849999999998"/>
    <s v="2/27/2019"/>
    <d v="1899-12-30T16:10:00"/>
    <s v="Ewallet"/>
    <n v="701.37"/>
    <n v="4.7619047620000003"/>
    <n v="35.0685"/>
    <n v="7.6"/>
    <d v="2019-02-27T00:00:00"/>
    <x v="2"/>
    <x v="7"/>
    <x v="3"/>
    <x v="6"/>
  </r>
  <r>
    <s v="441-94-7118"/>
    <x v="0"/>
    <s v="Yangon"/>
    <s v="Member"/>
    <s v="Male"/>
    <x v="1"/>
    <n v="71.95"/>
    <n v="1"/>
    <n v="3.5975000000000001"/>
    <n v="75.547499999999999"/>
    <d v="2019-04-02T00:00:00"/>
    <d v="1899-12-30T12:14:00"/>
    <s v="Cash"/>
    <n v="71.95"/>
    <n v="4.7619047620000003"/>
    <n v="3.5975000000000001"/>
    <n v="7.3"/>
    <d v="2019-02-04T00:00:00"/>
    <x v="2"/>
    <x v="10"/>
    <x v="22"/>
    <x v="3"/>
  </r>
  <r>
    <s v="725-96-3778"/>
    <x v="1"/>
    <s v="Naypyitaw"/>
    <s v="Member"/>
    <s v="Female"/>
    <x v="2"/>
    <n v="89.25"/>
    <n v="8"/>
    <n v="35.700000000000003"/>
    <n v="749.7"/>
    <s v="1/20/2019"/>
    <d v="1899-12-30T10:13:00"/>
    <s v="Cash"/>
    <n v="714"/>
    <n v="4.7619047620000003"/>
    <n v="35.700000000000003"/>
    <n v="4.7"/>
    <d v="2019-01-20T00:00:00"/>
    <x v="0"/>
    <x v="1"/>
    <x v="7"/>
    <x v="2"/>
  </r>
  <r>
    <s v="531-80-1784"/>
    <x v="0"/>
    <s v="Yangon"/>
    <s v="Normal"/>
    <s v="Male"/>
    <x v="1"/>
    <n v="26.02"/>
    <n v="7"/>
    <n v="9.1069999999999993"/>
    <n v="191.24700000000001"/>
    <s v="3/28/2019"/>
    <d v="1899-12-30T17:38:00"/>
    <s v="Cash"/>
    <n v="182.14"/>
    <n v="4.7619047620000003"/>
    <n v="9.1069999999999993"/>
    <n v="5.0999999999999996"/>
    <d v="2019-03-28T00:00:00"/>
    <x v="1"/>
    <x v="6"/>
    <x v="19"/>
    <x v="4"/>
  </r>
  <r>
    <s v="400-45-1220"/>
    <x v="2"/>
    <s v="Mandalay"/>
    <s v="Normal"/>
    <s v="Female"/>
    <x v="0"/>
    <n v="13.5"/>
    <n v="10"/>
    <n v="6.75"/>
    <n v="141.75"/>
    <s v="2/27/2019"/>
    <d v="1899-12-30T11:06:00"/>
    <s v="Credit card"/>
    <n v="135"/>
    <n v="4.7619047620000003"/>
    <n v="6.75"/>
    <n v="4.8"/>
    <d v="2019-02-27T00:00:00"/>
    <x v="2"/>
    <x v="5"/>
    <x v="3"/>
    <x v="6"/>
  </r>
  <r>
    <s v="860-79-0874"/>
    <x v="1"/>
    <s v="Naypyitaw"/>
    <s v="Member"/>
    <s v="Female"/>
    <x v="5"/>
    <n v="99.3"/>
    <n v="10"/>
    <n v="49.65"/>
    <n v="1042.6500000000001"/>
    <s v="2/15/2019"/>
    <d v="1899-12-30T14:53:00"/>
    <s v="Credit card"/>
    <n v="993"/>
    <n v="4.7619047620000003"/>
    <n v="49.65"/>
    <n v="6.6"/>
    <d v="2019-02-15T00:00:00"/>
    <x v="2"/>
    <x v="4"/>
    <x v="13"/>
    <x v="1"/>
  </r>
  <r>
    <s v="834-61-8124"/>
    <x v="0"/>
    <s v="Yangon"/>
    <s v="Normal"/>
    <s v="Male"/>
    <x v="1"/>
    <n v="51.69"/>
    <n v="7"/>
    <n v="18.0915"/>
    <n v="379.92149999999998"/>
    <s v="1/26/2019"/>
    <d v="1899-12-30T18:22:00"/>
    <s v="Cash"/>
    <n v="361.83"/>
    <n v="4.7619047620000003"/>
    <n v="18.0915"/>
    <n v="5.5"/>
    <d v="2019-01-26T00:00:00"/>
    <x v="0"/>
    <x v="3"/>
    <x v="27"/>
    <x v="0"/>
  </r>
  <r>
    <s v="115-99-4379"/>
    <x v="2"/>
    <s v="Mandalay"/>
    <s v="Member"/>
    <s v="Female"/>
    <x v="5"/>
    <n v="54.73"/>
    <n v="7"/>
    <n v="19.1555"/>
    <n v="402.26549999999997"/>
    <s v="3/14/2019"/>
    <d v="1899-12-30T19:02:00"/>
    <s v="Credit card"/>
    <n v="383.11"/>
    <n v="4.7619047620000003"/>
    <n v="19.1555"/>
    <n v="8.5"/>
    <d v="2019-03-14T00:00:00"/>
    <x v="1"/>
    <x v="8"/>
    <x v="25"/>
    <x v="4"/>
  </r>
  <r>
    <s v="565-67-6697"/>
    <x v="2"/>
    <s v="Mandalay"/>
    <s v="Member"/>
    <s v="Male"/>
    <x v="2"/>
    <n v="27"/>
    <n v="9"/>
    <n v="12.15"/>
    <n v="255.15"/>
    <d v="2019-02-03T00:00:00"/>
    <d v="1899-12-30T14:16:00"/>
    <s v="Cash"/>
    <n v="243"/>
    <n v="4.7619047620000003"/>
    <n v="12.15"/>
    <n v="4.8"/>
    <d v="2019-03-02T00:00:00"/>
    <x v="1"/>
    <x v="4"/>
    <x v="8"/>
    <x v="0"/>
  </r>
  <r>
    <s v="320-49-6392"/>
    <x v="1"/>
    <s v="Naypyitaw"/>
    <s v="Normal"/>
    <s v="Female"/>
    <x v="1"/>
    <n v="30.24"/>
    <n v="1"/>
    <n v="1.512"/>
    <n v="31.751999999999999"/>
    <d v="2019-04-03T00:00:00"/>
    <d v="1899-12-30T15:44:00"/>
    <s v="Cash"/>
    <n v="30.24"/>
    <n v="4.7619047620000003"/>
    <n v="1.512"/>
    <n v="8.4"/>
    <d v="2019-03-04T00:00:00"/>
    <x v="1"/>
    <x v="9"/>
    <x v="22"/>
    <x v="3"/>
  </r>
  <r>
    <s v="889-04-9723"/>
    <x v="2"/>
    <s v="Mandalay"/>
    <s v="Member"/>
    <s v="Female"/>
    <x v="4"/>
    <n v="89.14"/>
    <n v="4"/>
    <n v="17.827999999999999"/>
    <n v="374.38799999999998"/>
    <d v="2019-07-01T00:00:00"/>
    <d v="1899-12-30T12:20:00"/>
    <s v="Credit card"/>
    <n v="356.56"/>
    <n v="4.7619047620000003"/>
    <n v="17.827999999999999"/>
    <n v="7.8"/>
    <d v="2019-01-07T00:00:00"/>
    <x v="0"/>
    <x v="10"/>
    <x v="11"/>
    <x v="3"/>
  </r>
  <r>
    <s v="632-90-0281"/>
    <x v="1"/>
    <s v="Naypyitaw"/>
    <s v="Normal"/>
    <s v="Female"/>
    <x v="5"/>
    <n v="37.549999999999997"/>
    <n v="10"/>
    <n v="18.774999999999999"/>
    <n v="394.27499999999998"/>
    <d v="2019-08-03T00:00:00"/>
    <d v="1899-12-30T20:01:00"/>
    <s v="Credit card"/>
    <n v="375.5"/>
    <n v="4.7619047620000003"/>
    <n v="18.774999999999999"/>
    <n v="9.3000000000000007"/>
    <d v="2019-03-08T00:00:00"/>
    <x v="1"/>
    <x v="2"/>
    <x v="1"/>
    <x v="1"/>
  </r>
  <r>
    <s v="554-42-2417"/>
    <x v="1"/>
    <s v="Naypyitaw"/>
    <s v="Normal"/>
    <s v="Female"/>
    <x v="3"/>
    <n v="95.44"/>
    <n v="10"/>
    <n v="47.72"/>
    <n v="1002.12"/>
    <d v="2019-09-01T00:00:00"/>
    <d v="1899-12-30T13:45:00"/>
    <s v="Cash"/>
    <n v="954.4"/>
    <n v="4.7619047620000003"/>
    <n v="47.72"/>
    <n v="5.2"/>
    <d v="2019-01-09T00:00:00"/>
    <x v="0"/>
    <x v="0"/>
    <x v="9"/>
    <x v="6"/>
  </r>
  <r>
    <s v="453-63-6187"/>
    <x v="2"/>
    <s v="Mandalay"/>
    <s v="Normal"/>
    <s v="Male"/>
    <x v="1"/>
    <n v="27.5"/>
    <n v="3"/>
    <n v="4.125"/>
    <n v="86.625"/>
    <d v="2019-01-03T00:00:00"/>
    <d v="1899-12-30T15:40:00"/>
    <s v="Ewallet"/>
    <n v="82.5"/>
    <n v="4.7619047620000003"/>
    <n v="4.125"/>
    <n v="6.5"/>
    <d v="2019-03-01T00:00:00"/>
    <x v="1"/>
    <x v="9"/>
    <x v="15"/>
    <x v="1"/>
  </r>
  <r>
    <s v="578-80-7669"/>
    <x v="2"/>
    <s v="Mandalay"/>
    <s v="Normal"/>
    <s v="Male"/>
    <x v="3"/>
    <n v="74.97"/>
    <n v="1"/>
    <n v="3.7484999999999999"/>
    <n v="78.718500000000006"/>
    <s v="3/16/2019"/>
    <d v="1899-12-30T16:58:00"/>
    <s v="Cash"/>
    <n v="74.97"/>
    <n v="4.7619047620000003"/>
    <n v="3.7484999999999999"/>
    <n v="5.6"/>
    <d v="2019-03-16T00:00:00"/>
    <x v="1"/>
    <x v="7"/>
    <x v="23"/>
    <x v="0"/>
  </r>
  <r>
    <s v="612-36-5536"/>
    <x v="0"/>
    <s v="Yangon"/>
    <s v="Member"/>
    <s v="Male"/>
    <x v="4"/>
    <n v="80.959999999999994"/>
    <n v="8"/>
    <n v="32.384"/>
    <n v="680.06399999999996"/>
    <s v="2/17/2019"/>
    <d v="1899-12-30T11:12:00"/>
    <s v="Credit card"/>
    <n v="647.67999999999995"/>
    <n v="4.7619047620000003"/>
    <n v="32.384"/>
    <n v="7.4"/>
    <d v="2019-02-17T00:00:00"/>
    <x v="2"/>
    <x v="5"/>
    <x v="17"/>
    <x v="2"/>
  </r>
  <r>
    <s v="605-72-4132"/>
    <x v="1"/>
    <s v="Naypyitaw"/>
    <s v="Normal"/>
    <s v="Female"/>
    <x v="4"/>
    <n v="94.47"/>
    <n v="8"/>
    <n v="37.787999999999997"/>
    <n v="793.548"/>
    <s v="2/27/2019"/>
    <d v="1899-12-30T15:12:00"/>
    <s v="Cash"/>
    <n v="755.76"/>
    <n v="4.7619047620000003"/>
    <n v="37.787999999999997"/>
    <n v="9.1"/>
    <d v="2019-02-27T00:00:00"/>
    <x v="2"/>
    <x v="9"/>
    <x v="3"/>
    <x v="6"/>
  </r>
  <r>
    <s v="471-41-2823"/>
    <x v="1"/>
    <s v="Naypyitaw"/>
    <s v="Normal"/>
    <s v="Male"/>
    <x v="4"/>
    <n v="99.79"/>
    <n v="2"/>
    <n v="9.9789999999999992"/>
    <n v="209.559"/>
    <d v="2019-07-03T00:00:00"/>
    <d v="1899-12-30T20:37:00"/>
    <s v="Ewallet"/>
    <n v="199.58"/>
    <n v="4.7619047620000003"/>
    <n v="9.9789999999999992"/>
    <n v="8"/>
    <d v="2019-03-07T00:00:00"/>
    <x v="1"/>
    <x v="2"/>
    <x v="11"/>
    <x v="4"/>
  </r>
  <r>
    <s v="462-67-9126"/>
    <x v="0"/>
    <s v="Yangon"/>
    <s v="Normal"/>
    <s v="Male"/>
    <x v="2"/>
    <n v="73.22"/>
    <n v="6"/>
    <n v="21.966000000000001"/>
    <n v="461.286"/>
    <s v="1/21/2019"/>
    <d v="1899-12-30T17:44:00"/>
    <s v="Cash"/>
    <n v="439.32"/>
    <n v="4.7619047620000003"/>
    <n v="21.966000000000001"/>
    <n v="7.2"/>
    <d v="2019-01-21T00:00:00"/>
    <x v="0"/>
    <x v="6"/>
    <x v="16"/>
    <x v="3"/>
  </r>
  <r>
    <s v="272-27-9238"/>
    <x v="1"/>
    <s v="Naypyitaw"/>
    <s v="Normal"/>
    <s v="Female"/>
    <x v="4"/>
    <n v="41.24"/>
    <n v="4"/>
    <n v="8.2479999999999993"/>
    <n v="173.208"/>
    <s v="2/19/2019"/>
    <d v="1899-12-30T16:23:00"/>
    <s v="Cash"/>
    <n v="164.96"/>
    <n v="4.7619047620000003"/>
    <n v="8.2479999999999993"/>
    <n v="7.1"/>
    <d v="2019-02-19T00:00:00"/>
    <x v="2"/>
    <x v="7"/>
    <x v="24"/>
    <x v="5"/>
  </r>
  <r>
    <s v="834-25-9262"/>
    <x v="1"/>
    <s v="Naypyitaw"/>
    <s v="Normal"/>
    <s v="Female"/>
    <x v="5"/>
    <n v="81.680000000000007"/>
    <n v="4"/>
    <n v="16.335999999999999"/>
    <n v="343.05599999999998"/>
    <d v="2019-06-01T00:00:00"/>
    <d v="1899-12-30T12:12:00"/>
    <s v="Cash"/>
    <n v="326.72000000000003"/>
    <n v="4.7619047620000003"/>
    <n v="16.335999999999999"/>
    <n v="9.1"/>
    <d v="2019-01-06T00:00:00"/>
    <x v="0"/>
    <x v="10"/>
    <x v="20"/>
    <x v="2"/>
  </r>
  <r>
    <s v="122-61-9553"/>
    <x v="1"/>
    <s v="Naypyitaw"/>
    <s v="Normal"/>
    <s v="Female"/>
    <x v="1"/>
    <n v="51.32"/>
    <n v="9"/>
    <n v="23.094000000000001"/>
    <n v="484.97399999999999"/>
    <s v="3/14/2019"/>
    <d v="1899-12-30T19:33:00"/>
    <s v="Cash"/>
    <n v="461.88"/>
    <n v="4.7619047620000003"/>
    <n v="23.094000000000001"/>
    <n v="5.6"/>
    <d v="2019-03-14T00:00:00"/>
    <x v="1"/>
    <x v="8"/>
    <x v="25"/>
    <x v="4"/>
  </r>
  <r>
    <s v="468-88-0009"/>
    <x v="0"/>
    <s v="Yangon"/>
    <s v="Member"/>
    <s v="Male"/>
    <x v="2"/>
    <n v="65.94"/>
    <n v="4"/>
    <n v="13.188000000000001"/>
    <n v="276.94799999999998"/>
    <s v="3/24/2019"/>
    <d v="1899-12-30T10:29:00"/>
    <s v="Cash"/>
    <n v="263.76"/>
    <n v="4.7619047620000003"/>
    <n v="13.188000000000001"/>
    <n v="6"/>
    <d v="2019-03-24T00:00:00"/>
    <x v="1"/>
    <x v="1"/>
    <x v="5"/>
    <x v="2"/>
  </r>
  <r>
    <s v="613-59-9758"/>
    <x v="1"/>
    <s v="Naypyitaw"/>
    <s v="Normal"/>
    <s v="Female"/>
    <x v="3"/>
    <n v="14.36"/>
    <n v="10"/>
    <n v="7.18"/>
    <n v="150.78"/>
    <s v="1/27/2019"/>
    <d v="1899-12-30T14:28:00"/>
    <s v="Cash"/>
    <n v="143.6"/>
    <n v="4.7619047620000003"/>
    <n v="7.18"/>
    <n v="5.4"/>
    <d v="2019-01-27T00:00:00"/>
    <x v="0"/>
    <x v="4"/>
    <x v="3"/>
    <x v="2"/>
  </r>
  <r>
    <s v="254-31-0042"/>
    <x v="0"/>
    <s v="Yangon"/>
    <s v="Member"/>
    <s v="Male"/>
    <x v="1"/>
    <n v="21.5"/>
    <n v="9"/>
    <n v="9.6750000000000007"/>
    <n v="203.17500000000001"/>
    <d v="2019-06-03T00:00:00"/>
    <d v="1899-12-30T12:46:00"/>
    <s v="Credit card"/>
    <n v="193.5"/>
    <n v="4.7619047620000003"/>
    <n v="9.6750000000000007"/>
    <n v="7.8"/>
    <d v="2019-03-06T00:00:00"/>
    <x v="1"/>
    <x v="10"/>
    <x v="20"/>
    <x v="6"/>
  </r>
  <r>
    <s v="201-86-2184"/>
    <x v="2"/>
    <s v="Mandalay"/>
    <s v="Member"/>
    <s v="Female"/>
    <x v="1"/>
    <n v="26.26"/>
    <n v="7"/>
    <n v="9.1910000000000007"/>
    <n v="193.011"/>
    <d v="2019-02-02T00:00:00"/>
    <d v="1899-12-30T19:40:00"/>
    <s v="Cash"/>
    <n v="183.82"/>
    <n v="4.7619047620000003"/>
    <n v="9.1910000000000007"/>
    <n v="9.9"/>
    <d v="2019-02-02T00:00:00"/>
    <x v="2"/>
    <x v="8"/>
    <x v="8"/>
    <x v="0"/>
  </r>
  <r>
    <s v="261-12-8671"/>
    <x v="2"/>
    <s v="Mandalay"/>
    <s v="Normal"/>
    <s v="Female"/>
    <x v="5"/>
    <n v="60.96"/>
    <n v="2"/>
    <n v="6.0960000000000001"/>
    <n v="128.01599999999999"/>
    <s v="1/25/2019"/>
    <d v="1899-12-30T19:39:00"/>
    <s v="Credit card"/>
    <n v="121.92"/>
    <n v="4.7619047620000003"/>
    <n v="6.0960000000000001"/>
    <n v="4.9000000000000004"/>
    <d v="2019-01-25T00:00:00"/>
    <x v="0"/>
    <x v="8"/>
    <x v="4"/>
    <x v="1"/>
  </r>
  <r>
    <s v="730-70-9830"/>
    <x v="1"/>
    <s v="Naypyitaw"/>
    <s v="Normal"/>
    <s v="Female"/>
    <x v="2"/>
    <n v="70.11"/>
    <n v="6"/>
    <n v="21.033000000000001"/>
    <n v="441.69299999999998"/>
    <s v="3/14/2019"/>
    <d v="1899-12-30T17:54:00"/>
    <s v="Ewallet"/>
    <n v="420.66"/>
    <n v="4.7619047620000003"/>
    <n v="21.033000000000001"/>
    <n v="5.2"/>
    <d v="2019-03-14T00:00:00"/>
    <x v="1"/>
    <x v="6"/>
    <x v="25"/>
    <x v="4"/>
  </r>
  <r>
    <s v="382-25-8917"/>
    <x v="1"/>
    <s v="Naypyitaw"/>
    <s v="Normal"/>
    <s v="Male"/>
    <x v="5"/>
    <n v="42.08"/>
    <n v="6"/>
    <n v="12.624000000000001"/>
    <n v="265.10399999999998"/>
    <s v="1/29/2019"/>
    <d v="1899-12-30T12:25:00"/>
    <s v="Cash"/>
    <n v="252.48"/>
    <n v="4.7619047620000003"/>
    <n v="12.624000000000001"/>
    <n v="8.9"/>
    <d v="2019-01-29T00:00:00"/>
    <x v="0"/>
    <x v="10"/>
    <x v="12"/>
    <x v="5"/>
  </r>
  <r>
    <s v="422-29-8786"/>
    <x v="0"/>
    <s v="Yangon"/>
    <s v="Normal"/>
    <s v="Female"/>
    <x v="2"/>
    <n v="67.09"/>
    <n v="5"/>
    <n v="16.772500000000001"/>
    <n v="352.22250000000003"/>
    <d v="2019-03-01T00:00:00"/>
    <d v="1899-12-30T16:47:00"/>
    <s v="Credit card"/>
    <n v="335.45"/>
    <n v="4.7619047620000003"/>
    <n v="16.772500000000001"/>
    <n v="9.1"/>
    <d v="2019-01-03T00:00:00"/>
    <x v="0"/>
    <x v="7"/>
    <x v="2"/>
    <x v="4"/>
  </r>
  <r>
    <s v="667-23-5919"/>
    <x v="0"/>
    <s v="Yangon"/>
    <s v="Member"/>
    <s v="Female"/>
    <x v="5"/>
    <n v="96.7"/>
    <n v="5"/>
    <n v="24.175000000000001"/>
    <n v="507.67500000000001"/>
    <s v="1/14/2019"/>
    <d v="1899-12-30T12:52:00"/>
    <s v="Ewallet"/>
    <n v="483.5"/>
    <n v="4.7619047620000003"/>
    <n v="24.175000000000001"/>
    <n v="7"/>
    <d v="2019-01-14T00:00:00"/>
    <x v="0"/>
    <x v="10"/>
    <x v="25"/>
    <x v="3"/>
  </r>
  <r>
    <s v="843-01-4703"/>
    <x v="2"/>
    <s v="Mandalay"/>
    <s v="Member"/>
    <s v="Female"/>
    <x v="2"/>
    <n v="35.380000000000003"/>
    <n v="9"/>
    <n v="15.920999999999999"/>
    <n v="334.34100000000001"/>
    <d v="2019-05-01T00:00:00"/>
    <d v="1899-12-30T19:50:00"/>
    <s v="Credit card"/>
    <n v="318.42"/>
    <n v="4.7619047620000003"/>
    <n v="15.920999999999999"/>
    <n v="9.6"/>
    <d v="2019-01-05T00:00:00"/>
    <x v="0"/>
    <x v="8"/>
    <x v="0"/>
    <x v="0"/>
  </r>
  <r>
    <s v="743-88-1662"/>
    <x v="1"/>
    <s v="Naypyitaw"/>
    <s v="Normal"/>
    <s v="Male"/>
    <x v="3"/>
    <n v="95.49"/>
    <n v="7"/>
    <n v="33.421500000000002"/>
    <n v="701.85149999999999"/>
    <s v="2/22/2019"/>
    <d v="1899-12-30T18:17:00"/>
    <s v="Ewallet"/>
    <n v="668.43"/>
    <n v="4.7619047620000003"/>
    <n v="33.421500000000002"/>
    <n v="8.6999999999999993"/>
    <d v="2019-02-22T00:00:00"/>
    <x v="2"/>
    <x v="3"/>
    <x v="18"/>
    <x v="1"/>
  </r>
  <r>
    <s v="595-86-2894"/>
    <x v="1"/>
    <s v="Naypyitaw"/>
    <s v="Member"/>
    <s v="Male"/>
    <x v="5"/>
    <n v="96.98"/>
    <n v="4"/>
    <n v="19.396000000000001"/>
    <n v="407.31599999999997"/>
    <d v="2019-06-02T00:00:00"/>
    <d v="1899-12-30T17:20:00"/>
    <s v="Ewallet"/>
    <n v="387.92"/>
    <n v="4.7619047620000003"/>
    <n v="19.396000000000001"/>
    <n v="9.4"/>
    <d v="2019-02-06T00:00:00"/>
    <x v="2"/>
    <x v="6"/>
    <x v="20"/>
    <x v="6"/>
  </r>
  <r>
    <s v="182-69-8360"/>
    <x v="2"/>
    <s v="Mandalay"/>
    <s v="Normal"/>
    <s v="Female"/>
    <x v="1"/>
    <n v="23.65"/>
    <n v="4"/>
    <n v="4.7300000000000004"/>
    <n v="99.33"/>
    <s v="1/30/2019"/>
    <d v="1899-12-30T13:32:00"/>
    <s v="Credit card"/>
    <n v="94.6"/>
    <n v="4.7619047620000003"/>
    <n v="4.7300000000000004"/>
    <n v="4"/>
    <d v="2019-01-30T00:00:00"/>
    <x v="0"/>
    <x v="0"/>
    <x v="29"/>
    <x v="6"/>
  </r>
  <r>
    <s v="289-15-7034"/>
    <x v="0"/>
    <s v="Yangon"/>
    <s v="Member"/>
    <s v="Male"/>
    <x v="3"/>
    <n v="82.33"/>
    <n v="4"/>
    <n v="16.466000000000001"/>
    <n v="345.786"/>
    <d v="2019-11-01T00:00:00"/>
    <d v="1899-12-30T10:37:00"/>
    <s v="Credit card"/>
    <n v="329.32"/>
    <n v="4.7619047620000003"/>
    <n v="16.466000000000001"/>
    <n v="7.5"/>
    <d v="2019-01-11T00:00:00"/>
    <x v="0"/>
    <x v="1"/>
    <x v="14"/>
    <x v="1"/>
  </r>
  <r>
    <s v="462-78-5240"/>
    <x v="1"/>
    <s v="Naypyitaw"/>
    <s v="Normal"/>
    <s v="Female"/>
    <x v="1"/>
    <n v="26.61"/>
    <n v="2"/>
    <n v="2.661"/>
    <n v="55.881"/>
    <s v="3/19/2019"/>
    <d v="1899-12-30T14:35:00"/>
    <s v="Cash"/>
    <n v="53.22"/>
    <n v="4.7619047620000003"/>
    <n v="2.661"/>
    <n v="4.2"/>
    <d v="2019-03-19T00:00:00"/>
    <x v="1"/>
    <x v="4"/>
    <x v="24"/>
    <x v="5"/>
  </r>
  <r>
    <s v="868-52-7573"/>
    <x v="2"/>
    <s v="Mandalay"/>
    <s v="Normal"/>
    <s v="Female"/>
    <x v="4"/>
    <n v="99.69"/>
    <n v="5"/>
    <n v="24.922499999999999"/>
    <n v="523.37249999999995"/>
    <s v="1/14/2019"/>
    <d v="1899-12-30T12:09:00"/>
    <s v="Cash"/>
    <n v="498.45"/>
    <n v="4.7619047620000003"/>
    <n v="24.922499999999999"/>
    <n v="9.9"/>
    <d v="2019-01-14T00:00:00"/>
    <x v="0"/>
    <x v="10"/>
    <x v="25"/>
    <x v="3"/>
  </r>
  <r>
    <s v="153-58-4872"/>
    <x v="1"/>
    <s v="Naypyitaw"/>
    <s v="Member"/>
    <s v="Female"/>
    <x v="4"/>
    <n v="74.89"/>
    <n v="4"/>
    <n v="14.978"/>
    <n v="314.53800000000001"/>
    <d v="2019-01-03T00:00:00"/>
    <d v="1899-12-30T15:32:00"/>
    <s v="Ewallet"/>
    <n v="299.56"/>
    <n v="4.7619047620000003"/>
    <n v="14.978"/>
    <n v="4.2"/>
    <d v="2019-03-01T00:00:00"/>
    <x v="1"/>
    <x v="9"/>
    <x v="15"/>
    <x v="1"/>
  </r>
  <r>
    <s v="662-72-2873"/>
    <x v="0"/>
    <s v="Yangon"/>
    <s v="Normal"/>
    <s v="Female"/>
    <x v="4"/>
    <n v="40.94"/>
    <n v="5"/>
    <n v="10.234999999999999"/>
    <n v="214.935"/>
    <d v="2019-06-01T00:00:00"/>
    <d v="1899-12-30T13:58:00"/>
    <s v="Ewallet"/>
    <n v="204.7"/>
    <n v="4.7619047620000003"/>
    <n v="10.234999999999999"/>
    <n v="9.9"/>
    <d v="2019-01-06T00:00:00"/>
    <x v="0"/>
    <x v="0"/>
    <x v="20"/>
    <x v="2"/>
  </r>
  <r>
    <s v="525-88-7307"/>
    <x v="2"/>
    <s v="Mandalay"/>
    <s v="Member"/>
    <s v="Male"/>
    <x v="3"/>
    <n v="75.819999999999993"/>
    <n v="1"/>
    <n v="3.7909999999999999"/>
    <n v="79.611000000000004"/>
    <s v="1/31/2019"/>
    <d v="1899-12-30T13:19:00"/>
    <s v="Cash"/>
    <n v="75.819999999999993"/>
    <n v="4.7619047620000003"/>
    <n v="3.7909999999999999"/>
    <n v="5.8"/>
    <d v="2019-01-31T00:00:00"/>
    <x v="0"/>
    <x v="0"/>
    <x v="30"/>
    <x v="4"/>
  </r>
  <r>
    <s v="689-16-9784"/>
    <x v="1"/>
    <s v="Naypyitaw"/>
    <s v="Normal"/>
    <s v="Male"/>
    <x v="4"/>
    <n v="46.77"/>
    <n v="6"/>
    <n v="14.031000000000001"/>
    <n v="294.65100000000001"/>
    <d v="2019-11-03T00:00:00"/>
    <d v="1899-12-30T13:37:00"/>
    <s v="Cash"/>
    <n v="280.62"/>
    <n v="4.7619047620000003"/>
    <n v="14.031000000000001"/>
    <n v="6"/>
    <d v="2019-03-11T00:00:00"/>
    <x v="1"/>
    <x v="0"/>
    <x v="14"/>
    <x v="3"/>
  </r>
  <r>
    <s v="725-56-0833"/>
    <x v="0"/>
    <s v="Yangon"/>
    <s v="Normal"/>
    <s v="Female"/>
    <x v="0"/>
    <n v="32.32"/>
    <n v="10"/>
    <n v="16.16"/>
    <n v="339.36"/>
    <s v="2/20/2019"/>
    <d v="1899-12-30T16:49:00"/>
    <s v="Credit card"/>
    <n v="323.2"/>
    <n v="4.7619047620000003"/>
    <n v="16.16"/>
    <n v="10"/>
    <d v="2019-02-20T00:00:00"/>
    <x v="2"/>
    <x v="7"/>
    <x v="7"/>
    <x v="6"/>
  </r>
  <r>
    <s v="394-41-0748"/>
    <x v="1"/>
    <s v="Naypyitaw"/>
    <s v="Member"/>
    <s v="Female"/>
    <x v="5"/>
    <n v="54.07"/>
    <n v="9"/>
    <n v="24.331499999999998"/>
    <n v="510.9615"/>
    <s v="1/27/2019"/>
    <d v="1899-12-30T14:55:00"/>
    <s v="Ewallet"/>
    <n v="486.63"/>
    <n v="4.7619047620000003"/>
    <n v="24.331499999999998"/>
    <n v="9.5"/>
    <d v="2019-01-27T00:00:00"/>
    <x v="0"/>
    <x v="4"/>
    <x v="3"/>
    <x v="2"/>
  </r>
  <r>
    <s v="596-42-3999"/>
    <x v="2"/>
    <s v="Mandalay"/>
    <s v="Normal"/>
    <s v="Male"/>
    <x v="4"/>
    <n v="18.22"/>
    <n v="7"/>
    <n v="6.3769999999999998"/>
    <n v="133.917"/>
    <d v="2019-10-03T00:00:00"/>
    <d v="1899-12-30T14:04:00"/>
    <s v="Credit card"/>
    <n v="127.54"/>
    <n v="4.7619047620000003"/>
    <n v="6.3769999999999998"/>
    <n v="6.6"/>
    <d v="2019-03-10T00:00:00"/>
    <x v="1"/>
    <x v="4"/>
    <x v="6"/>
    <x v="2"/>
  </r>
  <r>
    <s v="541-89-9860"/>
    <x v="1"/>
    <s v="Naypyitaw"/>
    <s v="Member"/>
    <s v="Female"/>
    <x v="5"/>
    <n v="80.48"/>
    <n v="3"/>
    <n v="12.071999999999999"/>
    <n v="253.512"/>
    <s v="2/15/2019"/>
    <d v="1899-12-30T12:31:00"/>
    <s v="Cash"/>
    <n v="241.44"/>
    <n v="4.7619047620000003"/>
    <n v="12.071999999999999"/>
    <n v="8.1"/>
    <d v="2019-02-15T00:00:00"/>
    <x v="2"/>
    <x v="10"/>
    <x v="13"/>
    <x v="1"/>
  </r>
  <r>
    <s v="173-82-9529"/>
    <x v="2"/>
    <s v="Mandalay"/>
    <s v="Normal"/>
    <s v="Female"/>
    <x v="5"/>
    <n v="37.950000000000003"/>
    <n v="10"/>
    <n v="18.975000000000001"/>
    <n v="398.47500000000002"/>
    <s v="1/26/2019"/>
    <d v="1899-12-30T14:51:00"/>
    <s v="Cash"/>
    <n v="379.5"/>
    <n v="4.7619047620000003"/>
    <n v="18.975000000000001"/>
    <n v="9.6999999999999993"/>
    <d v="2019-01-26T00:00:00"/>
    <x v="0"/>
    <x v="4"/>
    <x v="27"/>
    <x v="0"/>
  </r>
  <r>
    <s v="563-36-9814"/>
    <x v="0"/>
    <s v="Yangon"/>
    <s v="Member"/>
    <s v="Male"/>
    <x v="1"/>
    <n v="76.819999999999993"/>
    <n v="1"/>
    <n v="3.8410000000000002"/>
    <n v="80.661000000000001"/>
    <s v="2/13/2019"/>
    <d v="1899-12-30T18:27:00"/>
    <s v="Ewallet"/>
    <n v="76.819999999999993"/>
    <n v="4.7619047620000003"/>
    <n v="3.8410000000000002"/>
    <n v="7.2"/>
    <d v="2019-02-13T00:00:00"/>
    <x v="2"/>
    <x v="3"/>
    <x v="26"/>
    <x v="6"/>
  </r>
  <r>
    <s v="308-47-4913"/>
    <x v="0"/>
    <s v="Yangon"/>
    <s v="Member"/>
    <s v="Female"/>
    <x v="3"/>
    <n v="52.26"/>
    <n v="10"/>
    <n v="26.13"/>
    <n v="548.73"/>
    <d v="2019-09-03T00:00:00"/>
    <d v="1899-12-30T12:45:00"/>
    <s v="Credit card"/>
    <n v="522.6"/>
    <n v="4.7619047620000003"/>
    <n v="26.13"/>
    <n v="6.2"/>
    <d v="2019-03-09T00:00:00"/>
    <x v="1"/>
    <x v="10"/>
    <x v="9"/>
    <x v="0"/>
  </r>
  <r>
    <s v="885-17-6250"/>
    <x v="0"/>
    <s v="Yangon"/>
    <s v="Normal"/>
    <s v="Female"/>
    <x v="0"/>
    <n v="79.739999999999995"/>
    <n v="1"/>
    <n v="3.9870000000000001"/>
    <n v="83.727000000000004"/>
    <d v="2019-06-03T00:00:00"/>
    <d v="1899-12-30T10:36:00"/>
    <s v="Ewallet"/>
    <n v="79.739999999999995"/>
    <n v="4.7619047620000003"/>
    <n v="3.9870000000000001"/>
    <n v="7.3"/>
    <d v="2019-03-06T00:00:00"/>
    <x v="1"/>
    <x v="1"/>
    <x v="20"/>
    <x v="6"/>
  </r>
  <r>
    <s v="726-27-2396"/>
    <x v="0"/>
    <s v="Yangon"/>
    <s v="Normal"/>
    <s v="Female"/>
    <x v="0"/>
    <n v="77.5"/>
    <n v="5"/>
    <n v="19.375"/>
    <n v="406.875"/>
    <s v="1/24/2019"/>
    <d v="1899-12-30T20:36:00"/>
    <s v="Ewallet"/>
    <n v="387.5"/>
    <n v="4.7619047620000003"/>
    <n v="19.375"/>
    <n v="4.3"/>
    <d v="2019-01-24T00:00:00"/>
    <x v="0"/>
    <x v="2"/>
    <x v="5"/>
    <x v="4"/>
  </r>
  <r>
    <s v="316-01-3952"/>
    <x v="0"/>
    <s v="Yangon"/>
    <s v="Normal"/>
    <s v="Female"/>
    <x v="4"/>
    <n v="54.27"/>
    <n v="5"/>
    <n v="13.567500000000001"/>
    <n v="284.91750000000002"/>
    <s v="3/13/2019"/>
    <d v="1899-12-30T14:16:00"/>
    <s v="Ewallet"/>
    <n v="271.35000000000002"/>
    <n v="4.7619047620000003"/>
    <n v="13.567500000000001"/>
    <n v="4.5999999999999996"/>
    <d v="2019-03-13T00:00:00"/>
    <x v="1"/>
    <x v="4"/>
    <x v="26"/>
    <x v="6"/>
  </r>
  <r>
    <s v="760-54-1821"/>
    <x v="2"/>
    <s v="Mandalay"/>
    <s v="Normal"/>
    <s v="Male"/>
    <x v="2"/>
    <n v="13.59"/>
    <n v="9"/>
    <n v="6.1154999999999999"/>
    <n v="128.4255"/>
    <s v="3/15/2019"/>
    <d v="1899-12-30T10:26:00"/>
    <s v="Cash"/>
    <n v="122.31"/>
    <n v="4.7619047620000003"/>
    <n v="6.1154999999999999"/>
    <n v="5.8"/>
    <d v="2019-03-15T00:00:00"/>
    <x v="1"/>
    <x v="1"/>
    <x v="13"/>
    <x v="1"/>
  </r>
  <r>
    <s v="793-10-3222"/>
    <x v="2"/>
    <s v="Mandalay"/>
    <s v="Member"/>
    <s v="Female"/>
    <x v="0"/>
    <n v="41.06"/>
    <n v="6"/>
    <n v="12.318"/>
    <n v="258.678"/>
    <d v="2019-05-03T00:00:00"/>
    <d v="1899-12-30T13:30:00"/>
    <s v="Credit card"/>
    <n v="246.36"/>
    <n v="4.7619047620000003"/>
    <n v="12.318"/>
    <n v="8.3000000000000007"/>
    <d v="2019-03-05T00:00:00"/>
    <x v="1"/>
    <x v="0"/>
    <x v="0"/>
    <x v="5"/>
  </r>
  <r>
    <s v="346-12-3257"/>
    <x v="2"/>
    <s v="Mandalay"/>
    <s v="Member"/>
    <s v="Male"/>
    <x v="1"/>
    <n v="19.239999999999998"/>
    <n v="9"/>
    <n v="8.6579999999999995"/>
    <n v="181.81800000000001"/>
    <d v="2019-04-03T00:00:00"/>
    <d v="1899-12-30T16:28:00"/>
    <s v="Cash"/>
    <n v="173.16"/>
    <n v="4.7619047620000003"/>
    <n v="8.6579999999999995"/>
    <n v="8"/>
    <d v="2019-03-04T00:00:00"/>
    <x v="1"/>
    <x v="7"/>
    <x v="22"/>
    <x v="3"/>
  </r>
  <r>
    <s v="110-05-6330"/>
    <x v="1"/>
    <s v="Naypyitaw"/>
    <s v="Normal"/>
    <s v="Female"/>
    <x v="4"/>
    <n v="39.43"/>
    <n v="6"/>
    <n v="11.829000000000001"/>
    <n v="248.40899999999999"/>
    <s v="3/25/2019"/>
    <d v="1899-12-30T20:18:00"/>
    <s v="Credit card"/>
    <n v="236.58"/>
    <n v="4.7619047620000003"/>
    <n v="11.829000000000001"/>
    <n v="9.4"/>
    <d v="2019-03-25T00:00:00"/>
    <x v="1"/>
    <x v="2"/>
    <x v="4"/>
    <x v="3"/>
  </r>
  <r>
    <s v="651-61-0874"/>
    <x v="1"/>
    <s v="Naypyitaw"/>
    <s v="Normal"/>
    <s v="Male"/>
    <x v="2"/>
    <n v="46.22"/>
    <n v="4"/>
    <n v="9.2439999999999998"/>
    <n v="194.124"/>
    <d v="2019-12-03T00:00:00"/>
    <d v="1899-12-30T20:04:00"/>
    <s v="Credit card"/>
    <n v="184.88"/>
    <n v="4.7619047620000003"/>
    <n v="9.2439999999999998"/>
    <n v="6.2"/>
    <d v="2019-03-12T00:00:00"/>
    <x v="1"/>
    <x v="2"/>
    <x v="10"/>
    <x v="5"/>
  </r>
  <r>
    <s v="236-86-3015"/>
    <x v="1"/>
    <s v="Naypyitaw"/>
    <s v="Member"/>
    <s v="Male"/>
    <x v="2"/>
    <n v="13.98"/>
    <n v="1"/>
    <n v="0.69899999999999995"/>
    <n v="14.679"/>
    <d v="2019-04-02T00:00:00"/>
    <d v="1899-12-30T13:38:00"/>
    <s v="Ewallet"/>
    <n v="13.98"/>
    <n v="4.7619047620000003"/>
    <n v="0.69899999999999995"/>
    <n v="9.8000000000000007"/>
    <d v="2019-02-04T00:00:00"/>
    <x v="2"/>
    <x v="0"/>
    <x v="22"/>
    <x v="3"/>
  </r>
  <r>
    <s v="831-64-0259"/>
    <x v="2"/>
    <s v="Mandalay"/>
    <s v="Normal"/>
    <s v="Female"/>
    <x v="5"/>
    <n v="39.75"/>
    <n v="5"/>
    <n v="9.9375"/>
    <n v="208.6875"/>
    <s v="2/22/2019"/>
    <d v="1899-12-30T10:43:00"/>
    <s v="Ewallet"/>
    <n v="198.75"/>
    <n v="4.7619047620000003"/>
    <n v="9.9375"/>
    <n v="9.6"/>
    <d v="2019-02-22T00:00:00"/>
    <x v="2"/>
    <x v="1"/>
    <x v="18"/>
    <x v="1"/>
  </r>
  <r>
    <s v="587-03-7455"/>
    <x v="1"/>
    <s v="Naypyitaw"/>
    <s v="Member"/>
    <s v="Female"/>
    <x v="5"/>
    <n v="97.79"/>
    <n v="7"/>
    <n v="34.226500000000001"/>
    <n v="718.75649999999996"/>
    <s v="2/16/2019"/>
    <d v="1899-12-30T17:30:00"/>
    <s v="Ewallet"/>
    <n v="684.53"/>
    <n v="4.7619047620000003"/>
    <n v="34.226500000000001"/>
    <n v="4.9000000000000004"/>
    <d v="2019-02-16T00:00:00"/>
    <x v="2"/>
    <x v="6"/>
    <x v="23"/>
    <x v="0"/>
  </r>
  <r>
    <s v="882-40-4577"/>
    <x v="0"/>
    <s v="Yangon"/>
    <s v="Member"/>
    <s v="Male"/>
    <x v="3"/>
    <n v="67.260000000000005"/>
    <n v="4"/>
    <n v="13.452"/>
    <n v="282.49200000000002"/>
    <s v="1/19/2019"/>
    <d v="1899-12-30T15:28:00"/>
    <s v="Credit card"/>
    <n v="269.04000000000002"/>
    <n v="4.7619047620000003"/>
    <n v="13.452"/>
    <n v="8"/>
    <d v="2019-01-19T00:00:00"/>
    <x v="0"/>
    <x v="9"/>
    <x v="24"/>
    <x v="0"/>
  </r>
  <r>
    <s v="732-67-5346"/>
    <x v="0"/>
    <s v="Yangon"/>
    <s v="Normal"/>
    <s v="Male"/>
    <x v="4"/>
    <n v="13.79"/>
    <n v="5"/>
    <n v="3.4474999999999998"/>
    <n v="72.397499999999994"/>
    <d v="2019-11-01T00:00:00"/>
    <d v="1899-12-30T19:07:00"/>
    <s v="Credit card"/>
    <n v="68.95"/>
    <n v="4.7619047620000003"/>
    <n v="3.4474999999999998"/>
    <n v="7.8"/>
    <d v="2019-01-11T00:00:00"/>
    <x v="0"/>
    <x v="8"/>
    <x v="14"/>
    <x v="1"/>
  </r>
  <r>
    <s v="725-32-9708"/>
    <x v="2"/>
    <s v="Mandalay"/>
    <s v="Member"/>
    <s v="Female"/>
    <x v="5"/>
    <n v="68.709999999999994"/>
    <n v="4"/>
    <n v="13.742000000000001"/>
    <n v="288.58199999999999"/>
    <d v="2019-04-01T00:00:00"/>
    <d v="1899-12-30T19:01:00"/>
    <s v="Cash"/>
    <n v="274.83999999999997"/>
    <n v="4.7619047620000003"/>
    <n v="13.742000000000001"/>
    <n v="4.0999999999999996"/>
    <d v="2019-01-04T00:00:00"/>
    <x v="0"/>
    <x v="8"/>
    <x v="22"/>
    <x v="1"/>
  </r>
  <r>
    <s v="256-08-8343"/>
    <x v="0"/>
    <s v="Yangon"/>
    <s v="Normal"/>
    <s v="Female"/>
    <x v="2"/>
    <n v="56.53"/>
    <n v="4"/>
    <n v="11.305999999999999"/>
    <n v="237.42599999999999"/>
    <d v="2019-04-03T00:00:00"/>
    <d v="1899-12-30T19:48:00"/>
    <s v="Ewallet"/>
    <n v="226.12"/>
    <n v="4.7619047620000003"/>
    <n v="11.305999999999999"/>
    <n v="5.5"/>
    <d v="2019-03-04T00:00:00"/>
    <x v="1"/>
    <x v="8"/>
    <x v="22"/>
    <x v="3"/>
  </r>
  <r>
    <s v="372-26-1506"/>
    <x v="1"/>
    <s v="Naypyitaw"/>
    <s v="Normal"/>
    <s v="Female"/>
    <x v="5"/>
    <n v="23.82"/>
    <n v="5"/>
    <n v="5.9550000000000001"/>
    <n v="125.05500000000001"/>
    <s v="1/28/2019"/>
    <d v="1899-12-30T19:24:00"/>
    <s v="Ewallet"/>
    <n v="119.1"/>
    <n v="4.7619047620000003"/>
    <n v="5.9550000000000001"/>
    <n v="5.4"/>
    <d v="2019-01-28T00:00:00"/>
    <x v="0"/>
    <x v="8"/>
    <x v="19"/>
    <x v="3"/>
  </r>
  <r>
    <s v="244-08-0162"/>
    <x v="2"/>
    <s v="Mandalay"/>
    <s v="Normal"/>
    <s v="Female"/>
    <x v="0"/>
    <n v="34.21"/>
    <n v="10"/>
    <n v="17.105"/>
    <n v="359.20499999999998"/>
    <d v="2019-02-01T00:00:00"/>
    <d v="1899-12-30T13:00:00"/>
    <s v="Cash"/>
    <n v="342.1"/>
    <n v="4.7619047620000003"/>
    <n v="17.105"/>
    <n v="5.0999999999999996"/>
    <d v="2019-01-02T00:00:00"/>
    <x v="0"/>
    <x v="0"/>
    <x v="8"/>
    <x v="6"/>
  </r>
  <r>
    <s v="569-71-4390"/>
    <x v="2"/>
    <s v="Mandalay"/>
    <s v="Normal"/>
    <s v="Male"/>
    <x v="3"/>
    <n v="21.87"/>
    <n v="2"/>
    <n v="2.1869999999999998"/>
    <n v="45.927"/>
    <s v="1/25/2019"/>
    <d v="1899-12-30T14:29:00"/>
    <s v="Ewallet"/>
    <n v="43.74"/>
    <n v="4.7619047620000003"/>
    <n v="2.1869999999999998"/>
    <n v="6.9"/>
    <d v="2019-01-25T00:00:00"/>
    <x v="0"/>
    <x v="4"/>
    <x v="4"/>
    <x v="1"/>
  </r>
  <r>
    <s v="132-23-6451"/>
    <x v="0"/>
    <s v="Yangon"/>
    <s v="Member"/>
    <s v="Male"/>
    <x v="0"/>
    <n v="20.97"/>
    <n v="5"/>
    <n v="5.2424999999999997"/>
    <n v="110.0925"/>
    <d v="2019-04-01T00:00:00"/>
    <d v="1899-12-30T13:21:00"/>
    <s v="Cash"/>
    <n v="104.85"/>
    <n v="4.7619047620000003"/>
    <n v="5.2424999999999997"/>
    <n v="7.8"/>
    <d v="2019-01-04T00:00:00"/>
    <x v="0"/>
    <x v="0"/>
    <x v="22"/>
    <x v="1"/>
  </r>
  <r>
    <s v="696-90-2548"/>
    <x v="0"/>
    <s v="Yangon"/>
    <s v="Normal"/>
    <s v="Male"/>
    <x v="3"/>
    <n v="25.84"/>
    <n v="3"/>
    <n v="3.8759999999999999"/>
    <n v="81.396000000000001"/>
    <d v="2019-10-03T00:00:00"/>
    <d v="1899-12-30T18:55:00"/>
    <s v="Ewallet"/>
    <n v="77.52"/>
    <n v="4.7619047620000003"/>
    <n v="3.8759999999999999"/>
    <n v="6.6"/>
    <d v="2019-03-10T00:00:00"/>
    <x v="1"/>
    <x v="3"/>
    <x v="6"/>
    <x v="2"/>
  </r>
  <r>
    <s v="472-15-9636"/>
    <x v="0"/>
    <s v="Yangon"/>
    <s v="Normal"/>
    <s v="Male"/>
    <x v="2"/>
    <n v="50.93"/>
    <n v="8"/>
    <n v="20.372"/>
    <n v="427.81200000000001"/>
    <s v="3/22/2019"/>
    <d v="1899-12-30T19:36:00"/>
    <s v="Ewallet"/>
    <n v="407.44"/>
    <n v="4.7619047620000003"/>
    <n v="20.372"/>
    <n v="9.1999999999999993"/>
    <d v="2019-03-22T00:00:00"/>
    <x v="1"/>
    <x v="8"/>
    <x v="18"/>
    <x v="1"/>
  </r>
  <r>
    <s v="268-03-6164"/>
    <x v="2"/>
    <s v="Mandalay"/>
    <s v="Normal"/>
    <s v="Male"/>
    <x v="0"/>
    <n v="96.11"/>
    <n v="1"/>
    <n v="4.8055000000000003"/>
    <n v="100.91549999999999"/>
    <s v="1/25/2019"/>
    <d v="1899-12-30T16:28:00"/>
    <s v="Ewallet"/>
    <n v="96.11"/>
    <n v="4.7619047620000003"/>
    <n v="4.8055000000000003"/>
    <n v="7.8"/>
    <d v="2019-01-25T00:00:00"/>
    <x v="0"/>
    <x v="7"/>
    <x v="4"/>
    <x v="1"/>
  </r>
  <r>
    <s v="750-57-9686"/>
    <x v="1"/>
    <s v="Naypyitaw"/>
    <s v="Normal"/>
    <s v="Female"/>
    <x v="2"/>
    <n v="45.38"/>
    <n v="4"/>
    <n v="9.0760000000000005"/>
    <n v="190.596"/>
    <d v="2019-08-01T00:00:00"/>
    <d v="1899-12-30T13:48:00"/>
    <s v="Credit card"/>
    <n v="181.52"/>
    <n v="4.7619047620000003"/>
    <n v="9.0760000000000005"/>
    <n v="8.6999999999999993"/>
    <d v="2019-01-08T00:00:00"/>
    <x v="0"/>
    <x v="0"/>
    <x v="1"/>
    <x v="5"/>
  </r>
  <r>
    <s v="186-09-3669"/>
    <x v="1"/>
    <s v="Naypyitaw"/>
    <s v="Member"/>
    <s v="Female"/>
    <x v="0"/>
    <n v="81.510000000000005"/>
    <n v="1"/>
    <n v="4.0754999999999999"/>
    <n v="85.585499999999996"/>
    <s v="1/22/2019"/>
    <d v="1899-12-30T10:57:00"/>
    <s v="Ewallet"/>
    <n v="81.510000000000005"/>
    <n v="4.7619047620000003"/>
    <n v="4.0754999999999999"/>
    <n v="9.1999999999999993"/>
    <d v="2019-01-22T00:00:00"/>
    <x v="0"/>
    <x v="1"/>
    <x v="18"/>
    <x v="5"/>
  </r>
  <r>
    <s v="848-07-1692"/>
    <x v="2"/>
    <s v="Mandalay"/>
    <s v="Normal"/>
    <s v="Female"/>
    <x v="0"/>
    <n v="57.22"/>
    <n v="2"/>
    <n v="5.7220000000000004"/>
    <n v="120.16200000000001"/>
    <d v="2019-12-01T00:00:00"/>
    <d v="1899-12-30T17:13:00"/>
    <s v="Ewallet"/>
    <n v="114.44"/>
    <n v="4.7619047620000003"/>
    <n v="5.7220000000000004"/>
    <n v="8.3000000000000007"/>
    <d v="2019-01-12T00:00:00"/>
    <x v="0"/>
    <x v="6"/>
    <x v="10"/>
    <x v="0"/>
  </r>
  <r>
    <s v="745-71-3520"/>
    <x v="0"/>
    <s v="Yangon"/>
    <s v="Member"/>
    <s v="Female"/>
    <x v="1"/>
    <n v="25.22"/>
    <n v="7"/>
    <n v="8.827"/>
    <n v="185.36699999999999"/>
    <d v="2019-04-02T00:00:00"/>
    <d v="1899-12-30T10:23:00"/>
    <s v="Cash"/>
    <n v="176.54"/>
    <n v="4.7619047620000003"/>
    <n v="8.827"/>
    <n v="8.1999999999999993"/>
    <d v="2019-02-04T00:00:00"/>
    <x v="2"/>
    <x v="1"/>
    <x v="22"/>
    <x v="3"/>
  </r>
  <r>
    <s v="266-76-6436"/>
    <x v="1"/>
    <s v="Naypyitaw"/>
    <s v="Member"/>
    <s v="Female"/>
    <x v="4"/>
    <n v="38.6"/>
    <n v="3"/>
    <n v="5.79"/>
    <n v="121.59"/>
    <s v="3/28/2019"/>
    <d v="1899-12-30T13:57:00"/>
    <s v="Ewallet"/>
    <n v="115.8"/>
    <n v="4.7619047620000003"/>
    <n v="5.79"/>
    <n v="7.5"/>
    <d v="2019-03-28T00:00:00"/>
    <x v="1"/>
    <x v="0"/>
    <x v="19"/>
    <x v="4"/>
  </r>
  <r>
    <s v="740-22-2500"/>
    <x v="1"/>
    <s v="Naypyitaw"/>
    <s v="Normal"/>
    <s v="Female"/>
    <x v="1"/>
    <n v="84.05"/>
    <n v="3"/>
    <n v="12.6075"/>
    <n v="264.75749999999999"/>
    <s v="1/23/2019"/>
    <d v="1899-12-30T13:29:00"/>
    <s v="Cash"/>
    <n v="252.15"/>
    <n v="4.7619047620000003"/>
    <n v="12.6075"/>
    <n v="9.8000000000000007"/>
    <d v="2019-01-23T00:00:00"/>
    <x v="0"/>
    <x v="0"/>
    <x v="21"/>
    <x v="6"/>
  </r>
  <r>
    <s v="271-88-8734"/>
    <x v="1"/>
    <s v="Naypyitaw"/>
    <s v="Member"/>
    <s v="Female"/>
    <x v="5"/>
    <n v="97.21"/>
    <n v="10"/>
    <n v="48.604999999999997"/>
    <n v="1020.705"/>
    <d v="2019-08-02T00:00:00"/>
    <d v="1899-12-30T13:00:00"/>
    <s v="Credit card"/>
    <n v="972.1"/>
    <n v="4.7619047620000003"/>
    <n v="48.604999999999997"/>
    <n v="8.6999999999999993"/>
    <d v="2019-02-08T00:00:00"/>
    <x v="2"/>
    <x v="0"/>
    <x v="1"/>
    <x v="1"/>
  </r>
  <r>
    <s v="301-81-8610"/>
    <x v="2"/>
    <s v="Mandalay"/>
    <s v="Member"/>
    <s v="Male"/>
    <x v="5"/>
    <n v="25.42"/>
    <n v="8"/>
    <n v="10.167999999999999"/>
    <n v="213.52799999999999"/>
    <s v="3/19/2019"/>
    <d v="1899-12-30T19:42:00"/>
    <s v="Credit card"/>
    <n v="203.36"/>
    <n v="4.7619047620000003"/>
    <n v="10.167999999999999"/>
    <n v="6.7"/>
    <d v="2019-03-19T00:00:00"/>
    <x v="1"/>
    <x v="8"/>
    <x v="24"/>
    <x v="5"/>
  </r>
  <r>
    <s v="489-64-4354"/>
    <x v="1"/>
    <s v="Naypyitaw"/>
    <s v="Normal"/>
    <s v="Male"/>
    <x v="5"/>
    <n v="16.28"/>
    <n v="1"/>
    <n v="0.81399999999999995"/>
    <n v="17.094000000000001"/>
    <d v="2019-09-03T00:00:00"/>
    <d v="1899-12-30T15:36:00"/>
    <s v="Cash"/>
    <n v="16.28"/>
    <n v="4.7619047620000003"/>
    <n v="0.81399999999999995"/>
    <n v="5"/>
    <d v="2019-03-09T00:00:00"/>
    <x v="1"/>
    <x v="9"/>
    <x v="9"/>
    <x v="0"/>
  </r>
  <r>
    <s v="198-84-7132"/>
    <x v="2"/>
    <s v="Mandalay"/>
    <s v="Member"/>
    <s v="Male"/>
    <x v="5"/>
    <n v="40.61"/>
    <n v="9"/>
    <n v="18.2745"/>
    <n v="383.7645"/>
    <d v="2019-02-01T00:00:00"/>
    <d v="1899-12-30T13:40:00"/>
    <s v="Cash"/>
    <n v="365.49"/>
    <n v="4.7619047620000003"/>
    <n v="18.2745"/>
    <n v="7"/>
    <d v="2019-01-02T00:00:00"/>
    <x v="0"/>
    <x v="0"/>
    <x v="8"/>
    <x v="6"/>
  </r>
  <r>
    <s v="269-10-8440"/>
    <x v="0"/>
    <s v="Yangon"/>
    <s v="Member"/>
    <s v="Male"/>
    <x v="0"/>
    <n v="53.17"/>
    <n v="7"/>
    <n v="18.609500000000001"/>
    <n v="390.79950000000002"/>
    <s v="1/21/2019"/>
    <d v="1899-12-30T18:01:00"/>
    <s v="Cash"/>
    <n v="372.19"/>
    <n v="4.7619047620000003"/>
    <n v="18.609500000000001"/>
    <n v="8.9"/>
    <d v="2019-01-21T00:00:00"/>
    <x v="0"/>
    <x v="3"/>
    <x v="16"/>
    <x v="3"/>
  </r>
  <r>
    <s v="650-98-6268"/>
    <x v="2"/>
    <s v="Mandalay"/>
    <s v="Member"/>
    <s v="Female"/>
    <x v="4"/>
    <n v="20.87"/>
    <n v="3"/>
    <n v="3.1305000000000001"/>
    <n v="65.740499999999997"/>
    <s v="3/20/2019"/>
    <d v="1899-12-30T13:53:00"/>
    <s v="Credit card"/>
    <n v="62.61"/>
    <n v="4.7619047620000003"/>
    <n v="3.1305000000000001"/>
    <n v="8"/>
    <d v="2019-03-20T00:00:00"/>
    <x v="1"/>
    <x v="0"/>
    <x v="7"/>
    <x v="6"/>
  </r>
  <r>
    <s v="741-73-3559"/>
    <x v="2"/>
    <s v="Mandalay"/>
    <s v="Normal"/>
    <s v="Male"/>
    <x v="3"/>
    <n v="67.27"/>
    <n v="5"/>
    <n v="16.817499999999999"/>
    <n v="353.16750000000002"/>
    <s v="2/27/2019"/>
    <d v="1899-12-30T17:27:00"/>
    <s v="Cash"/>
    <n v="336.35"/>
    <n v="4.7619047620000003"/>
    <n v="16.817499999999999"/>
    <n v="6.9"/>
    <d v="2019-02-27T00:00:00"/>
    <x v="2"/>
    <x v="6"/>
    <x v="3"/>
    <x v="6"/>
  </r>
  <r>
    <s v="325-77-6186"/>
    <x v="0"/>
    <s v="Yangon"/>
    <s v="Member"/>
    <s v="Female"/>
    <x v="2"/>
    <n v="90.65"/>
    <n v="10"/>
    <n v="45.325000000000003"/>
    <n v="951.82500000000005"/>
    <d v="2019-08-03T00:00:00"/>
    <d v="1899-12-30T10:53:00"/>
    <s v="Ewallet"/>
    <n v="906.5"/>
    <n v="4.7619047620000003"/>
    <n v="45.325000000000003"/>
    <n v="7.3"/>
    <d v="2019-03-08T00:00:00"/>
    <x v="1"/>
    <x v="1"/>
    <x v="1"/>
    <x v="1"/>
  </r>
  <r>
    <s v="286-75-7818"/>
    <x v="2"/>
    <s v="Mandalay"/>
    <s v="Normal"/>
    <s v="Male"/>
    <x v="5"/>
    <n v="69.08"/>
    <n v="2"/>
    <n v="6.9080000000000004"/>
    <n v="145.06800000000001"/>
    <s v="1/31/2019"/>
    <d v="1899-12-30T19:48:00"/>
    <s v="Credit card"/>
    <n v="138.16"/>
    <n v="4.7619047620000003"/>
    <n v="6.9080000000000004"/>
    <n v="6.9"/>
    <d v="2019-01-31T00:00:00"/>
    <x v="0"/>
    <x v="8"/>
    <x v="30"/>
    <x v="4"/>
  </r>
  <r>
    <s v="574-57-9721"/>
    <x v="1"/>
    <s v="Naypyitaw"/>
    <s v="Normal"/>
    <s v="Male"/>
    <x v="4"/>
    <n v="43.27"/>
    <n v="2"/>
    <n v="4.327"/>
    <n v="90.867000000000004"/>
    <d v="2019-08-03T00:00:00"/>
    <d v="1899-12-30T16:53:00"/>
    <s v="Ewallet"/>
    <n v="86.54"/>
    <n v="4.7619047620000003"/>
    <n v="4.327"/>
    <n v="5.7"/>
    <d v="2019-03-08T00:00:00"/>
    <x v="1"/>
    <x v="7"/>
    <x v="1"/>
    <x v="1"/>
  </r>
  <r>
    <s v="459-50-7686"/>
    <x v="0"/>
    <s v="Yangon"/>
    <s v="Normal"/>
    <s v="Female"/>
    <x v="1"/>
    <n v="23.46"/>
    <n v="6"/>
    <n v="7.0380000000000003"/>
    <n v="147.798"/>
    <s v="1/13/2019"/>
    <d v="1899-12-30T19:14:00"/>
    <s v="Ewallet"/>
    <n v="140.76"/>
    <n v="4.7619047620000003"/>
    <n v="7.0380000000000003"/>
    <n v="6.4"/>
    <d v="2019-01-13T00:00:00"/>
    <x v="0"/>
    <x v="8"/>
    <x v="26"/>
    <x v="2"/>
  </r>
  <r>
    <s v="616-87-0016"/>
    <x v="2"/>
    <s v="Mandalay"/>
    <s v="Normal"/>
    <s v="Male"/>
    <x v="5"/>
    <n v="95.54"/>
    <n v="7"/>
    <n v="33.439"/>
    <n v="702.21900000000005"/>
    <d v="2019-09-03T00:00:00"/>
    <d v="1899-12-30T14:36:00"/>
    <s v="Credit card"/>
    <n v="668.78"/>
    <n v="4.7619047620000003"/>
    <n v="33.439"/>
    <n v="9.6"/>
    <d v="2019-03-09T00:00:00"/>
    <x v="1"/>
    <x v="4"/>
    <x v="9"/>
    <x v="0"/>
  </r>
  <r>
    <s v="837-55-7229"/>
    <x v="2"/>
    <s v="Mandalay"/>
    <s v="Normal"/>
    <s v="Female"/>
    <x v="5"/>
    <n v="47.44"/>
    <n v="1"/>
    <n v="2.3719999999999999"/>
    <n v="49.811999999999998"/>
    <s v="2/22/2019"/>
    <d v="1899-12-30T18:19:00"/>
    <s v="Credit card"/>
    <n v="47.44"/>
    <n v="4.7619047620000003"/>
    <n v="2.3719999999999999"/>
    <n v="6.8"/>
    <d v="2019-02-22T00:00:00"/>
    <x v="2"/>
    <x v="3"/>
    <x v="18"/>
    <x v="1"/>
  </r>
  <r>
    <s v="751-69-0068"/>
    <x v="1"/>
    <s v="Naypyitaw"/>
    <s v="Normal"/>
    <s v="Male"/>
    <x v="3"/>
    <n v="99.24"/>
    <n v="9"/>
    <n v="44.658000000000001"/>
    <n v="937.81799999999998"/>
    <s v="3/19/2019"/>
    <d v="1899-12-30T19:09:00"/>
    <s v="Ewallet"/>
    <n v="893.16"/>
    <n v="4.7619047620000003"/>
    <n v="44.658000000000001"/>
    <n v="9"/>
    <d v="2019-03-19T00:00:00"/>
    <x v="1"/>
    <x v="8"/>
    <x v="24"/>
    <x v="5"/>
  </r>
  <r>
    <s v="257-73-1380"/>
    <x v="1"/>
    <s v="Naypyitaw"/>
    <s v="Member"/>
    <s v="Male"/>
    <x v="3"/>
    <n v="82.93"/>
    <n v="4"/>
    <n v="16.585999999999999"/>
    <n v="348.30599999999998"/>
    <s v="1/20/2019"/>
    <d v="1899-12-30T16:51:00"/>
    <s v="Ewallet"/>
    <n v="331.72"/>
    <n v="4.7619047620000003"/>
    <n v="16.585999999999999"/>
    <n v="9.6"/>
    <d v="2019-01-20T00:00:00"/>
    <x v="0"/>
    <x v="7"/>
    <x v="7"/>
    <x v="2"/>
  </r>
  <r>
    <s v="345-08-4992"/>
    <x v="0"/>
    <s v="Yangon"/>
    <s v="Normal"/>
    <s v="Male"/>
    <x v="2"/>
    <n v="33.99"/>
    <n v="6"/>
    <n v="10.196999999999999"/>
    <n v="214.137"/>
    <d v="2019-08-03T00:00:00"/>
    <d v="1899-12-30T15:37:00"/>
    <s v="Credit card"/>
    <n v="203.94"/>
    <n v="4.7619047620000003"/>
    <n v="10.196999999999999"/>
    <n v="7.7"/>
    <d v="2019-03-08T00:00:00"/>
    <x v="1"/>
    <x v="9"/>
    <x v="1"/>
    <x v="1"/>
  </r>
  <r>
    <s v="549-96-4200"/>
    <x v="1"/>
    <s v="Naypyitaw"/>
    <s v="Member"/>
    <s v="Male"/>
    <x v="4"/>
    <n v="17.04"/>
    <n v="4"/>
    <n v="3.4079999999999999"/>
    <n v="71.567999999999998"/>
    <d v="2019-08-03T00:00:00"/>
    <d v="1899-12-30T20:15:00"/>
    <s v="Ewallet"/>
    <n v="68.16"/>
    <n v="4.7619047620000003"/>
    <n v="3.4079999999999999"/>
    <n v="7"/>
    <d v="2019-03-08T00:00:00"/>
    <x v="1"/>
    <x v="2"/>
    <x v="1"/>
    <x v="1"/>
  </r>
  <r>
    <s v="810-60-6344"/>
    <x v="1"/>
    <s v="Naypyitaw"/>
    <s v="Normal"/>
    <s v="Female"/>
    <x v="1"/>
    <n v="40.86"/>
    <n v="8"/>
    <n v="16.344000000000001"/>
    <n v="343.22399999999999"/>
    <d v="2019-07-02T00:00:00"/>
    <d v="1899-12-30T14:38:00"/>
    <s v="Credit card"/>
    <n v="326.88"/>
    <n v="4.7619047620000003"/>
    <n v="16.344000000000001"/>
    <n v="6.5"/>
    <d v="2019-02-07T00:00:00"/>
    <x v="2"/>
    <x v="4"/>
    <x v="11"/>
    <x v="4"/>
  </r>
  <r>
    <s v="450-28-2866"/>
    <x v="1"/>
    <s v="Naypyitaw"/>
    <s v="Member"/>
    <s v="Male"/>
    <x v="4"/>
    <n v="17.440000000000001"/>
    <n v="5"/>
    <n v="4.3600000000000003"/>
    <n v="91.56"/>
    <s v="1/15/2019"/>
    <d v="1899-12-30T19:25:00"/>
    <s v="Cash"/>
    <n v="87.2"/>
    <n v="4.7619047620000003"/>
    <n v="4.3600000000000003"/>
    <n v="8.1"/>
    <d v="2019-01-15T00:00:00"/>
    <x v="0"/>
    <x v="8"/>
    <x v="13"/>
    <x v="5"/>
  </r>
  <r>
    <s v="394-30-3170"/>
    <x v="2"/>
    <s v="Mandalay"/>
    <s v="Member"/>
    <s v="Female"/>
    <x v="3"/>
    <n v="88.43"/>
    <n v="8"/>
    <n v="35.372"/>
    <n v="742.81200000000001"/>
    <s v="3/22/2019"/>
    <d v="1899-12-30T19:35:00"/>
    <s v="Credit card"/>
    <n v="707.44"/>
    <n v="4.7619047620000003"/>
    <n v="35.372"/>
    <n v="4.3"/>
    <d v="2019-03-22T00:00:00"/>
    <x v="1"/>
    <x v="8"/>
    <x v="18"/>
    <x v="1"/>
  </r>
  <r>
    <s v="138-17-5109"/>
    <x v="0"/>
    <s v="Yangon"/>
    <s v="Member"/>
    <s v="Female"/>
    <x v="2"/>
    <n v="89.21"/>
    <n v="9"/>
    <n v="40.144500000000001"/>
    <n v="843.03449999999998"/>
    <s v="1/15/2019"/>
    <d v="1899-12-30T15:42:00"/>
    <s v="Credit card"/>
    <n v="802.89"/>
    <n v="4.7619047620000003"/>
    <n v="40.144500000000001"/>
    <n v="6.5"/>
    <d v="2019-01-15T00:00:00"/>
    <x v="0"/>
    <x v="9"/>
    <x v="13"/>
    <x v="5"/>
  </r>
  <r>
    <s v="192-98-7397"/>
    <x v="1"/>
    <s v="Naypyitaw"/>
    <s v="Normal"/>
    <s v="Male"/>
    <x v="5"/>
    <n v="12.78"/>
    <n v="1"/>
    <n v="0.63900000000000001"/>
    <n v="13.419"/>
    <d v="2019-08-01T00:00:00"/>
    <d v="1899-12-30T14:11:00"/>
    <s v="Ewallet"/>
    <n v="12.78"/>
    <n v="4.7619047620000003"/>
    <n v="0.63900000000000001"/>
    <n v="9.5"/>
    <d v="2019-01-08T00:00:00"/>
    <x v="0"/>
    <x v="4"/>
    <x v="1"/>
    <x v="5"/>
  </r>
  <r>
    <s v="301-11-9629"/>
    <x v="0"/>
    <s v="Yangon"/>
    <s v="Normal"/>
    <s v="Female"/>
    <x v="3"/>
    <n v="19.100000000000001"/>
    <n v="7"/>
    <n v="6.6849999999999996"/>
    <n v="140.38499999999999"/>
    <s v="1/15/2019"/>
    <d v="1899-12-30T10:43:00"/>
    <s v="Cash"/>
    <n v="133.69999999999999"/>
    <n v="4.7619047620000003"/>
    <n v="6.6849999999999996"/>
    <n v="9.6999999999999993"/>
    <d v="2019-01-15T00:00:00"/>
    <x v="0"/>
    <x v="1"/>
    <x v="13"/>
    <x v="5"/>
  </r>
  <r>
    <s v="390-80-5128"/>
    <x v="2"/>
    <s v="Mandalay"/>
    <s v="Member"/>
    <s v="Female"/>
    <x v="0"/>
    <n v="19.149999999999999"/>
    <n v="1"/>
    <n v="0.95750000000000002"/>
    <n v="20.107500000000002"/>
    <s v="1/28/2019"/>
    <d v="1899-12-30T17:58:00"/>
    <s v="Credit card"/>
    <n v="19.149999999999999"/>
    <n v="4.7619047620000003"/>
    <n v="0.95750000000000002"/>
    <n v="9.5"/>
    <d v="2019-01-28T00:00:00"/>
    <x v="0"/>
    <x v="6"/>
    <x v="19"/>
    <x v="3"/>
  </r>
  <r>
    <s v="235-46-8343"/>
    <x v="1"/>
    <s v="Naypyitaw"/>
    <s v="Member"/>
    <s v="Male"/>
    <x v="4"/>
    <n v="27.66"/>
    <n v="10"/>
    <n v="13.83"/>
    <n v="290.43"/>
    <s v="2/14/2019"/>
    <d v="1899-12-30T11:26:00"/>
    <s v="Credit card"/>
    <n v="276.60000000000002"/>
    <n v="4.7619047620000003"/>
    <n v="13.83"/>
    <n v="8.9"/>
    <d v="2019-02-14T00:00:00"/>
    <x v="2"/>
    <x v="5"/>
    <x v="25"/>
    <x v="4"/>
  </r>
  <r>
    <s v="453-12-7053"/>
    <x v="1"/>
    <s v="Naypyitaw"/>
    <s v="Normal"/>
    <s v="Male"/>
    <x v="5"/>
    <n v="45.74"/>
    <n v="3"/>
    <n v="6.8609999999999998"/>
    <n v="144.08099999999999"/>
    <d v="2019-10-03T00:00:00"/>
    <d v="1899-12-30T17:38:00"/>
    <s v="Credit card"/>
    <n v="137.22"/>
    <n v="4.7619047620000003"/>
    <n v="6.8609999999999998"/>
    <n v="6.5"/>
    <d v="2019-03-10T00:00:00"/>
    <x v="1"/>
    <x v="6"/>
    <x v="6"/>
    <x v="2"/>
  </r>
  <r>
    <s v="296-11-7041"/>
    <x v="2"/>
    <s v="Mandalay"/>
    <s v="Member"/>
    <s v="Female"/>
    <x v="0"/>
    <n v="27.07"/>
    <n v="1"/>
    <n v="1.3534999999999999"/>
    <n v="28.423500000000001"/>
    <d v="2019-12-01T00:00:00"/>
    <d v="1899-12-30T20:07:00"/>
    <s v="Credit card"/>
    <n v="27.07"/>
    <n v="4.7619047620000003"/>
    <n v="1.3534999999999999"/>
    <n v="5.3"/>
    <d v="2019-01-12T00:00:00"/>
    <x v="0"/>
    <x v="2"/>
    <x v="10"/>
    <x v="0"/>
  </r>
  <r>
    <s v="449-27-2918"/>
    <x v="2"/>
    <s v="Mandalay"/>
    <s v="Member"/>
    <s v="Female"/>
    <x v="3"/>
    <n v="39.119999999999997"/>
    <n v="1"/>
    <n v="1.956"/>
    <n v="41.076000000000001"/>
    <s v="3/26/2019"/>
    <d v="1899-12-30T11:02:00"/>
    <s v="Credit card"/>
    <n v="39.119999999999997"/>
    <n v="4.7619047620000003"/>
    <n v="1.956"/>
    <n v="9.6"/>
    <d v="2019-03-26T00:00:00"/>
    <x v="1"/>
    <x v="5"/>
    <x v="27"/>
    <x v="5"/>
  </r>
  <r>
    <s v="891-01-7034"/>
    <x v="2"/>
    <s v="Mandalay"/>
    <s v="Normal"/>
    <s v="Female"/>
    <x v="1"/>
    <n v="74.709999999999994"/>
    <n v="6"/>
    <n v="22.413"/>
    <n v="470.673"/>
    <d v="2019-01-01T00:00:00"/>
    <d v="1899-12-30T19:07:00"/>
    <s v="Cash"/>
    <n v="448.26"/>
    <n v="4.7619047620000003"/>
    <n v="22.413"/>
    <n v="6.7"/>
    <d v="2019-01-01T00:00:00"/>
    <x v="0"/>
    <x v="8"/>
    <x v="15"/>
    <x v="5"/>
  </r>
  <r>
    <s v="744-09-5786"/>
    <x v="2"/>
    <s v="Mandalay"/>
    <s v="Normal"/>
    <s v="Male"/>
    <x v="1"/>
    <n v="22.01"/>
    <n v="6"/>
    <n v="6.6029999999999998"/>
    <n v="138.66300000000001"/>
    <d v="2019-02-01T00:00:00"/>
    <d v="1899-12-30T18:50:00"/>
    <s v="Cash"/>
    <n v="132.06"/>
    <n v="4.7619047620000003"/>
    <n v="6.6029999999999998"/>
    <n v="7.6"/>
    <d v="2019-01-02T00:00:00"/>
    <x v="0"/>
    <x v="3"/>
    <x v="8"/>
    <x v="6"/>
  </r>
  <r>
    <s v="727-17-0390"/>
    <x v="0"/>
    <s v="Yangon"/>
    <s v="Normal"/>
    <s v="Female"/>
    <x v="4"/>
    <n v="63.61"/>
    <n v="5"/>
    <n v="15.9025"/>
    <n v="333.95249999999999"/>
    <s v="3/16/2019"/>
    <d v="1899-12-30T12:43:00"/>
    <s v="Ewallet"/>
    <n v="318.05"/>
    <n v="4.7619047620000003"/>
    <n v="15.9025"/>
    <n v="4.8"/>
    <d v="2019-03-16T00:00:00"/>
    <x v="1"/>
    <x v="10"/>
    <x v="23"/>
    <x v="0"/>
  </r>
  <r>
    <s v="568-88-3448"/>
    <x v="0"/>
    <s v="Yangon"/>
    <s v="Normal"/>
    <s v="Male"/>
    <x v="0"/>
    <n v="25"/>
    <n v="1"/>
    <n v="1.25"/>
    <n v="26.25"/>
    <d v="2019-03-03T00:00:00"/>
    <d v="1899-12-30T15:09:00"/>
    <s v="Ewallet"/>
    <n v="25"/>
    <n v="4.7619047620000003"/>
    <n v="1.25"/>
    <n v="5.5"/>
    <d v="2019-03-03T00:00:00"/>
    <x v="1"/>
    <x v="9"/>
    <x v="2"/>
    <x v="2"/>
  </r>
  <r>
    <s v="187-83-5490"/>
    <x v="0"/>
    <s v="Yangon"/>
    <s v="Member"/>
    <s v="Male"/>
    <x v="1"/>
    <n v="20.77"/>
    <n v="4"/>
    <n v="4.1539999999999999"/>
    <n v="87.233999999999995"/>
    <s v="1/31/2019"/>
    <d v="1899-12-30T13:47:00"/>
    <s v="Cash"/>
    <n v="83.08"/>
    <n v="4.7619047620000003"/>
    <n v="4.1539999999999999"/>
    <n v="4.7"/>
    <d v="2019-01-31T00:00:00"/>
    <x v="0"/>
    <x v="0"/>
    <x v="30"/>
    <x v="4"/>
  </r>
  <r>
    <s v="767-54-1907"/>
    <x v="2"/>
    <s v="Mandalay"/>
    <s v="Member"/>
    <s v="Female"/>
    <x v="5"/>
    <n v="29.56"/>
    <n v="5"/>
    <n v="7.39"/>
    <n v="155.19"/>
    <s v="2/13/2019"/>
    <d v="1899-12-30T16:59:00"/>
    <s v="Cash"/>
    <n v="147.80000000000001"/>
    <n v="4.7619047620000003"/>
    <n v="7.39"/>
    <n v="6.9"/>
    <d v="2019-02-13T00:00:00"/>
    <x v="2"/>
    <x v="7"/>
    <x v="26"/>
    <x v="6"/>
  </r>
  <r>
    <s v="710-46-4433"/>
    <x v="2"/>
    <s v="Mandalay"/>
    <s v="Member"/>
    <s v="Female"/>
    <x v="4"/>
    <n v="77.400000000000006"/>
    <n v="9"/>
    <n v="34.83"/>
    <n v="731.43"/>
    <s v="2/15/2019"/>
    <d v="1899-12-30T14:15:00"/>
    <s v="Credit card"/>
    <n v="696.6"/>
    <n v="4.7619047620000003"/>
    <n v="34.83"/>
    <n v="4.5"/>
    <d v="2019-02-15T00:00:00"/>
    <x v="2"/>
    <x v="4"/>
    <x v="13"/>
    <x v="1"/>
  </r>
  <r>
    <s v="533-33-5337"/>
    <x v="2"/>
    <s v="Mandalay"/>
    <s v="Normal"/>
    <s v="Male"/>
    <x v="1"/>
    <n v="79.39"/>
    <n v="10"/>
    <n v="39.695"/>
    <n v="833.59500000000003"/>
    <d v="2019-07-02T00:00:00"/>
    <d v="1899-12-30T20:24:00"/>
    <s v="Cash"/>
    <n v="793.9"/>
    <n v="4.7619047620000003"/>
    <n v="39.695"/>
    <n v="6.2"/>
    <d v="2019-02-07T00:00:00"/>
    <x v="2"/>
    <x v="2"/>
    <x v="11"/>
    <x v="4"/>
  </r>
  <r>
    <s v="325-90-8763"/>
    <x v="1"/>
    <s v="Naypyitaw"/>
    <s v="Member"/>
    <s v="Female"/>
    <x v="1"/>
    <n v="46.57"/>
    <n v="10"/>
    <n v="23.285"/>
    <n v="488.98500000000001"/>
    <s v="1/27/2019"/>
    <d v="1899-12-30T13:58:00"/>
    <s v="Cash"/>
    <n v="465.7"/>
    <n v="4.7619047620000003"/>
    <n v="23.285"/>
    <n v="7.6"/>
    <d v="2019-01-27T00:00:00"/>
    <x v="0"/>
    <x v="0"/>
    <x v="3"/>
    <x v="2"/>
  </r>
  <r>
    <s v="729-46-7422"/>
    <x v="1"/>
    <s v="Naypyitaw"/>
    <s v="Normal"/>
    <s v="Male"/>
    <x v="4"/>
    <n v="35.89"/>
    <n v="1"/>
    <n v="1.7945"/>
    <n v="37.6845"/>
    <s v="2/23/2019"/>
    <d v="1899-12-30T16:52:00"/>
    <s v="Credit card"/>
    <n v="35.89"/>
    <n v="4.7619047620000003"/>
    <n v="1.7945"/>
    <n v="7.9"/>
    <d v="2019-02-23T00:00:00"/>
    <x v="2"/>
    <x v="7"/>
    <x v="21"/>
    <x v="0"/>
  </r>
  <r>
    <s v="639-76-1242"/>
    <x v="1"/>
    <s v="Naypyitaw"/>
    <s v="Normal"/>
    <s v="Male"/>
    <x v="4"/>
    <n v="40.520000000000003"/>
    <n v="5"/>
    <n v="10.130000000000001"/>
    <n v="212.73"/>
    <d v="2019-03-02T00:00:00"/>
    <d v="1899-12-30T15:19:00"/>
    <s v="Cash"/>
    <n v="202.6"/>
    <n v="4.7619047620000003"/>
    <n v="10.130000000000001"/>
    <n v="4.5"/>
    <d v="2019-02-03T00:00:00"/>
    <x v="2"/>
    <x v="9"/>
    <x v="2"/>
    <x v="2"/>
  </r>
  <r>
    <s v="234-03-4040"/>
    <x v="2"/>
    <s v="Mandalay"/>
    <s v="Member"/>
    <s v="Female"/>
    <x v="4"/>
    <n v="73.05"/>
    <n v="10"/>
    <n v="36.524999999999999"/>
    <n v="767.02499999999998"/>
    <d v="2019-03-03T00:00:00"/>
    <d v="1899-12-30T12:25:00"/>
    <s v="Credit card"/>
    <n v="730.5"/>
    <n v="4.7619047620000003"/>
    <n v="36.524999999999999"/>
    <n v="8.6999999999999993"/>
    <d v="2019-03-03T00:00:00"/>
    <x v="1"/>
    <x v="10"/>
    <x v="2"/>
    <x v="2"/>
  </r>
  <r>
    <s v="326-71-2155"/>
    <x v="1"/>
    <s v="Naypyitaw"/>
    <s v="Normal"/>
    <s v="Female"/>
    <x v="3"/>
    <n v="73.95"/>
    <n v="4"/>
    <n v="14.79"/>
    <n v="310.58999999999997"/>
    <d v="2019-03-02T00:00:00"/>
    <d v="1899-12-30T10:02:00"/>
    <s v="Cash"/>
    <n v="295.8"/>
    <n v="4.7619047620000003"/>
    <n v="14.79"/>
    <n v="6.1"/>
    <d v="2019-02-03T00:00:00"/>
    <x v="2"/>
    <x v="1"/>
    <x v="2"/>
    <x v="2"/>
  </r>
  <r>
    <s v="320-32-8842"/>
    <x v="1"/>
    <s v="Naypyitaw"/>
    <s v="Member"/>
    <s v="Female"/>
    <x v="4"/>
    <n v="22.62"/>
    <n v="1"/>
    <n v="1.131"/>
    <n v="23.751000000000001"/>
    <s v="3/17/2019"/>
    <d v="1899-12-30T18:58:00"/>
    <s v="Cash"/>
    <n v="22.62"/>
    <n v="4.7619047620000003"/>
    <n v="1.131"/>
    <n v="6.4"/>
    <d v="2019-03-17T00:00:00"/>
    <x v="1"/>
    <x v="3"/>
    <x v="17"/>
    <x v="2"/>
  </r>
  <r>
    <s v="470-32-9057"/>
    <x v="0"/>
    <s v="Yangon"/>
    <s v="Member"/>
    <s v="Male"/>
    <x v="4"/>
    <n v="51.34"/>
    <n v="5"/>
    <n v="12.835000000000001"/>
    <n v="269.53500000000003"/>
    <s v="3/28/2019"/>
    <d v="1899-12-30T15:31:00"/>
    <s v="Credit card"/>
    <n v="256.7"/>
    <n v="4.7619047620000003"/>
    <n v="12.835000000000001"/>
    <n v="9.1"/>
    <d v="2019-03-28T00:00:00"/>
    <x v="1"/>
    <x v="9"/>
    <x v="19"/>
    <x v="4"/>
  </r>
  <r>
    <s v="878-30-2331"/>
    <x v="1"/>
    <s v="Naypyitaw"/>
    <s v="Member"/>
    <s v="Female"/>
    <x v="3"/>
    <n v="54.55"/>
    <n v="10"/>
    <n v="27.274999999999999"/>
    <n v="572.77499999999998"/>
    <d v="2019-02-03T00:00:00"/>
    <d v="1899-12-30T11:22:00"/>
    <s v="Credit card"/>
    <n v="545.5"/>
    <n v="4.7619047620000003"/>
    <n v="27.274999999999999"/>
    <n v="7.1"/>
    <d v="2019-03-02T00:00:00"/>
    <x v="1"/>
    <x v="5"/>
    <x v="8"/>
    <x v="0"/>
  </r>
  <r>
    <s v="440-59-5691"/>
    <x v="1"/>
    <s v="Naypyitaw"/>
    <s v="Member"/>
    <s v="Female"/>
    <x v="0"/>
    <n v="37.15"/>
    <n v="7"/>
    <n v="13.0025"/>
    <n v="273.05250000000001"/>
    <d v="2019-08-02T00:00:00"/>
    <d v="1899-12-30T13:12:00"/>
    <s v="Credit card"/>
    <n v="260.05"/>
    <n v="4.7619047620000003"/>
    <n v="13.0025"/>
    <n v="7.7"/>
    <d v="2019-02-08T00:00:00"/>
    <x v="2"/>
    <x v="0"/>
    <x v="1"/>
    <x v="1"/>
  </r>
  <r>
    <s v="554-53-3790"/>
    <x v="2"/>
    <s v="Mandalay"/>
    <s v="Normal"/>
    <s v="Male"/>
    <x v="3"/>
    <n v="37.020000000000003"/>
    <n v="6"/>
    <n v="11.106"/>
    <n v="233.226"/>
    <s v="3/22/2019"/>
    <d v="1899-12-30T18:33:00"/>
    <s v="Cash"/>
    <n v="222.12"/>
    <n v="4.7619047620000003"/>
    <n v="11.106"/>
    <n v="4.5"/>
    <d v="2019-03-22T00:00:00"/>
    <x v="1"/>
    <x v="3"/>
    <x v="18"/>
    <x v="1"/>
  </r>
  <r>
    <s v="746-19-0921"/>
    <x v="1"/>
    <s v="Naypyitaw"/>
    <s v="Normal"/>
    <s v="Male"/>
    <x v="4"/>
    <n v="21.58"/>
    <n v="1"/>
    <n v="1.079"/>
    <n v="22.658999999999999"/>
    <d v="2019-09-02T00:00:00"/>
    <d v="1899-12-30T10:02:00"/>
    <s v="Ewallet"/>
    <n v="21.58"/>
    <n v="4.7619047620000003"/>
    <n v="1.079"/>
    <n v="7.2"/>
    <d v="2019-02-09T00:00:00"/>
    <x v="2"/>
    <x v="1"/>
    <x v="9"/>
    <x v="0"/>
  </r>
  <r>
    <s v="233-34-0817"/>
    <x v="1"/>
    <s v="Naypyitaw"/>
    <s v="Member"/>
    <s v="Female"/>
    <x v="1"/>
    <n v="98.84"/>
    <n v="1"/>
    <n v="4.9420000000000002"/>
    <n v="103.782"/>
    <s v="2/15/2019"/>
    <d v="1899-12-30T11:21:00"/>
    <s v="Cash"/>
    <n v="98.84"/>
    <n v="4.7619047620000003"/>
    <n v="4.9420000000000002"/>
    <n v="8.4"/>
    <d v="2019-02-15T00:00:00"/>
    <x v="2"/>
    <x v="5"/>
    <x v="13"/>
    <x v="1"/>
  </r>
  <r>
    <s v="767-05-1286"/>
    <x v="1"/>
    <s v="Naypyitaw"/>
    <s v="Member"/>
    <s v="Female"/>
    <x v="2"/>
    <n v="83.77"/>
    <n v="6"/>
    <n v="25.131"/>
    <n v="527.75099999999998"/>
    <s v="1/23/2019"/>
    <d v="1899-12-30T12:10:00"/>
    <s v="Ewallet"/>
    <n v="502.62"/>
    <n v="4.7619047620000003"/>
    <n v="25.131"/>
    <n v="5.4"/>
    <d v="2019-01-23T00:00:00"/>
    <x v="0"/>
    <x v="10"/>
    <x v="21"/>
    <x v="6"/>
  </r>
  <r>
    <s v="340-21-9136"/>
    <x v="0"/>
    <s v="Yangon"/>
    <s v="Member"/>
    <s v="Female"/>
    <x v="3"/>
    <n v="40.049999999999997"/>
    <n v="4"/>
    <n v="8.01"/>
    <n v="168.21"/>
    <s v="1/25/2019"/>
    <d v="1899-12-30T11:40:00"/>
    <s v="Cash"/>
    <n v="160.19999999999999"/>
    <n v="4.7619047620000003"/>
    <n v="8.01"/>
    <n v="9.6999999999999993"/>
    <d v="2019-01-25T00:00:00"/>
    <x v="0"/>
    <x v="5"/>
    <x v="4"/>
    <x v="1"/>
  </r>
  <r>
    <s v="405-31-3305"/>
    <x v="0"/>
    <s v="Yangon"/>
    <s v="Member"/>
    <s v="Male"/>
    <x v="5"/>
    <n v="43.13"/>
    <n v="10"/>
    <n v="21.565000000000001"/>
    <n v="452.86500000000001"/>
    <d v="2019-02-02T00:00:00"/>
    <d v="1899-12-30T18:31:00"/>
    <s v="Credit card"/>
    <n v="431.3"/>
    <n v="4.7619047620000003"/>
    <n v="21.565000000000001"/>
    <n v="5.5"/>
    <d v="2019-02-02T00:00:00"/>
    <x v="2"/>
    <x v="3"/>
    <x v="8"/>
    <x v="0"/>
  </r>
  <r>
    <s v="731-59-7531"/>
    <x v="2"/>
    <s v="Mandalay"/>
    <s v="Member"/>
    <s v="Male"/>
    <x v="0"/>
    <n v="72.569999999999993"/>
    <n v="8"/>
    <n v="29.027999999999999"/>
    <n v="609.58799999999997"/>
    <s v="3/30/2019"/>
    <d v="1899-12-30T17:58:00"/>
    <s v="Cash"/>
    <n v="580.55999999999995"/>
    <n v="4.7619047620000003"/>
    <n v="29.027999999999999"/>
    <n v="4.5999999999999996"/>
    <d v="2019-03-30T00:00:00"/>
    <x v="1"/>
    <x v="6"/>
    <x v="29"/>
    <x v="0"/>
  </r>
  <r>
    <s v="676-39-6028"/>
    <x v="0"/>
    <s v="Yangon"/>
    <s v="Member"/>
    <s v="Female"/>
    <x v="1"/>
    <n v="64.44"/>
    <n v="5"/>
    <n v="16.11"/>
    <n v="338.31"/>
    <s v="3/30/2019"/>
    <d v="1899-12-30T17:04:00"/>
    <s v="Cash"/>
    <n v="322.2"/>
    <n v="4.7619047620000003"/>
    <n v="16.11"/>
    <n v="6.6"/>
    <d v="2019-03-30T00:00:00"/>
    <x v="1"/>
    <x v="6"/>
    <x v="29"/>
    <x v="0"/>
  </r>
  <r>
    <s v="502-05-1910"/>
    <x v="0"/>
    <s v="Yangon"/>
    <s v="Normal"/>
    <s v="Male"/>
    <x v="0"/>
    <n v="65.180000000000007"/>
    <n v="3"/>
    <n v="9.7769999999999992"/>
    <n v="205.31700000000001"/>
    <s v="2/25/2019"/>
    <d v="1899-12-30T20:35:00"/>
    <s v="Credit card"/>
    <n v="195.54"/>
    <n v="4.7619047620000003"/>
    <n v="9.7769999999999992"/>
    <n v="6.3"/>
    <d v="2019-02-25T00:00:00"/>
    <x v="2"/>
    <x v="2"/>
    <x v="4"/>
    <x v="3"/>
  </r>
  <r>
    <s v="485-30-8700"/>
    <x v="0"/>
    <s v="Yangon"/>
    <s v="Normal"/>
    <s v="Female"/>
    <x v="3"/>
    <n v="33.26"/>
    <n v="5"/>
    <n v="8.3149999999999995"/>
    <n v="174.61500000000001"/>
    <s v="3/18/2019"/>
    <d v="1899-12-30T16:10:00"/>
    <s v="Credit card"/>
    <n v="166.3"/>
    <n v="4.7619047620000003"/>
    <n v="8.3149999999999995"/>
    <n v="4.2"/>
    <d v="2019-03-18T00:00:00"/>
    <x v="1"/>
    <x v="7"/>
    <x v="28"/>
    <x v="3"/>
  </r>
  <r>
    <s v="598-47-9715"/>
    <x v="1"/>
    <s v="Naypyitaw"/>
    <s v="Normal"/>
    <s v="Male"/>
    <x v="1"/>
    <n v="84.07"/>
    <n v="4"/>
    <n v="16.814"/>
    <n v="353.09399999999999"/>
    <d v="2019-07-03T00:00:00"/>
    <d v="1899-12-30T16:54:00"/>
    <s v="Ewallet"/>
    <n v="336.28"/>
    <n v="4.7619047620000003"/>
    <n v="16.814"/>
    <n v="4.4000000000000004"/>
    <d v="2019-03-07T00:00:00"/>
    <x v="1"/>
    <x v="7"/>
    <x v="11"/>
    <x v="4"/>
  </r>
  <r>
    <s v="701-69-8742"/>
    <x v="2"/>
    <s v="Mandalay"/>
    <s v="Normal"/>
    <s v="Male"/>
    <x v="3"/>
    <n v="34.369999999999997"/>
    <n v="10"/>
    <n v="17.184999999999999"/>
    <n v="360.88499999999999"/>
    <s v="3/16/2019"/>
    <d v="1899-12-30T10:11:00"/>
    <s v="Ewallet"/>
    <n v="343.7"/>
    <n v="4.7619047620000003"/>
    <n v="17.184999999999999"/>
    <n v="6.7"/>
    <d v="2019-03-16T00:00:00"/>
    <x v="1"/>
    <x v="1"/>
    <x v="23"/>
    <x v="0"/>
  </r>
  <r>
    <s v="575-67-1508"/>
    <x v="0"/>
    <s v="Yangon"/>
    <s v="Normal"/>
    <s v="Male"/>
    <x v="1"/>
    <n v="38.6"/>
    <n v="1"/>
    <n v="1.93"/>
    <n v="40.53"/>
    <s v="1/29/2019"/>
    <d v="1899-12-30T11:26:00"/>
    <s v="Ewallet"/>
    <n v="38.6"/>
    <n v="4.7619047620000003"/>
    <n v="1.93"/>
    <n v="6.7"/>
    <d v="2019-01-29T00:00:00"/>
    <x v="0"/>
    <x v="5"/>
    <x v="12"/>
    <x v="5"/>
  </r>
  <r>
    <s v="541-08-3113"/>
    <x v="1"/>
    <s v="Naypyitaw"/>
    <s v="Normal"/>
    <s v="Male"/>
    <x v="4"/>
    <n v="65.97"/>
    <n v="8"/>
    <n v="26.388000000000002"/>
    <n v="554.14800000000002"/>
    <d v="2019-02-02T00:00:00"/>
    <d v="1899-12-30T20:29:00"/>
    <s v="Cash"/>
    <n v="527.76"/>
    <n v="4.7619047620000003"/>
    <n v="26.388000000000002"/>
    <n v="8.4"/>
    <d v="2019-02-02T00:00:00"/>
    <x v="2"/>
    <x v="2"/>
    <x v="8"/>
    <x v="0"/>
  </r>
  <r>
    <s v="246-11-3901"/>
    <x v="1"/>
    <s v="Naypyitaw"/>
    <s v="Normal"/>
    <s v="Female"/>
    <x v="1"/>
    <n v="32.799999999999997"/>
    <n v="10"/>
    <n v="16.399999999999999"/>
    <n v="344.4"/>
    <s v="2/15/2019"/>
    <d v="1899-12-30T12:12:00"/>
    <s v="Cash"/>
    <n v="328"/>
    <n v="4.7619047620000003"/>
    <n v="16.399999999999999"/>
    <n v="6.2"/>
    <d v="2019-02-15T00:00:00"/>
    <x v="2"/>
    <x v="10"/>
    <x v="13"/>
    <x v="1"/>
  </r>
  <r>
    <s v="674-15-9296"/>
    <x v="0"/>
    <s v="Yangon"/>
    <s v="Normal"/>
    <s v="Male"/>
    <x v="3"/>
    <n v="37.14"/>
    <n v="5"/>
    <n v="9.2850000000000001"/>
    <n v="194.98500000000001"/>
    <d v="2019-08-01T00:00:00"/>
    <d v="1899-12-30T13:05:00"/>
    <s v="Ewallet"/>
    <n v="185.7"/>
    <n v="4.7619047620000003"/>
    <n v="9.2850000000000001"/>
    <n v="5"/>
    <d v="2019-01-08T00:00:00"/>
    <x v="0"/>
    <x v="0"/>
    <x v="1"/>
    <x v="5"/>
  </r>
  <r>
    <s v="305-18-3552"/>
    <x v="2"/>
    <s v="Mandalay"/>
    <s v="Member"/>
    <s v="Male"/>
    <x v="2"/>
    <n v="60.38"/>
    <n v="10"/>
    <n v="30.19"/>
    <n v="633.99"/>
    <d v="2019-12-02T00:00:00"/>
    <d v="1899-12-30T16:19:00"/>
    <s v="Cash"/>
    <n v="603.79999999999995"/>
    <n v="4.7619047620000003"/>
    <n v="30.19"/>
    <n v="6"/>
    <d v="2019-02-12T00:00:00"/>
    <x v="2"/>
    <x v="7"/>
    <x v="10"/>
    <x v="5"/>
  </r>
  <r>
    <s v="493-65-6248"/>
    <x v="1"/>
    <s v="Naypyitaw"/>
    <s v="Member"/>
    <s v="Female"/>
    <x v="3"/>
    <n v="36.979999999999997"/>
    <n v="10"/>
    <n v="18.489999999999998"/>
    <n v="388.29"/>
    <d v="2019-01-01T00:00:00"/>
    <d v="1899-12-30T19:48:00"/>
    <s v="Credit card"/>
    <n v="369.8"/>
    <n v="4.7619047620000003"/>
    <n v="18.489999999999998"/>
    <n v="7"/>
    <d v="2019-01-01T00:00:00"/>
    <x v="0"/>
    <x v="8"/>
    <x v="15"/>
    <x v="5"/>
  </r>
  <r>
    <s v="438-01-4015"/>
    <x v="2"/>
    <s v="Mandalay"/>
    <s v="Member"/>
    <s v="Female"/>
    <x v="3"/>
    <n v="49.49"/>
    <n v="4"/>
    <n v="9.8979999999999997"/>
    <n v="207.858"/>
    <s v="3/21/2019"/>
    <d v="1899-12-30T15:25:00"/>
    <s v="Ewallet"/>
    <n v="197.96"/>
    <n v="4.7619047620000003"/>
    <n v="9.8979999999999997"/>
    <n v="6.6"/>
    <d v="2019-03-21T00:00:00"/>
    <x v="1"/>
    <x v="9"/>
    <x v="16"/>
    <x v="4"/>
  </r>
  <r>
    <s v="709-58-4068"/>
    <x v="2"/>
    <s v="Mandalay"/>
    <s v="Normal"/>
    <s v="Female"/>
    <x v="5"/>
    <n v="41.09"/>
    <n v="10"/>
    <n v="20.545000000000002"/>
    <n v="431.44499999999999"/>
    <s v="2/28/2019"/>
    <d v="1899-12-30T14:42:00"/>
    <s v="Cash"/>
    <n v="410.9"/>
    <n v="4.7619047620000003"/>
    <n v="20.545000000000002"/>
    <n v="7.3"/>
    <d v="2019-02-28T00:00:00"/>
    <x v="2"/>
    <x v="4"/>
    <x v="19"/>
    <x v="4"/>
  </r>
  <r>
    <s v="795-49-7276"/>
    <x v="0"/>
    <s v="Yangon"/>
    <s v="Normal"/>
    <s v="Male"/>
    <x v="5"/>
    <n v="37.15"/>
    <n v="4"/>
    <n v="7.43"/>
    <n v="156.03"/>
    <s v="3/23/2019"/>
    <d v="1899-12-30T18:59:00"/>
    <s v="Ewallet"/>
    <n v="148.6"/>
    <n v="4.7619047620000003"/>
    <n v="7.43"/>
    <n v="8.3000000000000007"/>
    <d v="2019-03-23T00:00:00"/>
    <x v="1"/>
    <x v="3"/>
    <x v="21"/>
    <x v="0"/>
  </r>
  <r>
    <s v="556-72-8512"/>
    <x v="1"/>
    <s v="Naypyitaw"/>
    <s v="Normal"/>
    <s v="Male"/>
    <x v="2"/>
    <n v="22.96"/>
    <n v="1"/>
    <n v="1.1479999999999999"/>
    <n v="24.108000000000001"/>
    <s v="1/30/2019"/>
    <d v="1899-12-30T20:47:00"/>
    <s v="Cash"/>
    <n v="22.96"/>
    <n v="4.7619047620000003"/>
    <n v="1.1479999999999999"/>
    <n v="4.3"/>
    <d v="2019-01-30T00:00:00"/>
    <x v="0"/>
    <x v="2"/>
    <x v="29"/>
    <x v="6"/>
  </r>
  <r>
    <s v="627-95-3243"/>
    <x v="2"/>
    <s v="Mandalay"/>
    <s v="Member"/>
    <s v="Female"/>
    <x v="2"/>
    <n v="77.680000000000007"/>
    <n v="9"/>
    <n v="34.956000000000003"/>
    <n v="734.07600000000002"/>
    <d v="2019-04-02T00:00:00"/>
    <d v="1899-12-30T13:21:00"/>
    <s v="Ewallet"/>
    <n v="699.12"/>
    <n v="4.7619047620000003"/>
    <n v="34.956000000000003"/>
    <n v="9.8000000000000007"/>
    <d v="2019-02-04T00:00:00"/>
    <x v="2"/>
    <x v="0"/>
    <x v="22"/>
    <x v="3"/>
  </r>
  <r>
    <s v="686-41-0932"/>
    <x v="2"/>
    <s v="Mandalay"/>
    <s v="Normal"/>
    <s v="Female"/>
    <x v="5"/>
    <n v="34.700000000000003"/>
    <n v="2"/>
    <n v="3.47"/>
    <n v="72.87"/>
    <s v="3/13/2019"/>
    <d v="1899-12-30T19:48:00"/>
    <s v="Ewallet"/>
    <n v="69.400000000000006"/>
    <n v="4.7619047620000003"/>
    <n v="3.47"/>
    <n v="8.1999999999999993"/>
    <d v="2019-03-13T00:00:00"/>
    <x v="1"/>
    <x v="8"/>
    <x v="26"/>
    <x v="6"/>
  </r>
  <r>
    <s v="510-09-5628"/>
    <x v="0"/>
    <s v="Yangon"/>
    <s v="Member"/>
    <s v="Female"/>
    <x v="5"/>
    <n v="19.66"/>
    <n v="10"/>
    <n v="9.83"/>
    <n v="206.43"/>
    <s v="3/15/2019"/>
    <d v="1899-12-30T18:20:00"/>
    <s v="Credit card"/>
    <n v="196.6"/>
    <n v="4.7619047620000003"/>
    <n v="9.83"/>
    <n v="7.2"/>
    <d v="2019-03-15T00:00:00"/>
    <x v="1"/>
    <x v="3"/>
    <x v="13"/>
    <x v="1"/>
  </r>
  <r>
    <s v="608-04-3797"/>
    <x v="2"/>
    <s v="Mandalay"/>
    <s v="Member"/>
    <s v="Female"/>
    <x v="0"/>
    <n v="25.32"/>
    <n v="8"/>
    <n v="10.128"/>
    <n v="212.68799999999999"/>
    <d v="2019-05-03T00:00:00"/>
    <d v="1899-12-30T20:24:00"/>
    <s v="Ewallet"/>
    <n v="202.56"/>
    <n v="4.7619047620000003"/>
    <n v="10.128"/>
    <n v="8.6999999999999993"/>
    <d v="2019-03-05T00:00:00"/>
    <x v="1"/>
    <x v="2"/>
    <x v="0"/>
    <x v="5"/>
  </r>
  <r>
    <s v="148-82-2527"/>
    <x v="1"/>
    <s v="Naypyitaw"/>
    <s v="Member"/>
    <s v="Female"/>
    <x v="2"/>
    <n v="12.12"/>
    <n v="10"/>
    <n v="6.06"/>
    <n v="127.26"/>
    <d v="2019-05-03T00:00:00"/>
    <d v="1899-12-30T13:44:00"/>
    <s v="Credit card"/>
    <n v="121.2"/>
    <n v="4.7619047620000003"/>
    <n v="6.06"/>
    <n v="8.4"/>
    <d v="2019-03-05T00:00:00"/>
    <x v="1"/>
    <x v="0"/>
    <x v="0"/>
    <x v="5"/>
  </r>
  <r>
    <s v="437-53-3084"/>
    <x v="2"/>
    <s v="Mandalay"/>
    <s v="Normal"/>
    <s v="Male"/>
    <x v="5"/>
    <n v="99.89"/>
    <n v="2"/>
    <n v="9.9890000000000008"/>
    <n v="209.76900000000001"/>
    <s v="2/26/2019"/>
    <d v="1899-12-30T11:48:00"/>
    <s v="Ewallet"/>
    <n v="199.78"/>
    <n v="4.7619047620000003"/>
    <n v="9.9890000000000008"/>
    <n v="7.1"/>
    <d v="2019-02-26T00:00:00"/>
    <x v="2"/>
    <x v="5"/>
    <x v="27"/>
    <x v="5"/>
  </r>
  <r>
    <s v="632-32-4574"/>
    <x v="2"/>
    <s v="Mandalay"/>
    <s v="Normal"/>
    <s v="Male"/>
    <x v="3"/>
    <n v="75.92"/>
    <n v="8"/>
    <n v="30.367999999999999"/>
    <n v="637.72799999999995"/>
    <s v="3/20/2019"/>
    <d v="1899-12-30T14:14:00"/>
    <s v="Cash"/>
    <n v="607.36"/>
    <n v="4.7619047620000003"/>
    <n v="30.367999999999999"/>
    <n v="5.5"/>
    <d v="2019-03-20T00:00:00"/>
    <x v="1"/>
    <x v="4"/>
    <x v="7"/>
    <x v="6"/>
  </r>
  <r>
    <s v="556-97-7101"/>
    <x v="1"/>
    <s v="Naypyitaw"/>
    <s v="Normal"/>
    <s v="Female"/>
    <x v="1"/>
    <n v="63.22"/>
    <n v="2"/>
    <n v="6.3220000000000001"/>
    <n v="132.762"/>
    <d v="2019-01-01T00:00:00"/>
    <d v="1899-12-30T15:51:00"/>
    <s v="Cash"/>
    <n v="126.44"/>
    <n v="4.7619047620000003"/>
    <n v="6.3220000000000001"/>
    <n v="8.5"/>
    <d v="2019-01-01T00:00:00"/>
    <x v="0"/>
    <x v="9"/>
    <x v="15"/>
    <x v="5"/>
  </r>
  <r>
    <s v="862-59-8517"/>
    <x v="1"/>
    <s v="Naypyitaw"/>
    <s v="Normal"/>
    <s v="Female"/>
    <x v="4"/>
    <n v="90.24"/>
    <n v="6"/>
    <n v="27.071999999999999"/>
    <n v="568.51199999999994"/>
    <s v="1/27/2019"/>
    <d v="1899-12-30T11:17:00"/>
    <s v="Cash"/>
    <n v="541.44000000000005"/>
    <n v="4.7619047620000003"/>
    <n v="27.071999999999999"/>
    <n v="6.2"/>
    <d v="2019-01-27T00:00:00"/>
    <x v="0"/>
    <x v="5"/>
    <x v="3"/>
    <x v="2"/>
  </r>
  <r>
    <s v="401-18-8016"/>
    <x v="2"/>
    <s v="Mandalay"/>
    <s v="Member"/>
    <s v="Female"/>
    <x v="3"/>
    <n v="98.13"/>
    <n v="1"/>
    <n v="4.9065000000000003"/>
    <n v="103.0365"/>
    <s v="1/21/2019"/>
    <d v="1899-12-30T17:36:00"/>
    <s v="Cash"/>
    <n v="98.13"/>
    <n v="4.7619047620000003"/>
    <n v="4.9065000000000003"/>
    <n v="8.9"/>
    <d v="2019-01-21T00:00:00"/>
    <x v="0"/>
    <x v="6"/>
    <x v="16"/>
    <x v="3"/>
  </r>
  <r>
    <s v="420-18-8989"/>
    <x v="0"/>
    <s v="Yangon"/>
    <s v="Member"/>
    <s v="Female"/>
    <x v="3"/>
    <n v="51.52"/>
    <n v="8"/>
    <n v="20.608000000000001"/>
    <n v="432.76799999999997"/>
    <d v="2019-02-02T00:00:00"/>
    <d v="1899-12-30T15:47:00"/>
    <s v="Cash"/>
    <n v="412.16"/>
    <n v="4.7619047620000003"/>
    <n v="20.608000000000001"/>
    <n v="9.6"/>
    <d v="2019-02-02T00:00:00"/>
    <x v="2"/>
    <x v="9"/>
    <x v="8"/>
    <x v="0"/>
  </r>
  <r>
    <s v="277-63-2961"/>
    <x v="2"/>
    <s v="Mandalay"/>
    <s v="Member"/>
    <s v="Male"/>
    <x v="3"/>
    <n v="73.97"/>
    <n v="1"/>
    <n v="3.6985000000000001"/>
    <n v="77.668499999999995"/>
    <d v="2019-03-02T00:00:00"/>
    <d v="1899-12-30T15:53:00"/>
    <s v="Credit card"/>
    <n v="73.97"/>
    <n v="4.7619047620000003"/>
    <n v="3.6985000000000001"/>
    <n v="5.4"/>
    <d v="2019-02-03T00:00:00"/>
    <x v="2"/>
    <x v="9"/>
    <x v="2"/>
    <x v="2"/>
  </r>
  <r>
    <s v="573-98-8548"/>
    <x v="1"/>
    <s v="Naypyitaw"/>
    <s v="Member"/>
    <s v="Female"/>
    <x v="5"/>
    <n v="31.9"/>
    <n v="1"/>
    <n v="1.595"/>
    <n v="33.494999999999997"/>
    <d v="2019-05-01T00:00:00"/>
    <d v="1899-12-30T12:40:00"/>
    <s v="Ewallet"/>
    <n v="31.9"/>
    <n v="4.7619047620000003"/>
    <n v="1.595"/>
    <n v="9.1"/>
    <d v="2019-01-05T00:00:00"/>
    <x v="0"/>
    <x v="10"/>
    <x v="0"/>
    <x v="0"/>
  </r>
  <r>
    <s v="620-02-2046"/>
    <x v="1"/>
    <s v="Naypyitaw"/>
    <s v="Normal"/>
    <s v="Male"/>
    <x v="2"/>
    <n v="69.400000000000006"/>
    <n v="2"/>
    <n v="6.94"/>
    <n v="145.74"/>
    <s v="1/27/2019"/>
    <d v="1899-12-30T19:48:00"/>
    <s v="Ewallet"/>
    <n v="138.80000000000001"/>
    <n v="4.7619047620000003"/>
    <n v="6.94"/>
    <n v="9"/>
    <d v="2019-01-27T00:00:00"/>
    <x v="0"/>
    <x v="8"/>
    <x v="3"/>
    <x v="2"/>
  </r>
  <r>
    <s v="282-35-2475"/>
    <x v="2"/>
    <s v="Mandalay"/>
    <s v="Normal"/>
    <s v="Female"/>
    <x v="3"/>
    <n v="93.31"/>
    <n v="2"/>
    <n v="9.3309999999999995"/>
    <n v="195.95099999999999"/>
    <s v="3/25/2019"/>
    <d v="1899-12-30T17:53:00"/>
    <s v="Cash"/>
    <n v="186.62"/>
    <n v="4.7619047620000003"/>
    <n v="9.3309999999999995"/>
    <n v="6.3"/>
    <d v="2019-03-25T00:00:00"/>
    <x v="1"/>
    <x v="6"/>
    <x v="4"/>
    <x v="3"/>
  </r>
  <r>
    <s v="511-54-3087"/>
    <x v="2"/>
    <s v="Mandalay"/>
    <s v="Normal"/>
    <s v="Male"/>
    <x v="3"/>
    <n v="88.45"/>
    <n v="1"/>
    <n v="4.4225000000000003"/>
    <n v="92.872500000000002"/>
    <s v="2/25/2019"/>
    <d v="1899-12-30T16:36:00"/>
    <s v="Credit card"/>
    <n v="88.45"/>
    <n v="4.7619047620000003"/>
    <n v="4.4225000000000003"/>
    <n v="9.5"/>
    <d v="2019-02-25T00:00:00"/>
    <x v="2"/>
    <x v="7"/>
    <x v="4"/>
    <x v="3"/>
  </r>
  <r>
    <s v="726-29-6793"/>
    <x v="0"/>
    <s v="Yangon"/>
    <s v="Member"/>
    <s v="Male"/>
    <x v="1"/>
    <n v="24.18"/>
    <n v="8"/>
    <n v="9.6720000000000006"/>
    <n v="203.11199999999999"/>
    <s v="1/28/2019"/>
    <d v="1899-12-30T20:54:00"/>
    <s v="Ewallet"/>
    <n v="193.44"/>
    <n v="4.7619047620000003"/>
    <n v="9.6720000000000006"/>
    <n v="9.8000000000000007"/>
    <d v="2019-01-28T00:00:00"/>
    <x v="0"/>
    <x v="2"/>
    <x v="19"/>
    <x v="3"/>
  </r>
  <r>
    <s v="387-49-4215"/>
    <x v="2"/>
    <s v="Mandalay"/>
    <s v="Member"/>
    <s v="Female"/>
    <x v="3"/>
    <n v="48.5"/>
    <n v="3"/>
    <n v="7.2750000000000004"/>
    <n v="152.77500000000001"/>
    <d v="2019-08-01T00:00:00"/>
    <d v="1899-12-30T12:50:00"/>
    <s v="Cash"/>
    <n v="145.5"/>
    <n v="4.7619047620000003"/>
    <n v="7.2750000000000004"/>
    <n v="6.7"/>
    <d v="2019-01-08T00:00:00"/>
    <x v="0"/>
    <x v="10"/>
    <x v="1"/>
    <x v="5"/>
  </r>
  <r>
    <s v="862-17-9201"/>
    <x v="2"/>
    <s v="Mandalay"/>
    <s v="Normal"/>
    <s v="Female"/>
    <x v="4"/>
    <n v="84.05"/>
    <n v="6"/>
    <n v="25.215"/>
    <n v="529.51499999999999"/>
    <s v="1/29/2019"/>
    <d v="1899-12-30T10:48:00"/>
    <s v="Credit card"/>
    <n v="504.3"/>
    <n v="4.7619047620000003"/>
    <n v="25.215"/>
    <n v="7.7"/>
    <d v="2019-01-29T00:00:00"/>
    <x v="0"/>
    <x v="1"/>
    <x v="12"/>
    <x v="5"/>
  </r>
  <r>
    <s v="291-21-5991"/>
    <x v="2"/>
    <s v="Mandalay"/>
    <s v="Member"/>
    <s v="Male"/>
    <x v="0"/>
    <n v="61.29"/>
    <n v="5"/>
    <n v="15.3225"/>
    <n v="321.77249999999998"/>
    <s v="3/29/2019"/>
    <d v="1899-12-30T14:28:00"/>
    <s v="Cash"/>
    <n v="306.45"/>
    <n v="4.7619047620000003"/>
    <n v="15.3225"/>
    <n v="7"/>
    <d v="2019-03-29T00:00:00"/>
    <x v="1"/>
    <x v="4"/>
    <x v="12"/>
    <x v="1"/>
  </r>
  <r>
    <s v="602-80-9671"/>
    <x v="1"/>
    <s v="Naypyitaw"/>
    <s v="Member"/>
    <s v="Female"/>
    <x v="2"/>
    <n v="15.95"/>
    <n v="6"/>
    <n v="4.7850000000000001"/>
    <n v="100.485"/>
    <d v="2019-09-02T00:00:00"/>
    <d v="1899-12-30T17:15:00"/>
    <s v="Credit card"/>
    <n v="95.7"/>
    <n v="4.7619047620000003"/>
    <n v="4.7850000000000001"/>
    <n v="5.0999999999999996"/>
    <d v="2019-02-09T00:00:00"/>
    <x v="2"/>
    <x v="6"/>
    <x v="9"/>
    <x v="0"/>
  </r>
  <r>
    <s v="347-72-6115"/>
    <x v="2"/>
    <s v="Mandalay"/>
    <s v="Member"/>
    <s v="Female"/>
    <x v="3"/>
    <n v="90.74"/>
    <n v="7"/>
    <n v="31.759"/>
    <n v="666.93899999999996"/>
    <s v="1/16/2019"/>
    <d v="1899-12-30T18:03:00"/>
    <s v="Credit card"/>
    <n v="635.17999999999995"/>
    <n v="4.7619047620000003"/>
    <n v="31.759"/>
    <n v="6.2"/>
    <d v="2019-01-16T00:00:00"/>
    <x v="0"/>
    <x v="3"/>
    <x v="23"/>
    <x v="6"/>
  </r>
  <r>
    <s v="209-61-0206"/>
    <x v="0"/>
    <s v="Yangon"/>
    <s v="Normal"/>
    <s v="Female"/>
    <x v="2"/>
    <n v="42.91"/>
    <n v="5"/>
    <n v="10.727499999999999"/>
    <n v="225.2775"/>
    <d v="2019-05-01T00:00:00"/>
    <d v="1899-12-30T17:29:00"/>
    <s v="Ewallet"/>
    <n v="214.55"/>
    <n v="4.7619047620000003"/>
    <n v="10.727499999999999"/>
    <n v="6.1"/>
    <d v="2019-01-05T00:00:00"/>
    <x v="0"/>
    <x v="6"/>
    <x v="0"/>
    <x v="0"/>
  </r>
  <r>
    <s v="595-27-4851"/>
    <x v="0"/>
    <s v="Yangon"/>
    <s v="Normal"/>
    <s v="Female"/>
    <x v="5"/>
    <n v="54.28"/>
    <n v="7"/>
    <n v="18.998000000000001"/>
    <n v="398.95800000000003"/>
    <s v="1/27/2019"/>
    <d v="1899-12-30T18:05:00"/>
    <s v="Ewallet"/>
    <n v="379.96"/>
    <n v="4.7619047620000003"/>
    <n v="18.998000000000001"/>
    <n v="9.3000000000000007"/>
    <d v="2019-01-27T00:00:00"/>
    <x v="0"/>
    <x v="3"/>
    <x v="3"/>
    <x v="2"/>
  </r>
  <r>
    <s v="189-52-0236"/>
    <x v="0"/>
    <s v="Yangon"/>
    <s v="Normal"/>
    <s v="Male"/>
    <x v="1"/>
    <n v="99.55"/>
    <n v="7"/>
    <n v="34.842500000000001"/>
    <n v="731.6925"/>
    <s v="3/14/2019"/>
    <d v="1899-12-30T12:07:00"/>
    <s v="Cash"/>
    <n v="696.85"/>
    <n v="4.7619047620000003"/>
    <n v="34.842500000000001"/>
    <n v="7.6"/>
    <d v="2019-03-14T00:00:00"/>
    <x v="1"/>
    <x v="10"/>
    <x v="25"/>
    <x v="4"/>
  </r>
  <r>
    <s v="503-07-0930"/>
    <x v="1"/>
    <s v="Naypyitaw"/>
    <s v="Member"/>
    <s v="Male"/>
    <x v="3"/>
    <n v="58.39"/>
    <n v="7"/>
    <n v="20.436499999999999"/>
    <n v="429.16649999999998"/>
    <s v="2/23/2019"/>
    <d v="1899-12-30T19:49:00"/>
    <s v="Credit card"/>
    <n v="408.73"/>
    <n v="4.7619047620000003"/>
    <n v="20.436499999999999"/>
    <n v="8.1999999999999993"/>
    <d v="2019-02-23T00:00:00"/>
    <x v="2"/>
    <x v="8"/>
    <x v="21"/>
    <x v="0"/>
  </r>
  <r>
    <s v="413-20-6708"/>
    <x v="1"/>
    <s v="Naypyitaw"/>
    <s v="Member"/>
    <s v="Female"/>
    <x v="5"/>
    <n v="51.47"/>
    <n v="1"/>
    <n v="2.5735000000000001"/>
    <n v="54.043500000000002"/>
    <s v="3/18/2019"/>
    <d v="1899-12-30T15:52:00"/>
    <s v="Ewallet"/>
    <n v="51.47"/>
    <n v="4.7619047620000003"/>
    <n v="2.5735000000000001"/>
    <n v="8.5"/>
    <d v="2019-03-18T00:00:00"/>
    <x v="1"/>
    <x v="9"/>
    <x v="28"/>
    <x v="3"/>
  </r>
  <r>
    <s v="425-85-2085"/>
    <x v="2"/>
    <s v="Mandalay"/>
    <s v="Member"/>
    <s v="Male"/>
    <x v="0"/>
    <n v="54.86"/>
    <n v="5"/>
    <n v="13.715"/>
    <n v="288.01499999999999"/>
    <s v="3/29/2019"/>
    <d v="1899-12-30T16:48:00"/>
    <s v="Ewallet"/>
    <n v="274.3"/>
    <n v="4.7619047620000003"/>
    <n v="13.715"/>
    <n v="9.8000000000000007"/>
    <d v="2019-03-29T00:00:00"/>
    <x v="1"/>
    <x v="7"/>
    <x v="12"/>
    <x v="1"/>
  </r>
  <r>
    <s v="521-18-7827"/>
    <x v="1"/>
    <s v="Naypyitaw"/>
    <s v="Member"/>
    <s v="Male"/>
    <x v="2"/>
    <n v="39.39"/>
    <n v="5"/>
    <n v="9.8475000000000001"/>
    <n v="206.79750000000001"/>
    <s v="1/22/2019"/>
    <d v="1899-12-30T20:46:00"/>
    <s v="Credit card"/>
    <n v="196.95"/>
    <n v="4.7619047620000003"/>
    <n v="9.8475000000000001"/>
    <n v="8.6999999999999993"/>
    <d v="2019-01-22T00:00:00"/>
    <x v="0"/>
    <x v="2"/>
    <x v="18"/>
    <x v="5"/>
  </r>
  <r>
    <s v="220-28-1851"/>
    <x v="0"/>
    <s v="Yangon"/>
    <s v="Normal"/>
    <s v="Male"/>
    <x v="2"/>
    <n v="34.729999999999997"/>
    <n v="2"/>
    <n v="3.4729999999999999"/>
    <n v="72.933000000000007"/>
    <d v="2019-01-03T00:00:00"/>
    <d v="1899-12-30T18:14:00"/>
    <s v="Ewallet"/>
    <n v="69.459999999999994"/>
    <n v="4.7619047620000003"/>
    <n v="3.4729999999999999"/>
    <n v="9.6999999999999993"/>
    <d v="2019-03-01T00:00:00"/>
    <x v="1"/>
    <x v="3"/>
    <x v="15"/>
    <x v="1"/>
  </r>
  <r>
    <s v="600-38-9738"/>
    <x v="1"/>
    <s v="Naypyitaw"/>
    <s v="Member"/>
    <s v="Male"/>
    <x v="3"/>
    <n v="71.92"/>
    <n v="5"/>
    <n v="17.98"/>
    <n v="377.58"/>
    <s v="1/17/2019"/>
    <d v="1899-12-30T15:05:00"/>
    <s v="Credit card"/>
    <n v="359.6"/>
    <n v="4.7619047620000003"/>
    <n v="17.98"/>
    <n v="4.3"/>
    <d v="2019-01-17T00:00:00"/>
    <x v="0"/>
    <x v="9"/>
    <x v="17"/>
    <x v="4"/>
  </r>
  <r>
    <s v="734-91-1155"/>
    <x v="2"/>
    <s v="Mandalay"/>
    <s v="Normal"/>
    <s v="Female"/>
    <x v="1"/>
    <n v="45.71"/>
    <n v="3"/>
    <n v="6.8564999999999996"/>
    <n v="143.98650000000001"/>
    <s v="3/26/2019"/>
    <d v="1899-12-30T10:34:00"/>
    <s v="Credit card"/>
    <n v="137.13"/>
    <n v="4.7619047620000003"/>
    <n v="6.8564999999999996"/>
    <n v="7.7"/>
    <d v="2019-03-26T00:00:00"/>
    <x v="1"/>
    <x v="1"/>
    <x v="27"/>
    <x v="5"/>
  </r>
  <r>
    <s v="451-28-5717"/>
    <x v="1"/>
    <s v="Naypyitaw"/>
    <s v="Member"/>
    <s v="Female"/>
    <x v="2"/>
    <n v="83.17"/>
    <n v="6"/>
    <n v="24.951000000000001"/>
    <n v="523.971"/>
    <s v="3/20/2019"/>
    <d v="1899-12-30T11:23:00"/>
    <s v="Cash"/>
    <n v="499.02"/>
    <n v="4.7619047620000003"/>
    <n v="24.951000000000001"/>
    <n v="7.3"/>
    <d v="2019-03-20T00:00:00"/>
    <x v="1"/>
    <x v="5"/>
    <x v="7"/>
    <x v="6"/>
  </r>
  <r>
    <s v="609-81-8548"/>
    <x v="0"/>
    <s v="Yangon"/>
    <s v="Member"/>
    <s v="Female"/>
    <x v="2"/>
    <n v="37.44"/>
    <n v="6"/>
    <n v="11.231999999999999"/>
    <n v="235.87200000000001"/>
    <d v="2019-06-02T00:00:00"/>
    <d v="1899-12-30T13:55:00"/>
    <s v="Credit card"/>
    <n v="224.64"/>
    <n v="4.7619047620000003"/>
    <n v="11.231999999999999"/>
    <n v="5.9"/>
    <d v="2019-02-06T00:00:00"/>
    <x v="2"/>
    <x v="0"/>
    <x v="20"/>
    <x v="6"/>
  </r>
  <r>
    <s v="133-14-7229"/>
    <x v="1"/>
    <s v="Naypyitaw"/>
    <s v="Normal"/>
    <s v="Male"/>
    <x v="0"/>
    <n v="62.87"/>
    <n v="2"/>
    <n v="6.2869999999999999"/>
    <n v="132.02699999999999"/>
    <d v="2019-01-01T00:00:00"/>
    <d v="1899-12-30T11:43:00"/>
    <s v="Cash"/>
    <n v="125.74"/>
    <n v="4.7619047620000003"/>
    <n v="6.2869999999999999"/>
    <n v="5"/>
    <d v="2019-01-01T00:00:00"/>
    <x v="0"/>
    <x v="5"/>
    <x v="15"/>
    <x v="5"/>
  </r>
  <r>
    <s v="534-01-4457"/>
    <x v="0"/>
    <s v="Yangon"/>
    <s v="Normal"/>
    <s v="Male"/>
    <x v="4"/>
    <n v="81.709999999999994"/>
    <n v="6"/>
    <n v="24.513000000000002"/>
    <n v="514.77300000000002"/>
    <s v="1/27/2019"/>
    <d v="1899-12-30T14:36:00"/>
    <s v="Credit card"/>
    <n v="490.26"/>
    <n v="4.7619047620000003"/>
    <n v="24.513000000000002"/>
    <n v="8"/>
    <d v="2019-01-27T00:00:00"/>
    <x v="0"/>
    <x v="4"/>
    <x v="3"/>
    <x v="2"/>
  </r>
  <r>
    <s v="719-89-8991"/>
    <x v="0"/>
    <s v="Yangon"/>
    <s v="Member"/>
    <s v="Female"/>
    <x v="3"/>
    <n v="91.41"/>
    <n v="5"/>
    <n v="22.852499999999999"/>
    <n v="479.90249999999997"/>
    <s v="2/25/2019"/>
    <d v="1899-12-30T16:03:00"/>
    <s v="Ewallet"/>
    <n v="457.05"/>
    <n v="4.7619047620000003"/>
    <n v="22.852499999999999"/>
    <n v="7.1"/>
    <d v="2019-02-25T00:00:00"/>
    <x v="2"/>
    <x v="7"/>
    <x v="4"/>
    <x v="3"/>
  </r>
  <r>
    <s v="286-62-6248"/>
    <x v="2"/>
    <s v="Mandalay"/>
    <s v="Normal"/>
    <s v="Male"/>
    <x v="5"/>
    <n v="39.21"/>
    <n v="4"/>
    <n v="7.8419999999999996"/>
    <n v="164.68199999999999"/>
    <s v="1/16/2019"/>
    <d v="1899-12-30T20:03:00"/>
    <s v="Credit card"/>
    <n v="156.84"/>
    <n v="4.7619047620000003"/>
    <n v="7.8419999999999996"/>
    <n v="9"/>
    <d v="2019-01-16T00:00:00"/>
    <x v="0"/>
    <x v="2"/>
    <x v="23"/>
    <x v="6"/>
  </r>
  <r>
    <s v="339-38-9982"/>
    <x v="2"/>
    <s v="Mandalay"/>
    <s v="Member"/>
    <s v="Male"/>
    <x v="5"/>
    <n v="59.86"/>
    <n v="2"/>
    <n v="5.9859999999999998"/>
    <n v="125.706"/>
    <s v="1/13/2019"/>
    <d v="1899-12-30T14:55:00"/>
    <s v="Ewallet"/>
    <n v="119.72"/>
    <n v="4.7619047620000003"/>
    <n v="5.9859999999999998"/>
    <n v="6.7"/>
    <d v="2019-01-13T00:00:00"/>
    <x v="0"/>
    <x v="4"/>
    <x v="26"/>
    <x v="2"/>
  </r>
  <r>
    <s v="827-44-5872"/>
    <x v="2"/>
    <s v="Mandalay"/>
    <s v="Member"/>
    <s v="Female"/>
    <x v="4"/>
    <n v="54.36"/>
    <n v="10"/>
    <n v="27.18"/>
    <n v="570.78"/>
    <d v="2019-07-02T00:00:00"/>
    <d v="1899-12-30T11:28:00"/>
    <s v="Credit card"/>
    <n v="543.6"/>
    <n v="4.7619047620000003"/>
    <n v="27.18"/>
    <n v="6.1"/>
    <d v="2019-02-07T00:00:00"/>
    <x v="2"/>
    <x v="5"/>
    <x v="11"/>
    <x v="4"/>
  </r>
  <r>
    <s v="827-77-7633"/>
    <x v="0"/>
    <s v="Yangon"/>
    <s v="Normal"/>
    <s v="Male"/>
    <x v="3"/>
    <n v="98.09"/>
    <n v="9"/>
    <n v="44.140500000000003"/>
    <n v="926.95050000000003"/>
    <s v="2/17/2019"/>
    <d v="1899-12-30T19:41:00"/>
    <s v="Cash"/>
    <n v="882.81"/>
    <n v="4.7619047620000003"/>
    <n v="44.140500000000003"/>
    <n v="9.3000000000000007"/>
    <d v="2019-02-17T00:00:00"/>
    <x v="2"/>
    <x v="8"/>
    <x v="17"/>
    <x v="2"/>
  </r>
  <r>
    <s v="287-83-1405"/>
    <x v="0"/>
    <s v="Yangon"/>
    <s v="Normal"/>
    <s v="Male"/>
    <x v="0"/>
    <n v="25.43"/>
    <n v="6"/>
    <n v="7.6289999999999996"/>
    <n v="160.209"/>
    <d v="2019-12-02T00:00:00"/>
    <d v="1899-12-30T19:01:00"/>
    <s v="Ewallet"/>
    <n v="152.58000000000001"/>
    <n v="4.7619047620000003"/>
    <n v="7.6289999999999996"/>
    <n v="7"/>
    <d v="2019-02-12T00:00:00"/>
    <x v="2"/>
    <x v="8"/>
    <x v="10"/>
    <x v="5"/>
  </r>
  <r>
    <s v="435-13-4908"/>
    <x v="0"/>
    <s v="Yangon"/>
    <s v="Member"/>
    <s v="Male"/>
    <x v="5"/>
    <n v="86.68"/>
    <n v="8"/>
    <n v="34.671999999999997"/>
    <n v="728.11199999999997"/>
    <s v="1/24/2019"/>
    <d v="1899-12-30T18:04:00"/>
    <s v="Credit card"/>
    <n v="693.44"/>
    <n v="4.7619047620000003"/>
    <n v="34.671999999999997"/>
    <n v="7.2"/>
    <d v="2019-01-24T00:00:00"/>
    <x v="0"/>
    <x v="3"/>
    <x v="5"/>
    <x v="4"/>
  </r>
  <r>
    <s v="857-67-9057"/>
    <x v="2"/>
    <s v="Mandalay"/>
    <s v="Normal"/>
    <s v="Male"/>
    <x v="1"/>
    <n v="22.95"/>
    <n v="10"/>
    <n v="11.475"/>
    <n v="240.97499999999999"/>
    <d v="2019-06-02T00:00:00"/>
    <d v="1899-12-30T19:20:00"/>
    <s v="Ewallet"/>
    <n v="229.5"/>
    <n v="4.7619047620000003"/>
    <n v="11.475"/>
    <n v="8.1999999999999993"/>
    <d v="2019-02-06T00:00:00"/>
    <x v="2"/>
    <x v="8"/>
    <x v="20"/>
    <x v="6"/>
  </r>
  <r>
    <s v="236-27-1144"/>
    <x v="1"/>
    <s v="Naypyitaw"/>
    <s v="Normal"/>
    <s v="Female"/>
    <x v="4"/>
    <n v="16.309999999999999"/>
    <n v="9"/>
    <n v="7.3395000000000001"/>
    <n v="154.12950000000001"/>
    <s v="3/26/2019"/>
    <d v="1899-12-30T10:31:00"/>
    <s v="Ewallet"/>
    <n v="146.79"/>
    <n v="4.7619047620000003"/>
    <n v="7.3395000000000001"/>
    <n v="8.4"/>
    <d v="2019-03-26T00:00:00"/>
    <x v="1"/>
    <x v="1"/>
    <x v="27"/>
    <x v="5"/>
  </r>
  <r>
    <s v="892-05-6689"/>
    <x v="0"/>
    <s v="Yangon"/>
    <s v="Normal"/>
    <s v="Female"/>
    <x v="2"/>
    <n v="28.32"/>
    <n v="5"/>
    <n v="7.08"/>
    <n v="148.68"/>
    <d v="2019-11-03T00:00:00"/>
    <d v="1899-12-30T13:28:00"/>
    <s v="Ewallet"/>
    <n v="141.6"/>
    <n v="4.7619047620000003"/>
    <n v="7.08"/>
    <n v="6.2"/>
    <d v="2019-03-11T00:00:00"/>
    <x v="1"/>
    <x v="0"/>
    <x v="14"/>
    <x v="3"/>
  </r>
  <r>
    <s v="583-41-4548"/>
    <x v="1"/>
    <s v="Naypyitaw"/>
    <s v="Normal"/>
    <s v="Male"/>
    <x v="2"/>
    <n v="16.670000000000002"/>
    <n v="7"/>
    <n v="5.8345000000000002"/>
    <n v="122.5245"/>
    <d v="2019-07-02T00:00:00"/>
    <d v="1899-12-30T11:36:00"/>
    <s v="Ewallet"/>
    <n v="116.69"/>
    <n v="4.7619047620000003"/>
    <n v="5.8345000000000002"/>
    <n v="7.4"/>
    <d v="2019-02-07T00:00:00"/>
    <x v="2"/>
    <x v="5"/>
    <x v="11"/>
    <x v="4"/>
  </r>
  <r>
    <s v="339-12-4827"/>
    <x v="2"/>
    <s v="Mandalay"/>
    <s v="Member"/>
    <s v="Female"/>
    <x v="5"/>
    <n v="73.959999999999994"/>
    <n v="1"/>
    <n v="3.698"/>
    <n v="77.658000000000001"/>
    <d v="2019-05-01T00:00:00"/>
    <d v="1899-12-30T11:32:00"/>
    <s v="Credit card"/>
    <n v="73.959999999999994"/>
    <n v="4.7619047620000003"/>
    <n v="3.698"/>
    <n v="5"/>
    <d v="2019-01-05T00:00:00"/>
    <x v="0"/>
    <x v="5"/>
    <x v="0"/>
    <x v="0"/>
  </r>
  <r>
    <s v="643-38-7867"/>
    <x v="0"/>
    <s v="Yangon"/>
    <s v="Normal"/>
    <s v="Male"/>
    <x v="2"/>
    <n v="97.94"/>
    <n v="1"/>
    <n v="4.8970000000000002"/>
    <n v="102.837"/>
    <d v="2019-07-03T00:00:00"/>
    <d v="1899-12-30T11:44:00"/>
    <s v="Ewallet"/>
    <n v="97.94"/>
    <n v="4.7619047620000003"/>
    <n v="4.8970000000000002"/>
    <n v="6.9"/>
    <d v="2019-03-07T00:00:00"/>
    <x v="1"/>
    <x v="5"/>
    <x v="11"/>
    <x v="4"/>
  </r>
  <r>
    <s v="308-81-0538"/>
    <x v="0"/>
    <s v="Yangon"/>
    <s v="Normal"/>
    <s v="Female"/>
    <x v="5"/>
    <n v="73.05"/>
    <n v="4"/>
    <n v="14.61"/>
    <n v="306.81"/>
    <s v="2/25/2019"/>
    <d v="1899-12-30T17:16:00"/>
    <s v="Credit card"/>
    <n v="292.2"/>
    <n v="4.7619047620000003"/>
    <n v="14.61"/>
    <n v="4.9000000000000004"/>
    <d v="2019-02-25T00:00:00"/>
    <x v="2"/>
    <x v="6"/>
    <x v="4"/>
    <x v="3"/>
  </r>
  <r>
    <s v="358-88-9262"/>
    <x v="1"/>
    <s v="Naypyitaw"/>
    <s v="Member"/>
    <s v="Female"/>
    <x v="4"/>
    <n v="87.48"/>
    <n v="6"/>
    <n v="26.244"/>
    <n v="551.12400000000002"/>
    <d v="2019-01-02T00:00:00"/>
    <d v="1899-12-30T18:43:00"/>
    <s v="Ewallet"/>
    <n v="524.88"/>
    <n v="4.7619047620000003"/>
    <n v="26.244"/>
    <n v="5.0999999999999996"/>
    <d v="2019-02-01T00:00:00"/>
    <x v="2"/>
    <x v="3"/>
    <x v="15"/>
    <x v="1"/>
  </r>
  <r>
    <s v="460-35-4390"/>
    <x v="0"/>
    <s v="Yangon"/>
    <s v="Normal"/>
    <s v="Male"/>
    <x v="2"/>
    <n v="30.68"/>
    <n v="3"/>
    <n v="4.6020000000000003"/>
    <n v="96.641999999999996"/>
    <s v="1/22/2019"/>
    <d v="1899-12-30T11:00:00"/>
    <s v="Ewallet"/>
    <n v="92.04"/>
    <n v="4.7619047620000003"/>
    <n v="4.6020000000000003"/>
    <n v="9.1"/>
    <d v="2019-01-22T00:00:00"/>
    <x v="0"/>
    <x v="5"/>
    <x v="18"/>
    <x v="5"/>
  </r>
  <r>
    <s v="343-87-0864"/>
    <x v="1"/>
    <s v="Naypyitaw"/>
    <s v="Member"/>
    <s v="Male"/>
    <x v="0"/>
    <n v="75.88"/>
    <n v="1"/>
    <n v="3.794"/>
    <n v="79.674000000000007"/>
    <d v="2019-03-01T00:00:00"/>
    <d v="1899-12-30T10:30:00"/>
    <s v="Credit card"/>
    <n v="75.88"/>
    <n v="4.7619047620000003"/>
    <n v="3.794"/>
    <n v="7.1"/>
    <d v="2019-01-03T00:00:00"/>
    <x v="0"/>
    <x v="1"/>
    <x v="2"/>
    <x v="4"/>
  </r>
  <r>
    <s v="173-50-1108"/>
    <x v="2"/>
    <s v="Mandalay"/>
    <s v="Member"/>
    <s v="Female"/>
    <x v="3"/>
    <n v="20.18"/>
    <n v="4"/>
    <n v="4.0359999999999996"/>
    <n v="84.756"/>
    <s v="2/13/2019"/>
    <d v="1899-12-30T12:14:00"/>
    <s v="Credit card"/>
    <n v="80.72"/>
    <n v="4.7619047620000003"/>
    <n v="4.0359999999999996"/>
    <n v="5"/>
    <d v="2019-02-13T00:00:00"/>
    <x v="2"/>
    <x v="10"/>
    <x v="26"/>
    <x v="6"/>
  </r>
  <r>
    <s v="243-47-2663"/>
    <x v="1"/>
    <s v="Naypyitaw"/>
    <s v="Member"/>
    <s v="Male"/>
    <x v="1"/>
    <n v="18.77"/>
    <n v="6"/>
    <n v="5.6310000000000002"/>
    <n v="118.251"/>
    <s v="1/28/2019"/>
    <d v="1899-12-30T16:43:00"/>
    <s v="Credit card"/>
    <n v="112.62"/>
    <n v="4.7619047620000003"/>
    <n v="5.6310000000000002"/>
    <n v="5.5"/>
    <d v="2019-01-28T00:00:00"/>
    <x v="0"/>
    <x v="7"/>
    <x v="19"/>
    <x v="3"/>
  </r>
  <r>
    <s v="841-18-8232"/>
    <x v="2"/>
    <s v="Mandalay"/>
    <s v="Normal"/>
    <s v="Female"/>
    <x v="4"/>
    <n v="71.2"/>
    <n v="1"/>
    <n v="3.56"/>
    <n v="74.760000000000005"/>
    <d v="2019-05-01T00:00:00"/>
    <d v="1899-12-30T20:40:00"/>
    <s v="Credit card"/>
    <n v="71.2"/>
    <n v="4.7619047620000003"/>
    <n v="3.56"/>
    <n v="9.1999999999999993"/>
    <d v="2019-01-05T00:00:00"/>
    <x v="0"/>
    <x v="2"/>
    <x v="0"/>
    <x v="0"/>
  </r>
  <r>
    <s v="701-23-5550"/>
    <x v="2"/>
    <s v="Mandalay"/>
    <s v="Member"/>
    <s v="Male"/>
    <x v="2"/>
    <n v="38.81"/>
    <n v="4"/>
    <n v="7.7619999999999996"/>
    <n v="163.00200000000001"/>
    <s v="3/19/2019"/>
    <d v="1899-12-30T13:40:00"/>
    <s v="Ewallet"/>
    <n v="155.24"/>
    <n v="4.7619047620000003"/>
    <n v="7.7619999999999996"/>
    <n v="4.9000000000000004"/>
    <d v="2019-03-19T00:00:00"/>
    <x v="1"/>
    <x v="0"/>
    <x v="24"/>
    <x v="5"/>
  </r>
  <r>
    <s v="647-50-1224"/>
    <x v="0"/>
    <s v="Yangon"/>
    <s v="Normal"/>
    <s v="Female"/>
    <x v="5"/>
    <n v="29.42"/>
    <n v="10"/>
    <n v="14.71"/>
    <n v="308.91000000000003"/>
    <d v="2019-12-01T00:00:00"/>
    <d v="1899-12-30T16:23:00"/>
    <s v="Ewallet"/>
    <n v="294.2"/>
    <n v="4.7619047620000003"/>
    <n v="14.71"/>
    <n v="8.9"/>
    <d v="2019-01-12T00:00:00"/>
    <x v="0"/>
    <x v="7"/>
    <x v="10"/>
    <x v="0"/>
  </r>
  <r>
    <s v="541-48-8554"/>
    <x v="0"/>
    <s v="Yangon"/>
    <s v="Normal"/>
    <s v="Male"/>
    <x v="3"/>
    <n v="60.95"/>
    <n v="9"/>
    <n v="27.427499999999998"/>
    <n v="575.97749999999996"/>
    <d v="2019-07-01T00:00:00"/>
    <d v="1899-12-30T12:08:00"/>
    <s v="Credit card"/>
    <n v="548.54999999999995"/>
    <n v="4.7619047620000003"/>
    <n v="27.427499999999998"/>
    <n v="6"/>
    <d v="2019-01-07T00:00:00"/>
    <x v="0"/>
    <x v="10"/>
    <x v="11"/>
    <x v="3"/>
  </r>
  <r>
    <s v="539-21-7227"/>
    <x v="2"/>
    <s v="Mandalay"/>
    <s v="Normal"/>
    <s v="Female"/>
    <x v="3"/>
    <n v="51.54"/>
    <n v="5"/>
    <n v="12.885"/>
    <n v="270.58499999999998"/>
    <s v="1/26/2019"/>
    <d v="1899-12-30T17:45:00"/>
    <s v="Cash"/>
    <n v="257.7"/>
    <n v="4.7619047620000003"/>
    <n v="12.885"/>
    <n v="4.2"/>
    <d v="2019-01-26T00:00:00"/>
    <x v="0"/>
    <x v="6"/>
    <x v="27"/>
    <x v="0"/>
  </r>
  <r>
    <s v="213-32-1216"/>
    <x v="0"/>
    <s v="Yangon"/>
    <s v="Normal"/>
    <s v="Female"/>
    <x v="1"/>
    <n v="66.06"/>
    <n v="6"/>
    <n v="19.818000000000001"/>
    <n v="416.178"/>
    <s v="1/23/2019"/>
    <d v="1899-12-30T10:28:00"/>
    <s v="Cash"/>
    <n v="396.36"/>
    <n v="4.7619047620000003"/>
    <n v="19.818000000000001"/>
    <n v="7.3"/>
    <d v="2019-01-23T00:00:00"/>
    <x v="0"/>
    <x v="1"/>
    <x v="21"/>
    <x v="6"/>
  </r>
  <r>
    <s v="747-58-7183"/>
    <x v="2"/>
    <s v="Mandalay"/>
    <s v="Normal"/>
    <s v="Male"/>
    <x v="5"/>
    <n v="57.27"/>
    <n v="3"/>
    <n v="8.5905000000000005"/>
    <n v="180.40049999999999"/>
    <d v="2019-09-02T00:00:00"/>
    <d v="1899-12-30T20:31:00"/>
    <s v="Ewallet"/>
    <n v="171.81"/>
    <n v="4.7619047620000003"/>
    <n v="8.5905000000000005"/>
    <n v="6.5"/>
    <d v="2019-02-09T00:00:00"/>
    <x v="2"/>
    <x v="2"/>
    <x v="9"/>
    <x v="0"/>
  </r>
  <r>
    <s v="582-52-8065"/>
    <x v="2"/>
    <s v="Mandalay"/>
    <s v="Normal"/>
    <s v="Female"/>
    <x v="5"/>
    <n v="54.31"/>
    <n v="9"/>
    <n v="24.439499999999999"/>
    <n v="513.22950000000003"/>
    <s v="2/22/2019"/>
    <d v="1899-12-30T10:49:00"/>
    <s v="Cash"/>
    <n v="488.79"/>
    <n v="4.7619047620000003"/>
    <n v="24.439499999999999"/>
    <n v="8.9"/>
    <d v="2019-02-22T00:00:00"/>
    <x v="2"/>
    <x v="1"/>
    <x v="18"/>
    <x v="1"/>
  </r>
  <r>
    <s v="210-57-1719"/>
    <x v="2"/>
    <s v="Mandalay"/>
    <s v="Normal"/>
    <s v="Female"/>
    <x v="0"/>
    <n v="58.24"/>
    <n v="9"/>
    <n v="26.207999999999998"/>
    <n v="550.36800000000005"/>
    <d v="2019-05-02T00:00:00"/>
    <d v="1899-12-30T12:34:00"/>
    <s v="Cash"/>
    <n v="524.16"/>
    <n v="4.7619047620000003"/>
    <n v="26.207999999999998"/>
    <n v="9.6999999999999993"/>
    <d v="2019-02-05T00:00:00"/>
    <x v="2"/>
    <x v="10"/>
    <x v="0"/>
    <x v="5"/>
  </r>
  <r>
    <s v="399-69-4630"/>
    <x v="1"/>
    <s v="Naypyitaw"/>
    <s v="Normal"/>
    <s v="Male"/>
    <x v="1"/>
    <n v="22.21"/>
    <n v="6"/>
    <n v="6.6630000000000003"/>
    <n v="139.923"/>
    <d v="2019-07-03T00:00:00"/>
    <d v="1899-12-30T10:23:00"/>
    <s v="Credit card"/>
    <n v="133.26"/>
    <n v="4.7619047620000003"/>
    <n v="6.6630000000000003"/>
    <n v="8.6"/>
    <d v="2019-03-07T00:00:00"/>
    <x v="1"/>
    <x v="1"/>
    <x v="11"/>
    <x v="4"/>
  </r>
  <r>
    <s v="134-75-2619"/>
    <x v="0"/>
    <s v="Yangon"/>
    <s v="Member"/>
    <s v="Male"/>
    <x v="1"/>
    <n v="19.32"/>
    <n v="7"/>
    <n v="6.7619999999999996"/>
    <n v="142.00200000000001"/>
    <s v="3/25/2019"/>
    <d v="1899-12-30T18:51:00"/>
    <s v="Cash"/>
    <n v="135.24"/>
    <n v="4.7619047620000003"/>
    <n v="6.7619999999999996"/>
    <n v="6.9"/>
    <d v="2019-03-25T00:00:00"/>
    <x v="1"/>
    <x v="3"/>
    <x v="4"/>
    <x v="3"/>
  </r>
  <r>
    <s v="356-44-8813"/>
    <x v="2"/>
    <s v="Mandalay"/>
    <s v="Normal"/>
    <s v="Male"/>
    <x v="2"/>
    <n v="37.479999999999997"/>
    <n v="3"/>
    <n v="5.6219999999999999"/>
    <n v="118.062"/>
    <s v="1/20/2019"/>
    <d v="1899-12-30T13:45:00"/>
    <s v="Credit card"/>
    <n v="112.44"/>
    <n v="4.7619047620000003"/>
    <n v="5.6219999999999999"/>
    <n v="7.7"/>
    <d v="2019-01-20T00:00:00"/>
    <x v="0"/>
    <x v="0"/>
    <x v="7"/>
    <x v="2"/>
  </r>
  <r>
    <s v="198-66-9832"/>
    <x v="2"/>
    <s v="Mandalay"/>
    <s v="Member"/>
    <s v="Female"/>
    <x v="5"/>
    <n v="72.040000000000006"/>
    <n v="2"/>
    <n v="7.2039999999999997"/>
    <n v="151.28399999999999"/>
    <d v="2019-04-02T00:00:00"/>
    <d v="1899-12-30T19:38:00"/>
    <s v="Cash"/>
    <n v="144.08000000000001"/>
    <n v="4.7619047620000003"/>
    <n v="7.2039999999999997"/>
    <n v="9.5"/>
    <d v="2019-02-04T00:00:00"/>
    <x v="2"/>
    <x v="8"/>
    <x v="22"/>
    <x v="3"/>
  </r>
  <r>
    <s v="283-26-5248"/>
    <x v="1"/>
    <s v="Naypyitaw"/>
    <s v="Member"/>
    <s v="Female"/>
    <x v="4"/>
    <n v="98.52"/>
    <n v="10"/>
    <n v="49.26"/>
    <n v="1034.46"/>
    <s v="1/30/2019"/>
    <d v="1899-12-30T20:23:00"/>
    <s v="Ewallet"/>
    <n v="985.2"/>
    <n v="4.7619047620000003"/>
    <n v="49.26"/>
    <n v="4.5"/>
    <d v="2019-01-30T00:00:00"/>
    <x v="0"/>
    <x v="2"/>
    <x v="29"/>
    <x v="6"/>
  </r>
  <r>
    <s v="712-39-0363"/>
    <x v="0"/>
    <s v="Yangon"/>
    <s v="Member"/>
    <s v="Male"/>
    <x v="4"/>
    <n v="41.66"/>
    <n v="6"/>
    <n v="12.497999999999999"/>
    <n v="262.45800000000003"/>
    <d v="2019-02-01T00:00:00"/>
    <d v="1899-12-30T15:24:00"/>
    <s v="Ewallet"/>
    <n v="249.96"/>
    <n v="4.7619047620000003"/>
    <n v="12.497999999999999"/>
    <n v="5.6"/>
    <d v="2019-01-02T00:00:00"/>
    <x v="0"/>
    <x v="9"/>
    <x v="8"/>
    <x v="6"/>
  </r>
  <r>
    <s v="218-59-9410"/>
    <x v="0"/>
    <s v="Yangon"/>
    <s v="Member"/>
    <s v="Female"/>
    <x v="2"/>
    <n v="72.42"/>
    <n v="3"/>
    <n v="10.863"/>
    <n v="228.12299999999999"/>
    <s v="3/29/2019"/>
    <d v="1899-12-30T16:54:00"/>
    <s v="Ewallet"/>
    <n v="217.26"/>
    <n v="4.7619047620000003"/>
    <n v="10.863"/>
    <n v="8.1999999999999993"/>
    <d v="2019-03-29T00:00:00"/>
    <x v="1"/>
    <x v="7"/>
    <x v="12"/>
    <x v="1"/>
  </r>
  <r>
    <s v="174-75-0888"/>
    <x v="2"/>
    <s v="Mandalay"/>
    <s v="Normal"/>
    <s v="Male"/>
    <x v="1"/>
    <n v="21.58"/>
    <n v="9"/>
    <n v="9.7110000000000003"/>
    <n v="203.93100000000001"/>
    <s v="3/14/2019"/>
    <d v="1899-12-30T12:32:00"/>
    <s v="Cash"/>
    <n v="194.22"/>
    <n v="4.7619047620000003"/>
    <n v="9.7110000000000003"/>
    <n v="7.3"/>
    <d v="2019-03-14T00:00:00"/>
    <x v="1"/>
    <x v="10"/>
    <x v="25"/>
    <x v="4"/>
  </r>
  <r>
    <s v="866-99-7614"/>
    <x v="1"/>
    <s v="Naypyitaw"/>
    <s v="Normal"/>
    <s v="Male"/>
    <x v="4"/>
    <n v="89.2"/>
    <n v="10"/>
    <n v="44.6"/>
    <n v="936.6"/>
    <d v="2019-11-02T00:00:00"/>
    <d v="1899-12-30T15:42:00"/>
    <s v="Credit card"/>
    <n v="892"/>
    <n v="4.7619047620000003"/>
    <n v="44.6"/>
    <n v="4.4000000000000004"/>
    <d v="2019-02-11T00:00:00"/>
    <x v="2"/>
    <x v="9"/>
    <x v="14"/>
    <x v="3"/>
  </r>
  <r>
    <s v="134-54-4720"/>
    <x v="2"/>
    <s v="Mandalay"/>
    <s v="Normal"/>
    <s v="Female"/>
    <x v="1"/>
    <n v="42.42"/>
    <n v="8"/>
    <n v="16.968"/>
    <n v="356.32799999999997"/>
    <s v="1/30/2019"/>
    <d v="1899-12-30T13:58:00"/>
    <s v="Ewallet"/>
    <n v="339.36"/>
    <n v="4.7619047620000003"/>
    <n v="16.968"/>
    <n v="5.7"/>
    <d v="2019-01-30T00:00:00"/>
    <x v="0"/>
    <x v="0"/>
    <x v="29"/>
    <x v="6"/>
  </r>
  <r>
    <s v="760-90-2357"/>
    <x v="0"/>
    <s v="Yangon"/>
    <s v="Member"/>
    <s v="Male"/>
    <x v="1"/>
    <n v="74.510000000000005"/>
    <n v="6"/>
    <n v="22.353000000000002"/>
    <n v="469.41300000000001"/>
    <s v="3/20/2019"/>
    <d v="1899-12-30T15:08:00"/>
    <s v="Ewallet"/>
    <n v="447.06"/>
    <n v="4.7619047620000003"/>
    <n v="22.353000000000002"/>
    <n v="5"/>
    <d v="2019-03-20T00:00:00"/>
    <x v="1"/>
    <x v="9"/>
    <x v="7"/>
    <x v="6"/>
  </r>
  <r>
    <s v="514-37-2845"/>
    <x v="2"/>
    <s v="Mandalay"/>
    <s v="Normal"/>
    <s v="Male"/>
    <x v="5"/>
    <n v="99.25"/>
    <n v="2"/>
    <n v="9.9250000000000007"/>
    <n v="208.42500000000001"/>
    <s v="3/20/2019"/>
    <d v="1899-12-30T13:02:00"/>
    <s v="Cash"/>
    <n v="198.5"/>
    <n v="4.7619047620000003"/>
    <n v="9.9250000000000007"/>
    <n v="9"/>
    <d v="2019-03-20T00:00:00"/>
    <x v="1"/>
    <x v="0"/>
    <x v="7"/>
    <x v="6"/>
  </r>
  <r>
    <s v="698-98-5964"/>
    <x v="0"/>
    <s v="Yangon"/>
    <s v="Normal"/>
    <s v="Female"/>
    <x v="4"/>
    <n v="81.209999999999994"/>
    <n v="10"/>
    <n v="40.604999999999997"/>
    <n v="852.70500000000004"/>
    <s v="1/17/2019"/>
    <d v="1899-12-30T13:01:00"/>
    <s v="Credit card"/>
    <n v="812.1"/>
    <n v="4.7619047620000003"/>
    <n v="40.604999999999997"/>
    <n v="6.3"/>
    <d v="2019-01-17T00:00:00"/>
    <x v="0"/>
    <x v="0"/>
    <x v="17"/>
    <x v="4"/>
  </r>
  <r>
    <s v="718-57-9773"/>
    <x v="1"/>
    <s v="Naypyitaw"/>
    <s v="Normal"/>
    <s v="Female"/>
    <x v="3"/>
    <n v="49.33"/>
    <n v="10"/>
    <n v="24.664999999999999"/>
    <n v="517.96500000000003"/>
    <d v="2019-03-02T00:00:00"/>
    <d v="1899-12-30T16:40:00"/>
    <s v="Credit card"/>
    <n v="493.3"/>
    <n v="4.7619047620000003"/>
    <n v="24.664999999999999"/>
    <n v="9.4"/>
    <d v="2019-02-03T00:00:00"/>
    <x v="2"/>
    <x v="7"/>
    <x v="2"/>
    <x v="2"/>
  </r>
  <r>
    <s v="651-88-7328"/>
    <x v="0"/>
    <s v="Yangon"/>
    <s v="Normal"/>
    <s v="Female"/>
    <x v="5"/>
    <n v="65.739999999999995"/>
    <n v="9"/>
    <n v="29.582999999999998"/>
    <n v="621.24300000000005"/>
    <d v="2019-01-01T00:00:00"/>
    <d v="1899-12-30T13:55:00"/>
    <s v="Cash"/>
    <n v="591.66"/>
    <n v="4.7619047620000003"/>
    <n v="29.582999999999998"/>
    <n v="7.7"/>
    <d v="2019-01-01T00:00:00"/>
    <x v="0"/>
    <x v="0"/>
    <x v="15"/>
    <x v="5"/>
  </r>
  <r>
    <s v="241-11-2261"/>
    <x v="2"/>
    <s v="Mandalay"/>
    <s v="Normal"/>
    <s v="Female"/>
    <x v="5"/>
    <n v="79.86"/>
    <n v="7"/>
    <n v="27.951000000000001"/>
    <n v="586.971"/>
    <d v="2019-10-01T00:00:00"/>
    <d v="1899-12-30T10:33:00"/>
    <s v="Credit card"/>
    <n v="559.02"/>
    <n v="4.7619047620000003"/>
    <n v="27.951000000000001"/>
    <n v="5.5"/>
    <d v="2019-01-10T00:00:00"/>
    <x v="0"/>
    <x v="1"/>
    <x v="6"/>
    <x v="4"/>
  </r>
  <r>
    <s v="408-26-9866"/>
    <x v="1"/>
    <s v="Naypyitaw"/>
    <s v="Normal"/>
    <s v="Female"/>
    <x v="3"/>
    <n v="73.98"/>
    <n v="7"/>
    <n v="25.893000000000001"/>
    <n v="543.75300000000004"/>
    <d v="2019-02-03T00:00:00"/>
    <d v="1899-12-30T16:42:00"/>
    <s v="Ewallet"/>
    <n v="517.86"/>
    <n v="4.7619047620000003"/>
    <n v="25.893000000000001"/>
    <n v="4.0999999999999996"/>
    <d v="2019-03-02T00:00:00"/>
    <x v="1"/>
    <x v="7"/>
    <x v="8"/>
    <x v="0"/>
  </r>
  <r>
    <s v="834-83-1826"/>
    <x v="2"/>
    <s v="Mandalay"/>
    <s v="Member"/>
    <s v="Female"/>
    <x v="2"/>
    <n v="82.04"/>
    <n v="5"/>
    <n v="20.51"/>
    <n v="430.71"/>
    <s v="2/25/2019"/>
    <d v="1899-12-30T17:16:00"/>
    <s v="Credit card"/>
    <n v="410.2"/>
    <n v="4.7619047620000003"/>
    <n v="20.51"/>
    <n v="7.6"/>
    <d v="2019-02-25T00:00:00"/>
    <x v="2"/>
    <x v="6"/>
    <x v="4"/>
    <x v="3"/>
  </r>
  <r>
    <s v="343-61-3544"/>
    <x v="2"/>
    <s v="Mandalay"/>
    <s v="Member"/>
    <s v="Male"/>
    <x v="3"/>
    <n v="26.67"/>
    <n v="10"/>
    <n v="13.335000000000001"/>
    <n v="280.03500000000003"/>
    <s v="1/29/2019"/>
    <d v="1899-12-30T11:48:00"/>
    <s v="Cash"/>
    <n v="266.7"/>
    <n v="4.7619047620000003"/>
    <n v="13.335000000000001"/>
    <n v="8.6"/>
    <d v="2019-01-29T00:00:00"/>
    <x v="0"/>
    <x v="5"/>
    <x v="12"/>
    <x v="5"/>
  </r>
  <r>
    <s v="239-48-4278"/>
    <x v="0"/>
    <s v="Yangon"/>
    <s v="Member"/>
    <s v="Male"/>
    <x v="4"/>
    <n v="10.130000000000001"/>
    <n v="7"/>
    <n v="3.5455000000000001"/>
    <n v="74.455500000000001"/>
    <d v="2019-10-03T00:00:00"/>
    <d v="1899-12-30T19:35:00"/>
    <s v="Ewallet"/>
    <n v="70.91"/>
    <n v="4.7619047620000003"/>
    <n v="3.5455000000000001"/>
    <n v="8.3000000000000007"/>
    <d v="2019-03-10T00:00:00"/>
    <x v="1"/>
    <x v="8"/>
    <x v="6"/>
    <x v="2"/>
  </r>
  <r>
    <s v="355-34-6244"/>
    <x v="2"/>
    <s v="Mandalay"/>
    <s v="Normal"/>
    <s v="Male"/>
    <x v="4"/>
    <n v="72.39"/>
    <n v="2"/>
    <n v="7.2389999999999999"/>
    <n v="152.01900000000001"/>
    <s v="1/13/2019"/>
    <d v="1899-12-30T19:55:00"/>
    <s v="Credit card"/>
    <n v="144.78"/>
    <n v="4.7619047620000003"/>
    <n v="7.2389999999999999"/>
    <n v="8.1"/>
    <d v="2019-01-13T00:00:00"/>
    <x v="0"/>
    <x v="8"/>
    <x v="26"/>
    <x v="2"/>
  </r>
  <r>
    <s v="550-84-8664"/>
    <x v="0"/>
    <s v="Yangon"/>
    <s v="Normal"/>
    <s v="Male"/>
    <x v="3"/>
    <n v="85.91"/>
    <n v="5"/>
    <n v="21.477499999999999"/>
    <n v="451.02749999999997"/>
    <s v="3/22/2019"/>
    <d v="1899-12-30T14:33:00"/>
    <s v="Credit card"/>
    <n v="429.55"/>
    <n v="4.7619047620000003"/>
    <n v="21.477499999999999"/>
    <n v="8.6"/>
    <d v="2019-03-22T00:00:00"/>
    <x v="1"/>
    <x v="4"/>
    <x v="18"/>
    <x v="1"/>
  </r>
  <r>
    <s v="339-96-8318"/>
    <x v="2"/>
    <s v="Mandalay"/>
    <s v="Member"/>
    <s v="Male"/>
    <x v="5"/>
    <n v="81.31"/>
    <n v="7"/>
    <n v="28.458500000000001"/>
    <n v="597.62850000000003"/>
    <d v="2019-01-03T00:00:00"/>
    <d v="1899-12-30T19:49:00"/>
    <s v="Ewallet"/>
    <n v="569.16999999999996"/>
    <n v="4.7619047620000003"/>
    <n v="28.458500000000001"/>
    <n v="6.3"/>
    <d v="2019-03-01T00:00:00"/>
    <x v="1"/>
    <x v="8"/>
    <x v="15"/>
    <x v="1"/>
  </r>
  <r>
    <s v="458-61-0011"/>
    <x v="2"/>
    <s v="Mandalay"/>
    <s v="Normal"/>
    <s v="Male"/>
    <x v="4"/>
    <n v="60.3"/>
    <n v="4"/>
    <n v="12.06"/>
    <n v="253.26"/>
    <s v="2/20/2019"/>
    <d v="1899-12-30T18:43:00"/>
    <s v="Cash"/>
    <n v="241.2"/>
    <n v="4.7619047620000003"/>
    <n v="12.06"/>
    <n v="5.8"/>
    <d v="2019-02-20T00:00:00"/>
    <x v="2"/>
    <x v="3"/>
    <x v="7"/>
    <x v="6"/>
  </r>
  <r>
    <s v="592-34-6155"/>
    <x v="1"/>
    <s v="Naypyitaw"/>
    <s v="Normal"/>
    <s v="Male"/>
    <x v="4"/>
    <n v="31.77"/>
    <n v="4"/>
    <n v="6.3540000000000001"/>
    <n v="133.434"/>
    <s v="1/14/2019"/>
    <d v="1899-12-30T14:43:00"/>
    <s v="Ewallet"/>
    <n v="127.08"/>
    <n v="4.7619047620000003"/>
    <n v="6.3540000000000001"/>
    <n v="6.2"/>
    <d v="2019-01-14T00:00:00"/>
    <x v="0"/>
    <x v="4"/>
    <x v="25"/>
    <x v="3"/>
  </r>
  <r>
    <s v="797-88-0493"/>
    <x v="0"/>
    <s v="Yangon"/>
    <s v="Normal"/>
    <s v="Female"/>
    <x v="0"/>
    <n v="64.27"/>
    <n v="4"/>
    <n v="12.853999999999999"/>
    <n v="269.93400000000003"/>
    <s v="3/26/2019"/>
    <d v="1899-12-30T13:54:00"/>
    <s v="Cash"/>
    <n v="257.08"/>
    <n v="4.7619047620000003"/>
    <n v="12.853999999999999"/>
    <n v="7.7"/>
    <d v="2019-03-26T00:00:00"/>
    <x v="1"/>
    <x v="0"/>
    <x v="27"/>
    <x v="5"/>
  </r>
  <r>
    <s v="207-73-1363"/>
    <x v="2"/>
    <s v="Mandalay"/>
    <s v="Normal"/>
    <s v="Male"/>
    <x v="0"/>
    <n v="69.510000000000005"/>
    <n v="2"/>
    <n v="6.9509999999999996"/>
    <n v="145.971"/>
    <d v="2019-01-03T00:00:00"/>
    <d v="1899-12-30T12:15:00"/>
    <s v="Ewallet"/>
    <n v="139.02000000000001"/>
    <n v="4.7619047620000003"/>
    <n v="6.9509999999999996"/>
    <n v="8.1"/>
    <d v="2019-03-01T00:00:00"/>
    <x v="1"/>
    <x v="10"/>
    <x v="15"/>
    <x v="1"/>
  </r>
  <r>
    <s v="390-31-6381"/>
    <x v="1"/>
    <s v="Naypyitaw"/>
    <s v="Normal"/>
    <s v="Male"/>
    <x v="4"/>
    <n v="27.22"/>
    <n v="3"/>
    <n v="4.0830000000000002"/>
    <n v="85.742999999999995"/>
    <d v="2019-07-01T00:00:00"/>
    <d v="1899-12-30T12:37:00"/>
    <s v="Cash"/>
    <n v="81.66"/>
    <n v="4.7619047620000003"/>
    <n v="4.0830000000000002"/>
    <n v="7.3"/>
    <d v="2019-01-07T00:00:00"/>
    <x v="0"/>
    <x v="10"/>
    <x v="11"/>
    <x v="3"/>
  </r>
  <r>
    <s v="443-82-0585"/>
    <x v="0"/>
    <s v="Yangon"/>
    <s v="Member"/>
    <s v="Female"/>
    <x v="0"/>
    <n v="77.680000000000007"/>
    <n v="4"/>
    <n v="15.536"/>
    <n v="326.25599999999997"/>
    <d v="2019-01-02T00:00:00"/>
    <d v="1899-12-30T19:54:00"/>
    <s v="Cash"/>
    <n v="310.72000000000003"/>
    <n v="4.7619047620000003"/>
    <n v="15.536"/>
    <n v="8.4"/>
    <d v="2019-02-01T00:00:00"/>
    <x v="2"/>
    <x v="8"/>
    <x v="15"/>
    <x v="1"/>
  </r>
  <r>
    <s v="339-18-7061"/>
    <x v="1"/>
    <s v="Naypyitaw"/>
    <s v="Member"/>
    <s v="Female"/>
    <x v="5"/>
    <n v="92.98"/>
    <n v="2"/>
    <n v="9.298"/>
    <n v="195.25800000000001"/>
    <s v="2/13/2019"/>
    <d v="1899-12-30T15:06:00"/>
    <s v="Credit card"/>
    <n v="185.96"/>
    <n v="4.7619047620000003"/>
    <n v="9.298"/>
    <n v="8"/>
    <d v="2019-02-13T00:00:00"/>
    <x v="2"/>
    <x v="9"/>
    <x v="26"/>
    <x v="6"/>
  </r>
  <r>
    <s v="359-90-3665"/>
    <x v="2"/>
    <s v="Mandalay"/>
    <s v="Member"/>
    <s v="Female"/>
    <x v="5"/>
    <n v="18.079999999999998"/>
    <n v="4"/>
    <n v="3.6160000000000001"/>
    <n v="75.936000000000007"/>
    <s v="1/14/2019"/>
    <d v="1899-12-30T18:03:00"/>
    <s v="Credit card"/>
    <n v="72.319999999999993"/>
    <n v="4.7619047620000003"/>
    <n v="3.6160000000000001"/>
    <n v="9.5"/>
    <d v="2019-01-14T00:00:00"/>
    <x v="0"/>
    <x v="3"/>
    <x v="25"/>
    <x v="3"/>
  </r>
  <r>
    <s v="375-72-3056"/>
    <x v="2"/>
    <s v="Mandalay"/>
    <s v="Normal"/>
    <s v="Male"/>
    <x v="3"/>
    <n v="63.06"/>
    <n v="3"/>
    <n v="9.4589999999999996"/>
    <n v="198.63900000000001"/>
    <s v="1/19/2019"/>
    <d v="1899-12-30T15:58:00"/>
    <s v="Ewallet"/>
    <n v="189.18"/>
    <n v="4.7619047620000003"/>
    <n v="9.4589999999999996"/>
    <n v="7"/>
    <d v="2019-01-19T00:00:00"/>
    <x v="0"/>
    <x v="9"/>
    <x v="24"/>
    <x v="0"/>
  </r>
  <r>
    <s v="127-47-6963"/>
    <x v="0"/>
    <s v="Yangon"/>
    <s v="Normal"/>
    <s v="Male"/>
    <x v="0"/>
    <n v="51.71"/>
    <n v="4"/>
    <n v="10.342000000000001"/>
    <n v="217.18199999999999"/>
    <d v="2019-09-03T00:00:00"/>
    <d v="1899-12-30T13:53:00"/>
    <s v="Credit card"/>
    <n v="206.84"/>
    <n v="4.7619047620000003"/>
    <n v="10.342000000000001"/>
    <n v="9.8000000000000007"/>
    <d v="2019-03-09T00:00:00"/>
    <x v="1"/>
    <x v="0"/>
    <x v="9"/>
    <x v="0"/>
  </r>
  <r>
    <s v="278-86-2735"/>
    <x v="0"/>
    <s v="Yangon"/>
    <s v="Normal"/>
    <s v="Female"/>
    <x v="4"/>
    <n v="52.34"/>
    <n v="3"/>
    <n v="7.851"/>
    <n v="164.87100000000001"/>
    <s v="3/27/2019"/>
    <d v="1899-12-30T14:03:00"/>
    <s v="Cash"/>
    <n v="157.02000000000001"/>
    <n v="4.7619047620000003"/>
    <n v="7.851"/>
    <n v="9.1999999999999993"/>
    <d v="2019-03-27T00:00:00"/>
    <x v="1"/>
    <x v="4"/>
    <x v="3"/>
    <x v="6"/>
  </r>
  <r>
    <s v="695-28-6250"/>
    <x v="0"/>
    <s v="Yangon"/>
    <s v="Normal"/>
    <s v="Female"/>
    <x v="3"/>
    <n v="43.06"/>
    <n v="5"/>
    <n v="10.765000000000001"/>
    <n v="226.065"/>
    <d v="2019-04-02T00:00:00"/>
    <d v="1899-12-30T16:38:00"/>
    <s v="Ewallet"/>
    <n v="215.3"/>
    <n v="4.7619047620000003"/>
    <n v="10.765000000000001"/>
    <n v="7.7"/>
    <d v="2019-02-04T00:00:00"/>
    <x v="2"/>
    <x v="7"/>
    <x v="22"/>
    <x v="3"/>
  </r>
  <r>
    <s v="379-17-6588"/>
    <x v="1"/>
    <s v="Naypyitaw"/>
    <s v="Normal"/>
    <s v="Male"/>
    <x v="5"/>
    <n v="59.61"/>
    <n v="10"/>
    <n v="29.805"/>
    <n v="625.90499999999997"/>
    <s v="3/14/2019"/>
    <d v="1899-12-30T11:07:00"/>
    <s v="Cash"/>
    <n v="596.1"/>
    <n v="4.7619047620000003"/>
    <n v="29.805"/>
    <n v="5.3"/>
    <d v="2019-03-14T00:00:00"/>
    <x v="1"/>
    <x v="5"/>
    <x v="25"/>
    <x v="4"/>
  </r>
  <r>
    <s v="227-50-3718"/>
    <x v="0"/>
    <s v="Yangon"/>
    <s v="Normal"/>
    <s v="Male"/>
    <x v="0"/>
    <n v="14.62"/>
    <n v="5"/>
    <n v="3.6549999999999998"/>
    <n v="76.754999999999995"/>
    <d v="2019-04-03T00:00:00"/>
    <d v="1899-12-30T12:23:00"/>
    <s v="Cash"/>
    <n v="73.099999999999994"/>
    <n v="4.7619047620000003"/>
    <n v="3.6549999999999998"/>
    <n v="4.4000000000000004"/>
    <d v="2019-03-04T00:00:00"/>
    <x v="1"/>
    <x v="10"/>
    <x v="22"/>
    <x v="3"/>
  </r>
  <r>
    <s v="302-15-2162"/>
    <x v="1"/>
    <s v="Naypyitaw"/>
    <s v="Member"/>
    <s v="Male"/>
    <x v="0"/>
    <n v="46.53"/>
    <n v="6"/>
    <n v="13.959"/>
    <n v="293.13900000000001"/>
    <d v="2019-03-03T00:00:00"/>
    <d v="1899-12-30T10:54:00"/>
    <s v="Credit card"/>
    <n v="279.18"/>
    <n v="4.7619047620000003"/>
    <n v="13.959"/>
    <n v="4.3"/>
    <d v="2019-03-03T00:00:00"/>
    <x v="1"/>
    <x v="1"/>
    <x v="2"/>
    <x v="2"/>
  </r>
  <r>
    <s v="788-07-8452"/>
    <x v="1"/>
    <s v="Naypyitaw"/>
    <s v="Member"/>
    <s v="Female"/>
    <x v="2"/>
    <n v="24.24"/>
    <n v="7"/>
    <n v="8.484"/>
    <n v="178.16399999999999"/>
    <s v="1/27/2019"/>
    <d v="1899-12-30T17:38:00"/>
    <s v="Ewallet"/>
    <n v="169.68"/>
    <n v="4.7619047620000003"/>
    <n v="8.484"/>
    <n v="9.4"/>
    <d v="2019-01-27T00:00:00"/>
    <x v="0"/>
    <x v="6"/>
    <x v="3"/>
    <x v="2"/>
  </r>
  <r>
    <s v="560-49-6611"/>
    <x v="0"/>
    <s v="Yangon"/>
    <s v="Member"/>
    <s v="Female"/>
    <x v="3"/>
    <n v="45.58"/>
    <n v="1"/>
    <n v="2.2789999999999999"/>
    <n v="47.859000000000002"/>
    <d v="2019-07-02T00:00:00"/>
    <d v="1899-12-30T14:13:00"/>
    <s v="Cash"/>
    <n v="45.58"/>
    <n v="4.7619047620000003"/>
    <n v="2.2789999999999999"/>
    <n v="9.8000000000000007"/>
    <d v="2019-02-07T00:00:00"/>
    <x v="2"/>
    <x v="4"/>
    <x v="11"/>
    <x v="4"/>
  </r>
  <r>
    <s v="880-35-0356"/>
    <x v="0"/>
    <s v="Yangon"/>
    <s v="Member"/>
    <s v="Female"/>
    <x v="3"/>
    <n v="75.2"/>
    <n v="3"/>
    <n v="11.28"/>
    <n v="236.88"/>
    <d v="2019-05-02T00:00:00"/>
    <d v="1899-12-30T11:51:00"/>
    <s v="Ewallet"/>
    <n v="225.6"/>
    <n v="4.7619047620000003"/>
    <n v="11.28"/>
    <n v="4.8"/>
    <d v="2019-02-05T00:00:00"/>
    <x v="2"/>
    <x v="5"/>
    <x v="0"/>
    <x v="5"/>
  </r>
  <r>
    <s v="585-11-6748"/>
    <x v="2"/>
    <s v="Mandalay"/>
    <s v="Member"/>
    <s v="Male"/>
    <x v="3"/>
    <n v="96.8"/>
    <n v="3"/>
    <n v="14.52"/>
    <n v="304.92"/>
    <s v="3/15/2019"/>
    <d v="1899-12-30T13:05:00"/>
    <s v="Cash"/>
    <n v="290.39999999999998"/>
    <n v="4.7619047620000003"/>
    <n v="14.52"/>
    <n v="5.3"/>
    <d v="2019-03-15T00:00:00"/>
    <x v="1"/>
    <x v="0"/>
    <x v="13"/>
    <x v="1"/>
  </r>
  <r>
    <s v="470-31-3286"/>
    <x v="2"/>
    <s v="Mandalay"/>
    <s v="Normal"/>
    <s v="Male"/>
    <x v="0"/>
    <n v="14.82"/>
    <n v="3"/>
    <n v="2.2229999999999999"/>
    <n v="46.683"/>
    <d v="2019-01-03T00:00:00"/>
    <d v="1899-12-30T11:30:00"/>
    <s v="Credit card"/>
    <n v="44.46"/>
    <n v="4.7619047620000003"/>
    <n v="2.2229999999999999"/>
    <n v="8.6999999999999993"/>
    <d v="2019-03-01T00:00:00"/>
    <x v="1"/>
    <x v="5"/>
    <x v="15"/>
    <x v="1"/>
  </r>
  <r>
    <s v="152-68-2907"/>
    <x v="0"/>
    <s v="Yangon"/>
    <s v="Normal"/>
    <s v="Male"/>
    <x v="4"/>
    <n v="52.2"/>
    <n v="3"/>
    <n v="7.83"/>
    <n v="164.43"/>
    <s v="2/15/2019"/>
    <d v="1899-12-30T13:30:00"/>
    <s v="Credit card"/>
    <n v="156.6"/>
    <n v="4.7619047620000003"/>
    <n v="7.83"/>
    <n v="9.5"/>
    <d v="2019-02-15T00:00:00"/>
    <x v="2"/>
    <x v="0"/>
    <x v="13"/>
    <x v="1"/>
  </r>
  <r>
    <s v="123-35-4896"/>
    <x v="1"/>
    <s v="Naypyitaw"/>
    <s v="Normal"/>
    <s v="Female"/>
    <x v="3"/>
    <n v="46.66"/>
    <n v="9"/>
    <n v="20.997"/>
    <n v="440.93700000000001"/>
    <s v="2/17/2019"/>
    <d v="1899-12-30T19:11:00"/>
    <s v="Ewallet"/>
    <n v="419.94"/>
    <n v="4.7619047620000003"/>
    <n v="20.997"/>
    <n v="5.3"/>
    <d v="2019-02-17T00:00:00"/>
    <x v="2"/>
    <x v="8"/>
    <x v="17"/>
    <x v="2"/>
  </r>
  <r>
    <s v="258-69-7810"/>
    <x v="1"/>
    <s v="Naypyitaw"/>
    <s v="Normal"/>
    <s v="Female"/>
    <x v="5"/>
    <n v="36.85"/>
    <n v="5"/>
    <n v="9.2125000000000004"/>
    <n v="193.46250000000001"/>
    <s v="1/26/2019"/>
    <d v="1899-12-30T18:53:00"/>
    <s v="Cash"/>
    <n v="184.25"/>
    <n v="4.7619047620000003"/>
    <n v="9.2125000000000004"/>
    <n v="9.1999999999999993"/>
    <d v="2019-01-26T00:00:00"/>
    <x v="0"/>
    <x v="3"/>
    <x v="27"/>
    <x v="0"/>
  </r>
  <r>
    <s v="334-64-2006"/>
    <x v="0"/>
    <s v="Yangon"/>
    <s v="Member"/>
    <s v="Female"/>
    <x v="2"/>
    <n v="70.319999999999993"/>
    <n v="2"/>
    <n v="7.032"/>
    <n v="147.672"/>
    <s v="3/24/2019"/>
    <d v="1899-12-30T14:22:00"/>
    <s v="Ewallet"/>
    <n v="140.63999999999999"/>
    <n v="4.7619047620000003"/>
    <n v="7.032"/>
    <n v="9.6"/>
    <d v="2019-03-24T00:00:00"/>
    <x v="1"/>
    <x v="4"/>
    <x v="5"/>
    <x v="2"/>
  </r>
  <r>
    <s v="219-61-4139"/>
    <x v="1"/>
    <s v="Naypyitaw"/>
    <s v="Normal"/>
    <s v="Male"/>
    <x v="1"/>
    <n v="83.08"/>
    <n v="1"/>
    <n v="4.1539999999999999"/>
    <n v="87.233999999999995"/>
    <s v="1/23/2019"/>
    <d v="1899-12-30T17:16:00"/>
    <s v="Ewallet"/>
    <n v="83.08"/>
    <n v="4.7619047620000003"/>
    <n v="4.1539999999999999"/>
    <n v="6.4"/>
    <d v="2019-01-23T00:00:00"/>
    <x v="0"/>
    <x v="6"/>
    <x v="21"/>
    <x v="6"/>
  </r>
  <r>
    <s v="881-41-7302"/>
    <x v="1"/>
    <s v="Naypyitaw"/>
    <s v="Normal"/>
    <s v="Female"/>
    <x v="5"/>
    <n v="64.989999999999995"/>
    <n v="1"/>
    <n v="3.2494999999999998"/>
    <n v="68.239500000000007"/>
    <s v="1/26/2019"/>
    <d v="1899-12-30T10:06:00"/>
    <s v="Credit card"/>
    <n v="64.989999999999995"/>
    <n v="4.7619047620000003"/>
    <n v="3.2494999999999998"/>
    <n v="4.5"/>
    <d v="2019-01-26T00:00:00"/>
    <x v="0"/>
    <x v="1"/>
    <x v="27"/>
    <x v="0"/>
  </r>
  <r>
    <s v="373-09-4567"/>
    <x v="1"/>
    <s v="Naypyitaw"/>
    <s v="Normal"/>
    <s v="Male"/>
    <x v="4"/>
    <n v="77.56"/>
    <n v="10"/>
    <n v="38.78"/>
    <n v="814.38"/>
    <s v="3/14/2019"/>
    <d v="1899-12-30T20:35:00"/>
    <s v="Ewallet"/>
    <n v="775.6"/>
    <n v="4.7619047620000003"/>
    <n v="38.78"/>
    <n v="6.9"/>
    <d v="2019-03-14T00:00:00"/>
    <x v="1"/>
    <x v="2"/>
    <x v="25"/>
    <x v="4"/>
  </r>
  <r>
    <s v="642-30-6693"/>
    <x v="2"/>
    <s v="Mandalay"/>
    <s v="Normal"/>
    <s v="Female"/>
    <x v="3"/>
    <n v="54.51"/>
    <n v="6"/>
    <n v="16.353000000000002"/>
    <n v="343.41300000000001"/>
    <s v="3/17/2019"/>
    <d v="1899-12-30T13:54:00"/>
    <s v="Ewallet"/>
    <n v="327.06"/>
    <n v="4.7619047620000003"/>
    <n v="16.353000000000002"/>
    <n v="7.8"/>
    <d v="2019-03-17T00:00:00"/>
    <x v="1"/>
    <x v="0"/>
    <x v="17"/>
    <x v="2"/>
  </r>
  <r>
    <s v="484-22-8230"/>
    <x v="1"/>
    <s v="Naypyitaw"/>
    <s v="Member"/>
    <s v="Female"/>
    <x v="5"/>
    <n v="51.89"/>
    <n v="7"/>
    <n v="18.1615"/>
    <n v="381.39150000000001"/>
    <d v="2019-08-01T00:00:00"/>
    <d v="1899-12-30T20:08:00"/>
    <s v="Cash"/>
    <n v="363.23"/>
    <n v="4.7619047620000003"/>
    <n v="18.1615"/>
    <n v="4.5"/>
    <d v="2019-01-08T00:00:00"/>
    <x v="0"/>
    <x v="2"/>
    <x v="1"/>
    <x v="5"/>
  </r>
  <r>
    <s v="830-58-2383"/>
    <x v="2"/>
    <s v="Mandalay"/>
    <s v="Normal"/>
    <s v="Male"/>
    <x v="2"/>
    <n v="31.75"/>
    <n v="4"/>
    <n v="6.35"/>
    <n v="133.35"/>
    <d v="2019-08-02T00:00:00"/>
    <d v="1899-12-30T15:26:00"/>
    <s v="Cash"/>
    <n v="127"/>
    <n v="4.7619047620000003"/>
    <n v="6.35"/>
    <n v="8.6"/>
    <d v="2019-02-08T00:00:00"/>
    <x v="2"/>
    <x v="9"/>
    <x v="1"/>
    <x v="1"/>
  </r>
  <r>
    <s v="559-98-9873"/>
    <x v="0"/>
    <s v="Yangon"/>
    <s v="Member"/>
    <s v="Female"/>
    <x v="5"/>
    <n v="53.65"/>
    <n v="7"/>
    <n v="18.7775"/>
    <n v="394.32749999999999"/>
    <d v="2019-10-02T00:00:00"/>
    <d v="1899-12-30T12:56:00"/>
    <s v="Ewallet"/>
    <n v="375.55"/>
    <n v="4.7619047620000003"/>
    <n v="18.7775"/>
    <n v="5.2"/>
    <d v="2019-02-10T00:00:00"/>
    <x v="2"/>
    <x v="10"/>
    <x v="6"/>
    <x v="2"/>
  </r>
  <r>
    <s v="544-32-5024"/>
    <x v="1"/>
    <s v="Naypyitaw"/>
    <s v="Member"/>
    <s v="Female"/>
    <x v="4"/>
    <n v="49.79"/>
    <n v="4"/>
    <n v="9.9580000000000002"/>
    <n v="209.11799999999999"/>
    <s v="3/28/2019"/>
    <d v="1899-12-30T19:16:00"/>
    <s v="Credit card"/>
    <n v="199.16"/>
    <n v="4.7619047620000003"/>
    <n v="9.9580000000000002"/>
    <n v="6.4"/>
    <d v="2019-03-28T00:00:00"/>
    <x v="1"/>
    <x v="8"/>
    <x v="19"/>
    <x v="4"/>
  </r>
  <r>
    <s v="318-12-0304"/>
    <x v="0"/>
    <s v="Yangon"/>
    <s v="Normal"/>
    <s v="Male"/>
    <x v="5"/>
    <n v="30.61"/>
    <n v="1"/>
    <n v="1.5305"/>
    <n v="32.140500000000003"/>
    <s v="1/23/2019"/>
    <d v="1899-12-30T12:20:00"/>
    <s v="Ewallet"/>
    <n v="30.61"/>
    <n v="4.7619047620000003"/>
    <n v="1.5305"/>
    <n v="5.2"/>
    <d v="2019-01-23T00:00:00"/>
    <x v="0"/>
    <x v="10"/>
    <x v="21"/>
    <x v="6"/>
  </r>
  <r>
    <s v="349-97-8902"/>
    <x v="2"/>
    <s v="Mandalay"/>
    <s v="Member"/>
    <s v="Male"/>
    <x v="4"/>
    <n v="57.89"/>
    <n v="2"/>
    <n v="5.7889999999999997"/>
    <n v="121.569"/>
    <s v="1/17/2019"/>
    <d v="1899-12-30T10:37:00"/>
    <s v="Ewallet"/>
    <n v="115.78"/>
    <n v="4.7619047620000003"/>
    <n v="5.7889999999999997"/>
    <n v="8.9"/>
    <d v="2019-01-17T00:00:00"/>
    <x v="0"/>
    <x v="1"/>
    <x v="17"/>
    <x v="4"/>
  </r>
  <r>
    <s v="421-95-9805"/>
    <x v="0"/>
    <s v="Yangon"/>
    <s v="Normal"/>
    <s v="Female"/>
    <x v="1"/>
    <n v="28.96"/>
    <n v="1"/>
    <n v="1.448"/>
    <n v="30.408000000000001"/>
    <d v="2019-07-02T00:00:00"/>
    <d v="1899-12-30T10:18:00"/>
    <s v="Credit card"/>
    <n v="28.96"/>
    <n v="4.7619047620000003"/>
    <n v="1.448"/>
    <n v="6.2"/>
    <d v="2019-02-07T00:00:00"/>
    <x v="2"/>
    <x v="1"/>
    <x v="11"/>
    <x v="4"/>
  </r>
  <r>
    <s v="277-35-5865"/>
    <x v="1"/>
    <s v="Naypyitaw"/>
    <s v="Member"/>
    <s v="Female"/>
    <x v="4"/>
    <n v="98.97"/>
    <n v="9"/>
    <n v="44.536499999999997"/>
    <n v="935.26649999999995"/>
    <d v="2019-09-03T00:00:00"/>
    <d v="1899-12-30T11:23:00"/>
    <s v="Cash"/>
    <n v="890.73"/>
    <n v="4.7619047620000003"/>
    <n v="44.536499999999997"/>
    <n v="6.7"/>
    <d v="2019-03-09T00:00:00"/>
    <x v="1"/>
    <x v="5"/>
    <x v="9"/>
    <x v="0"/>
  </r>
  <r>
    <s v="789-23-8625"/>
    <x v="2"/>
    <s v="Mandalay"/>
    <s v="Member"/>
    <s v="Male"/>
    <x v="5"/>
    <n v="93.22"/>
    <n v="3"/>
    <n v="13.983000000000001"/>
    <n v="293.64299999999997"/>
    <s v="1/24/2019"/>
    <d v="1899-12-30T11:45:00"/>
    <s v="Cash"/>
    <n v="279.66000000000003"/>
    <n v="4.7619047620000003"/>
    <n v="13.983000000000001"/>
    <n v="7.2"/>
    <d v="2019-01-24T00:00:00"/>
    <x v="0"/>
    <x v="5"/>
    <x v="5"/>
    <x v="4"/>
  </r>
  <r>
    <s v="284-54-4231"/>
    <x v="1"/>
    <s v="Naypyitaw"/>
    <s v="Member"/>
    <s v="Male"/>
    <x v="3"/>
    <n v="80.930000000000007"/>
    <n v="1"/>
    <n v="4.0465"/>
    <n v="84.976500000000001"/>
    <s v="1/19/2019"/>
    <d v="1899-12-30T16:08:00"/>
    <s v="Credit card"/>
    <n v="80.930000000000007"/>
    <n v="4.7619047620000003"/>
    <n v="4.0465"/>
    <n v="9"/>
    <d v="2019-01-19T00:00:00"/>
    <x v="0"/>
    <x v="7"/>
    <x v="24"/>
    <x v="0"/>
  </r>
  <r>
    <s v="443-59-0061"/>
    <x v="0"/>
    <s v="Yangon"/>
    <s v="Member"/>
    <s v="Male"/>
    <x v="4"/>
    <n v="67.45"/>
    <n v="10"/>
    <n v="33.725000000000001"/>
    <n v="708.22500000000002"/>
    <d v="2019-03-02T00:00:00"/>
    <d v="1899-12-30T11:25:00"/>
    <s v="Ewallet"/>
    <n v="674.5"/>
    <n v="4.7619047620000003"/>
    <n v="33.725000000000001"/>
    <n v="4.2"/>
    <d v="2019-02-03T00:00:00"/>
    <x v="2"/>
    <x v="5"/>
    <x v="2"/>
    <x v="2"/>
  </r>
  <r>
    <s v="509-29-3912"/>
    <x v="0"/>
    <s v="Yangon"/>
    <s v="Member"/>
    <s v="Female"/>
    <x v="3"/>
    <n v="38.72"/>
    <n v="9"/>
    <n v="17.423999999999999"/>
    <n v="365.904"/>
    <s v="3/20/2019"/>
    <d v="1899-12-30T12:24:00"/>
    <s v="Ewallet"/>
    <n v="348.48"/>
    <n v="4.7619047620000003"/>
    <n v="17.423999999999999"/>
    <n v="4.2"/>
    <d v="2019-03-20T00:00:00"/>
    <x v="1"/>
    <x v="10"/>
    <x v="7"/>
    <x v="6"/>
  </r>
  <r>
    <s v="327-40-9673"/>
    <x v="2"/>
    <s v="Mandalay"/>
    <s v="Member"/>
    <s v="Male"/>
    <x v="3"/>
    <n v="72.599999999999994"/>
    <n v="6"/>
    <n v="21.78"/>
    <n v="457.38"/>
    <s v="1/13/2019"/>
    <d v="1899-12-30T19:51:00"/>
    <s v="Cash"/>
    <n v="435.6"/>
    <n v="4.7619047620000003"/>
    <n v="21.78"/>
    <n v="6.9"/>
    <d v="2019-01-13T00:00:00"/>
    <x v="0"/>
    <x v="8"/>
    <x v="26"/>
    <x v="2"/>
  </r>
  <r>
    <s v="840-19-2096"/>
    <x v="1"/>
    <s v="Naypyitaw"/>
    <s v="Member"/>
    <s v="Male"/>
    <x v="1"/>
    <n v="87.91"/>
    <n v="5"/>
    <n v="21.977499999999999"/>
    <n v="461.52749999999997"/>
    <s v="3/14/2019"/>
    <d v="1899-12-30T18:10:00"/>
    <s v="Ewallet"/>
    <n v="439.55"/>
    <n v="4.7619047620000003"/>
    <n v="21.977499999999999"/>
    <n v="4.4000000000000004"/>
    <d v="2019-03-14T00:00:00"/>
    <x v="1"/>
    <x v="3"/>
    <x v="25"/>
    <x v="4"/>
  </r>
  <r>
    <s v="828-46-6863"/>
    <x v="0"/>
    <s v="Yangon"/>
    <s v="Member"/>
    <s v="Male"/>
    <x v="4"/>
    <n v="98.53"/>
    <n v="6"/>
    <n v="29.559000000000001"/>
    <n v="620.73900000000003"/>
    <s v="1/23/2019"/>
    <d v="1899-12-30T11:22:00"/>
    <s v="Credit card"/>
    <n v="591.17999999999995"/>
    <n v="4.7619047620000003"/>
    <n v="29.559000000000001"/>
    <n v="4"/>
    <d v="2019-01-23T00:00:00"/>
    <x v="0"/>
    <x v="5"/>
    <x v="21"/>
    <x v="6"/>
  </r>
  <r>
    <s v="641-96-3695"/>
    <x v="1"/>
    <s v="Naypyitaw"/>
    <s v="Member"/>
    <s v="Female"/>
    <x v="5"/>
    <n v="43.46"/>
    <n v="6"/>
    <n v="13.038"/>
    <n v="273.798"/>
    <d v="2019-07-02T00:00:00"/>
    <d v="1899-12-30T17:55:00"/>
    <s v="Ewallet"/>
    <n v="260.76"/>
    <n v="4.7619047620000003"/>
    <n v="13.038"/>
    <n v="8.5"/>
    <d v="2019-02-07T00:00:00"/>
    <x v="2"/>
    <x v="6"/>
    <x v="11"/>
    <x v="4"/>
  </r>
  <r>
    <s v="420-97-3340"/>
    <x v="0"/>
    <s v="Yangon"/>
    <s v="Normal"/>
    <s v="Female"/>
    <x v="4"/>
    <n v="71.680000000000007"/>
    <n v="3"/>
    <n v="10.752000000000001"/>
    <n v="225.792"/>
    <s v="3/28/2019"/>
    <d v="1899-12-30T15:30:00"/>
    <s v="Credit card"/>
    <n v="215.04"/>
    <n v="4.7619047620000003"/>
    <n v="10.752000000000001"/>
    <n v="9.1999999999999993"/>
    <d v="2019-03-28T00:00:00"/>
    <x v="1"/>
    <x v="9"/>
    <x v="19"/>
    <x v="4"/>
  </r>
  <r>
    <s v="436-54-4512"/>
    <x v="0"/>
    <s v="Yangon"/>
    <s v="Member"/>
    <s v="Female"/>
    <x v="4"/>
    <n v="91.61"/>
    <n v="1"/>
    <n v="4.5804999999999998"/>
    <n v="96.1905"/>
    <s v="3/20/2019"/>
    <d v="1899-12-30T19:44:00"/>
    <s v="Cash"/>
    <n v="91.61"/>
    <n v="4.7619047620000003"/>
    <n v="4.5804999999999998"/>
    <n v="9.8000000000000007"/>
    <d v="2019-03-20T00:00:00"/>
    <x v="1"/>
    <x v="8"/>
    <x v="7"/>
    <x v="6"/>
  </r>
  <r>
    <s v="670-79-6321"/>
    <x v="2"/>
    <s v="Mandalay"/>
    <s v="Member"/>
    <s v="Female"/>
    <x v="2"/>
    <n v="94.59"/>
    <n v="7"/>
    <n v="33.106499999999997"/>
    <n v="695.23649999999998"/>
    <s v="1/17/2019"/>
    <d v="1899-12-30T15:27:00"/>
    <s v="Credit card"/>
    <n v="662.13"/>
    <n v="4.7619047620000003"/>
    <n v="33.106499999999997"/>
    <n v="4.9000000000000004"/>
    <d v="2019-01-17T00:00:00"/>
    <x v="0"/>
    <x v="9"/>
    <x v="17"/>
    <x v="4"/>
  </r>
  <r>
    <s v="852-62-7105"/>
    <x v="2"/>
    <s v="Mandalay"/>
    <s v="Normal"/>
    <s v="Female"/>
    <x v="5"/>
    <n v="83.25"/>
    <n v="10"/>
    <n v="41.625"/>
    <n v="874.125"/>
    <d v="2019-12-01T00:00:00"/>
    <d v="1899-12-30T11:25:00"/>
    <s v="Credit card"/>
    <n v="832.5"/>
    <n v="4.7619047620000003"/>
    <n v="41.625"/>
    <n v="4.4000000000000004"/>
    <d v="2019-01-12T00:00:00"/>
    <x v="0"/>
    <x v="5"/>
    <x v="10"/>
    <x v="0"/>
  </r>
  <r>
    <s v="598-06-7312"/>
    <x v="2"/>
    <s v="Mandalay"/>
    <s v="Member"/>
    <s v="Male"/>
    <x v="5"/>
    <n v="91.35"/>
    <n v="1"/>
    <n v="4.5674999999999999"/>
    <n v="95.917500000000004"/>
    <s v="2/16/2019"/>
    <d v="1899-12-30T15:42:00"/>
    <s v="Cash"/>
    <n v="91.35"/>
    <n v="4.7619047620000003"/>
    <n v="4.5674999999999999"/>
    <n v="6.8"/>
    <d v="2019-02-16T00:00:00"/>
    <x v="2"/>
    <x v="9"/>
    <x v="23"/>
    <x v="0"/>
  </r>
  <r>
    <s v="135-13-8269"/>
    <x v="2"/>
    <s v="Mandalay"/>
    <s v="Member"/>
    <s v="Female"/>
    <x v="4"/>
    <n v="78.88"/>
    <n v="2"/>
    <n v="7.8879999999999999"/>
    <n v="165.648"/>
    <s v="1/26/2019"/>
    <d v="1899-12-30T16:04:00"/>
    <s v="Cash"/>
    <n v="157.76"/>
    <n v="4.7619047620000003"/>
    <n v="7.8879999999999999"/>
    <n v="9.1"/>
    <d v="2019-01-26T00:00:00"/>
    <x v="0"/>
    <x v="7"/>
    <x v="27"/>
    <x v="0"/>
  </r>
  <r>
    <s v="816-57-2053"/>
    <x v="0"/>
    <s v="Yangon"/>
    <s v="Normal"/>
    <s v="Male"/>
    <x v="3"/>
    <n v="60.87"/>
    <n v="2"/>
    <n v="6.0869999999999997"/>
    <n v="127.827"/>
    <d v="2019-09-03T00:00:00"/>
    <d v="1899-12-30T12:37:00"/>
    <s v="Ewallet"/>
    <n v="121.74"/>
    <n v="4.7619047620000003"/>
    <n v="6.0869999999999997"/>
    <n v="8.6999999999999993"/>
    <d v="2019-03-09T00:00:00"/>
    <x v="1"/>
    <x v="10"/>
    <x v="9"/>
    <x v="0"/>
  </r>
  <r>
    <s v="628-90-8624"/>
    <x v="2"/>
    <s v="Mandalay"/>
    <s v="Member"/>
    <s v="Male"/>
    <x v="0"/>
    <n v="82.58"/>
    <n v="10"/>
    <n v="41.29"/>
    <n v="867.09"/>
    <s v="3/14/2019"/>
    <d v="1899-12-30T14:41:00"/>
    <s v="Cash"/>
    <n v="825.8"/>
    <n v="4.7619047620000003"/>
    <n v="41.29"/>
    <n v="5"/>
    <d v="2019-03-14T00:00:00"/>
    <x v="1"/>
    <x v="4"/>
    <x v="25"/>
    <x v="4"/>
  </r>
  <r>
    <s v="856-66-2701"/>
    <x v="0"/>
    <s v="Yangon"/>
    <s v="Member"/>
    <s v="Male"/>
    <x v="2"/>
    <n v="53.3"/>
    <n v="3"/>
    <n v="7.9950000000000001"/>
    <n v="167.89500000000001"/>
    <s v="1/25/2019"/>
    <d v="1899-12-30T14:19:00"/>
    <s v="Ewallet"/>
    <n v="159.9"/>
    <n v="4.7619047620000003"/>
    <n v="7.9950000000000001"/>
    <n v="7.5"/>
    <d v="2019-01-25T00:00:00"/>
    <x v="0"/>
    <x v="4"/>
    <x v="4"/>
    <x v="1"/>
  </r>
  <r>
    <s v="308-39-1707"/>
    <x v="0"/>
    <s v="Yangon"/>
    <s v="Normal"/>
    <s v="Female"/>
    <x v="5"/>
    <n v="12.09"/>
    <n v="1"/>
    <n v="0.60450000000000004"/>
    <n v="12.6945"/>
    <s v="1/26/2019"/>
    <d v="1899-12-30T18:19:00"/>
    <s v="Credit card"/>
    <n v="12.09"/>
    <n v="4.7619047620000003"/>
    <n v="0.60450000000000004"/>
    <n v="8.1999999999999993"/>
    <d v="2019-01-26T00:00:00"/>
    <x v="0"/>
    <x v="3"/>
    <x v="27"/>
    <x v="0"/>
  </r>
  <r>
    <s v="149-61-1929"/>
    <x v="0"/>
    <s v="Yangon"/>
    <s v="Normal"/>
    <s v="Male"/>
    <x v="3"/>
    <n v="64.19"/>
    <n v="10"/>
    <n v="32.094999999999999"/>
    <n v="673.995"/>
    <s v="1/19/2019"/>
    <d v="1899-12-30T14:08:00"/>
    <s v="Credit card"/>
    <n v="641.9"/>
    <n v="4.7619047620000003"/>
    <n v="32.094999999999999"/>
    <n v="6.7"/>
    <d v="2019-01-19T00:00:00"/>
    <x v="0"/>
    <x v="4"/>
    <x v="24"/>
    <x v="0"/>
  </r>
  <r>
    <s v="655-07-2265"/>
    <x v="0"/>
    <s v="Yangon"/>
    <s v="Normal"/>
    <s v="Male"/>
    <x v="1"/>
    <n v="78.31"/>
    <n v="3"/>
    <n v="11.746499999999999"/>
    <n v="246.6765"/>
    <d v="2019-05-03T00:00:00"/>
    <d v="1899-12-30T16:38:00"/>
    <s v="Ewallet"/>
    <n v="234.93"/>
    <n v="4.7619047620000003"/>
    <n v="11.746499999999999"/>
    <n v="5.4"/>
    <d v="2019-03-05T00:00:00"/>
    <x v="1"/>
    <x v="7"/>
    <x v="0"/>
    <x v="5"/>
  </r>
  <r>
    <s v="589-02-8023"/>
    <x v="0"/>
    <s v="Yangon"/>
    <s v="Member"/>
    <s v="Male"/>
    <x v="4"/>
    <n v="83.77"/>
    <n v="2"/>
    <n v="8.3770000000000007"/>
    <n v="175.917"/>
    <s v="1/15/2019"/>
    <d v="1899-12-30T10:54:00"/>
    <s v="Credit card"/>
    <n v="167.54"/>
    <n v="4.7619047620000003"/>
    <n v="8.3770000000000007"/>
    <n v="7"/>
    <d v="2019-01-15T00:00:00"/>
    <x v="0"/>
    <x v="1"/>
    <x v="13"/>
    <x v="5"/>
  </r>
  <r>
    <s v="420-04-7590"/>
    <x v="2"/>
    <s v="Mandalay"/>
    <s v="Normal"/>
    <s v="Male"/>
    <x v="2"/>
    <n v="99.7"/>
    <n v="3"/>
    <n v="14.955"/>
    <n v="314.05500000000001"/>
    <s v="3/18/2019"/>
    <d v="1899-12-30T11:29:00"/>
    <s v="Ewallet"/>
    <n v="299.10000000000002"/>
    <n v="4.7619047620000003"/>
    <n v="14.955"/>
    <n v="4.7"/>
    <d v="2019-03-18T00:00:00"/>
    <x v="1"/>
    <x v="5"/>
    <x v="28"/>
    <x v="3"/>
  </r>
  <r>
    <s v="182-88-2763"/>
    <x v="2"/>
    <s v="Mandalay"/>
    <s v="Member"/>
    <s v="Male"/>
    <x v="4"/>
    <n v="79.91"/>
    <n v="3"/>
    <n v="11.986499999999999"/>
    <n v="251.7165"/>
    <s v="3/20/2019"/>
    <d v="1899-12-30T19:28:00"/>
    <s v="Credit card"/>
    <n v="239.73"/>
    <n v="4.7619047620000003"/>
    <n v="11.986499999999999"/>
    <n v="5"/>
    <d v="2019-03-20T00:00:00"/>
    <x v="1"/>
    <x v="8"/>
    <x v="7"/>
    <x v="6"/>
  </r>
  <r>
    <s v="188-55-0967"/>
    <x v="2"/>
    <s v="Mandalay"/>
    <s v="Member"/>
    <s v="Male"/>
    <x v="0"/>
    <n v="66.47"/>
    <n v="10"/>
    <n v="33.234999999999999"/>
    <n v="697.93499999999995"/>
    <s v="1/15/2019"/>
    <d v="1899-12-30T15:01:00"/>
    <s v="Credit card"/>
    <n v="664.7"/>
    <n v="4.7619047620000003"/>
    <n v="33.234999999999999"/>
    <n v="5"/>
    <d v="2019-01-15T00:00:00"/>
    <x v="0"/>
    <x v="9"/>
    <x v="13"/>
    <x v="5"/>
  </r>
  <r>
    <s v="610-46-4100"/>
    <x v="0"/>
    <s v="Yangon"/>
    <s v="Normal"/>
    <s v="Male"/>
    <x v="0"/>
    <n v="28.95"/>
    <n v="7"/>
    <n v="10.1325"/>
    <n v="212.7825"/>
    <d v="2019-03-03T00:00:00"/>
    <d v="1899-12-30T20:31:00"/>
    <s v="Credit card"/>
    <n v="202.65"/>
    <n v="4.7619047620000003"/>
    <n v="10.1325"/>
    <n v="6"/>
    <d v="2019-03-03T00:00:00"/>
    <x v="1"/>
    <x v="2"/>
    <x v="2"/>
    <x v="2"/>
  </r>
  <r>
    <s v="318-81-2368"/>
    <x v="1"/>
    <s v="Naypyitaw"/>
    <s v="Normal"/>
    <s v="Female"/>
    <x v="1"/>
    <n v="46.2"/>
    <n v="1"/>
    <n v="2.31"/>
    <n v="48.51"/>
    <s v="3/19/2019"/>
    <d v="1899-12-30T12:16:00"/>
    <s v="Cash"/>
    <n v="46.2"/>
    <n v="4.7619047620000003"/>
    <n v="2.31"/>
    <n v="6.3"/>
    <d v="2019-03-19T00:00:00"/>
    <x v="1"/>
    <x v="10"/>
    <x v="24"/>
    <x v="5"/>
  </r>
  <r>
    <s v="364-33-8584"/>
    <x v="2"/>
    <s v="Mandalay"/>
    <s v="Member"/>
    <s v="Female"/>
    <x v="4"/>
    <n v="17.63"/>
    <n v="5"/>
    <n v="4.4074999999999998"/>
    <n v="92.557500000000005"/>
    <d v="2019-08-03T00:00:00"/>
    <d v="1899-12-30T15:27:00"/>
    <s v="Cash"/>
    <n v="88.15"/>
    <n v="4.7619047620000003"/>
    <n v="4.4074999999999998"/>
    <n v="8.5"/>
    <d v="2019-03-08T00:00:00"/>
    <x v="1"/>
    <x v="9"/>
    <x v="1"/>
    <x v="1"/>
  </r>
  <r>
    <s v="665-63-9737"/>
    <x v="2"/>
    <s v="Mandalay"/>
    <s v="Normal"/>
    <s v="Male"/>
    <x v="5"/>
    <n v="52.42"/>
    <n v="3"/>
    <n v="7.8630000000000004"/>
    <n v="165.12299999999999"/>
    <s v="2/27/2019"/>
    <d v="1899-12-30T17:36:00"/>
    <s v="Ewallet"/>
    <n v="157.26"/>
    <n v="4.7619047620000003"/>
    <n v="7.8630000000000004"/>
    <n v="7.5"/>
    <d v="2019-02-27T00:00:00"/>
    <x v="2"/>
    <x v="6"/>
    <x v="3"/>
    <x v="6"/>
  </r>
  <r>
    <s v="695-09-5146"/>
    <x v="2"/>
    <s v="Mandalay"/>
    <s v="Member"/>
    <s v="Female"/>
    <x v="4"/>
    <n v="98.79"/>
    <n v="3"/>
    <n v="14.8185"/>
    <n v="311.18849999999998"/>
    <s v="2/23/2019"/>
    <d v="1899-12-30T20:00:00"/>
    <s v="Ewallet"/>
    <n v="296.37"/>
    <n v="4.7619047620000003"/>
    <n v="14.8185"/>
    <n v="6.4"/>
    <d v="2019-02-23T00:00:00"/>
    <x v="2"/>
    <x v="2"/>
    <x v="21"/>
    <x v="0"/>
  </r>
  <r>
    <s v="155-45-3814"/>
    <x v="1"/>
    <s v="Naypyitaw"/>
    <s v="Member"/>
    <s v="Female"/>
    <x v="1"/>
    <n v="88.55"/>
    <n v="8"/>
    <n v="35.42"/>
    <n v="743.82"/>
    <s v="3/19/2019"/>
    <d v="1899-12-30T15:29:00"/>
    <s v="Ewallet"/>
    <n v="708.4"/>
    <n v="4.7619047620000003"/>
    <n v="35.42"/>
    <n v="4.7"/>
    <d v="2019-03-19T00:00:00"/>
    <x v="1"/>
    <x v="9"/>
    <x v="24"/>
    <x v="5"/>
  </r>
  <r>
    <s v="794-32-2436"/>
    <x v="2"/>
    <s v="Mandalay"/>
    <s v="Member"/>
    <s v="Male"/>
    <x v="1"/>
    <n v="55.67"/>
    <n v="2"/>
    <n v="5.5670000000000002"/>
    <n v="116.907"/>
    <s v="3/27/2019"/>
    <d v="1899-12-30T15:08:00"/>
    <s v="Ewallet"/>
    <n v="111.34"/>
    <n v="4.7619047620000003"/>
    <n v="5.5670000000000002"/>
    <n v="6"/>
    <d v="2019-03-27T00:00:00"/>
    <x v="1"/>
    <x v="9"/>
    <x v="3"/>
    <x v="6"/>
  </r>
  <r>
    <s v="131-15-8856"/>
    <x v="1"/>
    <s v="Naypyitaw"/>
    <s v="Member"/>
    <s v="Female"/>
    <x v="4"/>
    <n v="72.52"/>
    <n v="8"/>
    <n v="29.007999999999999"/>
    <n v="609.16800000000001"/>
    <s v="3/30/2019"/>
    <d v="1899-12-30T19:26:00"/>
    <s v="Credit card"/>
    <n v="580.16"/>
    <n v="4.7619047620000003"/>
    <n v="29.007999999999999"/>
    <n v="4"/>
    <d v="2019-03-30T00:00:00"/>
    <x v="1"/>
    <x v="8"/>
    <x v="29"/>
    <x v="0"/>
  </r>
  <r>
    <s v="273-84-2164"/>
    <x v="1"/>
    <s v="Naypyitaw"/>
    <s v="Member"/>
    <s v="Male"/>
    <x v="1"/>
    <n v="12.05"/>
    <n v="5"/>
    <n v="3.0125000000000002"/>
    <n v="63.262500000000003"/>
    <s v="2/16/2019"/>
    <d v="1899-12-30T15:53:00"/>
    <s v="Ewallet"/>
    <n v="60.25"/>
    <n v="4.7619047620000003"/>
    <n v="3.0125000000000002"/>
    <n v="5.5"/>
    <d v="2019-02-16T00:00:00"/>
    <x v="2"/>
    <x v="9"/>
    <x v="23"/>
    <x v="0"/>
  </r>
  <r>
    <s v="706-36-6154"/>
    <x v="0"/>
    <s v="Yangon"/>
    <s v="Member"/>
    <s v="Male"/>
    <x v="2"/>
    <n v="19.36"/>
    <n v="9"/>
    <n v="8.7119999999999997"/>
    <n v="182.952"/>
    <s v="1/18/2019"/>
    <d v="1899-12-30T18:43:00"/>
    <s v="Ewallet"/>
    <n v="174.24"/>
    <n v="4.7619047620000003"/>
    <n v="8.7119999999999997"/>
    <n v="8.6999999999999993"/>
    <d v="2019-01-18T00:00:00"/>
    <x v="0"/>
    <x v="3"/>
    <x v="28"/>
    <x v="1"/>
  </r>
  <r>
    <s v="778-89-7974"/>
    <x v="1"/>
    <s v="Naypyitaw"/>
    <s v="Normal"/>
    <s v="Male"/>
    <x v="0"/>
    <n v="70.209999999999994"/>
    <n v="6"/>
    <n v="21.062999999999999"/>
    <n v="442.32299999999998"/>
    <s v="3/30/2019"/>
    <d v="1899-12-30T14:58:00"/>
    <s v="Cash"/>
    <n v="421.26"/>
    <n v="4.7619047620000003"/>
    <n v="21.062999999999999"/>
    <n v="7.4"/>
    <d v="2019-03-30T00:00:00"/>
    <x v="1"/>
    <x v="4"/>
    <x v="29"/>
    <x v="0"/>
  </r>
  <r>
    <s v="574-31-8277"/>
    <x v="2"/>
    <s v="Mandalay"/>
    <s v="Member"/>
    <s v="Male"/>
    <x v="5"/>
    <n v="33.630000000000003"/>
    <n v="1"/>
    <n v="1.6815"/>
    <n v="35.311500000000002"/>
    <s v="3/20/2019"/>
    <d v="1899-12-30T19:55:00"/>
    <s v="Cash"/>
    <n v="33.630000000000003"/>
    <n v="4.7619047620000003"/>
    <n v="1.6815"/>
    <n v="5.6"/>
    <d v="2019-03-20T00:00:00"/>
    <x v="1"/>
    <x v="8"/>
    <x v="7"/>
    <x v="6"/>
  </r>
  <r>
    <s v="859-71-0933"/>
    <x v="1"/>
    <s v="Naypyitaw"/>
    <s v="Member"/>
    <s v="Female"/>
    <x v="3"/>
    <n v="15.49"/>
    <n v="2"/>
    <n v="1.5489999999999999"/>
    <n v="32.529000000000003"/>
    <s v="1/16/2019"/>
    <d v="1899-12-30T15:10:00"/>
    <s v="Cash"/>
    <n v="30.98"/>
    <n v="4.7619047620000003"/>
    <n v="1.5489999999999999"/>
    <n v="6.3"/>
    <d v="2019-01-16T00:00:00"/>
    <x v="0"/>
    <x v="9"/>
    <x v="23"/>
    <x v="6"/>
  </r>
  <r>
    <s v="740-11-5257"/>
    <x v="1"/>
    <s v="Naypyitaw"/>
    <s v="Normal"/>
    <s v="Male"/>
    <x v="1"/>
    <n v="24.74"/>
    <n v="10"/>
    <n v="12.37"/>
    <n v="259.77"/>
    <s v="2/24/2019"/>
    <d v="1899-12-30T16:44:00"/>
    <s v="Cash"/>
    <n v="247.4"/>
    <n v="4.7619047620000003"/>
    <n v="12.37"/>
    <n v="7.1"/>
    <d v="2019-02-24T00:00:00"/>
    <x v="2"/>
    <x v="7"/>
    <x v="5"/>
    <x v="2"/>
  </r>
  <r>
    <s v="369-82-2676"/>
    <x v="2"/>
    <s v="Mandalay"/>
    <s v="Normal"/>
    <s v="Male"/>
    <x v="1"/>
    <n v="75.66"/>
    <n v="5"/>
    <n v="18.914999999999999"/>
    <n v="397.21499999999997"/>
    <s v="1/15/2019"/>
    <d v="1899-12-30T18:22:00"/>
    <s v="Ewallet"/>
    <n v="378.3"/>
    <n v="4.7619047620000003"/>
    <n v="18.914999999999999"/>
    <n v="7.8"/>
    <d v="2019-01-15T00:00:00"/>
    <x v="0"/>
    <x v="3"/>
    <x v="13"/>
    <x v="5"/>
  </r>
  <r>
    <s v="563-47-4072"/>
    <x v="2"/>
    <s v="Mandalay"/>
    <s v="Normal"/>
    <s v="Female"/>
    <x v="0"/>
    <n v="55.81"/>
    <n v="6"/>
    <n v="16.742999999999999"/>
    <n v="351.60300000000001"/>
    <s v="1/22/2019"/>
    <d v="1899-12-30T11:52:00"/>
    <s v="Cash"/>
    <n v="334.86"/>
    <n v="4.7619047620000003"/>
    <n v="16.742999999999999"/>
    <n v="9.9"/>
    <d v="2019-01-22T00:00:00"/>
    <x v="0"/>
    <x v="5"/>
    <x v="18"/>
    <x v="5"/>
  </r>
  <r>
    <s v="742-04-5161"/>
    <x v="0"/>
    <s v="Yangon"/>
    <s v="Member"/>
    <s v="Male"/>
    <x v="2"/>
    <n v="72.78"/>
    <n v="10"/>
    <n v="36.39"/>
    <n v="764.19"/>
    <d v="2019-03-02T00:00:00"/>
    <d v="1899-12-30T17:24:00"/>
    <s v="Cash"/>
    <n v="727.8"/>
    <n v="4.7619047620000003"/>
    <n v="36.39"/>
    <n v="7.3"/>
    <d v="2019-02-03T00:00:00"/>
    <x v="2"/>
    <x v="6"/>
    <x v="2"/>
    <x v="2"/>
  </r>
  <r>
    <s v="149-15-7606"/>
    <x v="2"/>
    <s v="Mandalay"/>
    <s v="Member"/>
    <s v="Male"/>
    <x v="3"/>
    <n v="37.32"/>
    <n v="9"/>
    <n v="16.794"/>
    <n v="352.67399999999998"/>
    <d v="2019-06-03T00:00:00"/>
    <d v="1899-12-30T15:31:00"/>
    <s v="Ewallet"/>
    <n v="335.88"/>
    <n v="4.7619047620000003"/>
    <n v="16.794"/>
    <n v="5.0999999999999996"/>
    <d v="2019-03-06T00:00:00"/>
    <x v="1"/>
    <x v="9"/>
    <x v="20"/>
    <x v="6"/>
  </r>
  <r>
    <s v="133-77-3154"/>
    <x v="2"/>
    <s v="Mandalay"/>
    <s v="Member"/>
    <s v="Male"/>
    <x v="5"/>
    <n v="60.18"/>
    <n v="4"/>
    <n v="12.036"/>
    <n v="252.756"/>
    <s v="2/16/2019"/>
    <d v="1899-12-30T18:04:00"/>
    <s v="Credit card"/>
    <n v="240.72"/>
    <n v="4.7619047620000003"/>
    <n v="12.036"/>
    <n v="9.4"/>
    <d v="2019-02-16T00:00:00"/>
    <x v="2"/>
    <x v="3"/>
    <x v="23"/>
    <x v="0"/>
  </r>
  <r>
    <s v="169-52-4504"/>
    <x v="0"/>
    <s v="Yangon"/>
    <s v="Normal"/>
    <s v="Female"/>
    <x v="1"/>
    <n v="15.69"/>
    <n v="3"/>
    <n v="2.3534999999999999"/>
    <n v="49.423499999999997"/>
    <s v="3/14/2019"/>
    <d v="1899-12-30T14:13:00"/>
    <s v="Credit card"/>
    <n v="47.07"/>
    <n v="4.7619047620000003"/>
    <n v="2.3534999999999999"/>
    <n v="5.8"/>
    <d v="2019-03-14T00:00:00"/>
    <x v="1"/>
    <x v="4"/>
    <x v="25"/>
    <x v="4"/>
  </r>
  <r>
    <s v="250-81-7186"/>
    <x v="1"/>
    <s v="Naypyitaw"/>
    <s v="Normal"/>
    <s v="Female"/>
    <x v="1"/>
    <n v="99.69"/>
    <n v="1"/>
    <n v="4.9844999999999997"/>
    <n v="104.67449999999999"/>
    <s v="2/27/2019"/>
    <d v="1899-12-30T10:23:00"/>
    <s v="Credit card"/>
    <n v="99.69"/>
    <n v="4.7619047620000003"/>
    <n v="4.9844999999999997"/>
    <n v="8"/>
    <d v="2019-02-27T00:00:00"/>
    <x v="2"/>
    <x v="1"/>
    <x v="3"/>
    <x v="6"/>
  </r>
  <r>
    <s v="562-12-5430"/>
    <x v="0"/>
    <s v="Yangon"/>
    <s v="Member"/>
    <s v="Female"/>
    <x v="5"/>
    <n v="88.15"/>
    <n v="3"/>
    <n v="13.2225"/>
    <n v="277.67250000000001"/>
    <s v="1/18/2019"/>
    <d v="1899-12-30T10:11:00"/>
    <s v="Ewallet"/>
    <n v="264.45"/>
    <n v="4.7619047620000003"/>
    <n v="13.2225"/>
    <n v="7.9"/>
    <d v="2019-01-18T00:00:00"/>
    <x v="0"/>
    <x v="1"/>
    <x v="28"/>
    <x v="1"/>
  </r>
  <r>
    <s v="816-72-8853"/>
    <x v="0"/>
    <s v="Yangon"/>
    <s v="Member"/>
    <s v="Female"/>
    <x v="3"/>
    <n v="27.93"/>
    <n v="5"/>
    <n v="6.9824999999999999"/>
    <n v="146.63249999999999"/>
    <s v="1/29/2019"/>
    <d v="1899-12-30T15:48:00"/>
    <s v="Cash"/>
    <n v="139.65"/>
    <n v="4.7619047620000003"/>
    <n v="6.9824999999999999"/>
    <n v="5.9"/>
    <d v="2019-01-29T00:00:00"/>
    <x v="0"/>
    <x v="9"/>
    <x v="12"/>
    <x v="5"/>
  </r>
  <r>
    <s v="491-38-3499"/>
    <x v="0"/>
    <s v="Yangon"/>
    <s v="Member"/>
    <s v="Male"/>
    <x v="5"/>
    <n v="55.45"/>
    <n v="1"/>
    <n v="2.7725"/>
    <n v="58.222499999999997"/>
    <s v="2/26/2019"/>
    <d v="1899-12-30T17:46:00"/>
    <s v="Credit card"/>
    <n v="55.45"/>
    <n v="4.7619047620000003"/>
    <n v="2.7725"/>
    <n v="4.9000000000000004"/>
    <d v="2019-02-26T00:00:00"/>
    <x v="2"/>
    <x v="6"/>
    <x v="27"/>
    <x v="5"/>
  </r>
  <r>
    <s v="322-02-2271"/>
    <x v="2"/>
    <s v="Mandalay"/>
    <s v="Normal"/>
    <s v="Female"/>
    <x v="3"/>
    <n v="42.97"/>
    <n v="3"/>
    <n v="6.4455"/>
    <n v="135.35550000000001"/>
    <d v="2019-03-02T00:00:00"/>
    <d v="1899-12-30T11:46:00"/>
    <s v="Cash"/>
    <n v="128.91"/>
    <n v="4.7619047620000003"/>
    <n v="6.4455"/>
    <n v="9.3000000000000007"/>
    <d v="2019-02-03T00:00:00"/>
    <x v="2"/>
    <x v="5"/>
    <x v="2"/>
    <x v="2"/>
  </r>
  <r>
    <s v="842-29-4695"/>
    <x v="1"/>
    <s v="Naypyitaw"/>
    <s v="Member"/>
    <s v="Male"/>
    <x v="3"/>
    <n v="17.14"/>
    <n v="7"/>
    <n v="5.9989999999999997"/>
    <n v="125.979"/>
    <s v="1/16/2019"/>
    <d v="1899-12-30T12:07:00"/>
    <s v="Credit card"/>
    <n v="119.98"/>
    <n v="4.7619047620000003"/>
    <n v="5.9989999999999997"/>
    <n v="7.9"/>
    <d v="2019-01-16T00:00:00"/>
    <x v="0"/>
    <x v="10"/>
    <x v="23"/>
    <x v="6"/>
  </r>
  <r>
    <s v="725-67-2480"/>
    <x v="2"/>
    <s v="Mandalay"/>
    <s v="Member"/>
    <s v="Female"/>
    <x v="5"/>
    <n v="58.75"/>
    <n v="6"/>
    <n v="17.625"/>
    <n v="370.125"/>
    <s v="3/24/2019"/>
    <d v="1899-12-30T18:14:00"/>
    <s v="Credit card"/>
    <n v="352.5"/>
    <n v="4.7619047620000003"/>
    <n v="17.625"/>
    <n v="5.9"/>
    <d v="2019-03-24T00:00:00"/>
    <x v="1"/>
    <x v="3"/>
    <x v="5"/>
    <x v="2"/>
  </r>
  <r>
    <s v="641-51-2661"/>
    <x v="1"/>
    <s v="Naypyitaw"/>
    <s v="Member"/>
    <s v="Female"/>
    <x v="4"/>
    <n v="87.1"/>
    <n v="10"/>
    <n v="43.55"/>
    <n v="914.55"/>
    <d v="2019-12-02T00:00:00"/>
    <d v="1899-12-30T14:45:00"/>
    <s v="Credit card"/>
    <n v="871"/>
    <n v="4.7619047620000003"/>
    <n v="43.55"/>
    <n v="9.9"/>
    <d v="2019-02-12T00:00:00"/>
    <x v="2"/>
    <x v="4"/>
    <x v="10"/>
    <x v="5"/>
  </r>
  <r>
    <s v="714-02-3114"/>
    <x v="1"/>
    <s v="Naypyitaw"/>
    <s v="Normal"/>
    <s v="Female"/>
    <x v="3"/>
    <n v="98.8"/>
    <n v="2"/>
    <n v="9.8800000000000008"/>
    <n v="207.48"/>
    <s v="2/21/2019"/>
    <d v="1899-12-30T11:39:00"/>
    <s v="Cash"/>
    <n v="197.6"/>
    <n v="4.7619047620000003"/>
    <n v="9.8800000000000008"/>
    <n v="7.7"/>
    <d v="2019-02-21T00:00:00"/>
    <x v="2"/>
    <x v="5"/>
    <x v="16"/>
    <x v="4"/>
  </r>
  <r>
    <s v="518-17-2983"/>
    <x v="0"/>
    <s v="Yangon"/>
    <s v="Normal"/>
    <s v="Female"/>
    <x v="5"/>
    <n v="48.63"/>
    <n v="4"/>
    <n v="9.7260000000000009"/>
    <n v="204.24600000000001"/>
    <d v="2019-04-02T00:00:00"/>
    <d v="1899-12-30T15:44:00"/>
    <s v="Ewallet"/>
    <n v="194.52"/>
    <n v="4.7619047620000003"/>
    <n v="9.7260000000000009"/>
    <n v="7.6"/>
    <d v="2019-02-04T00:00:00"/>
    <x v="2"/>
    <x v="9"/>
    <x v="22"/>
    <x v="3"/>
  </r>
  <r>
    <s v="779-42-2410"/>
    <x v="2"/>
    <s v="Mandalay"/>
    <s v="Member"/>
    <s v="Male"/>
    <x v="4"/>
    <n v="57.74"/>
    <n v="3"/>
    <n v="8.6609999999999996"/>
    <n v="181.881"/>
    <s v="2/20/2019"/>
    <d v="1899-12-30T13:06:00"/>
    <s v="Ewallet"/>
    <n v="173.22"/>
    <n v="4.7619047620000003"/>
    <n v="8.6609999999999996"/>
    <n v="7.7"/>
    <d v="2019-02-20T00:00:00"/>
    <x v="2"/>
    <x v="0"/>
    <x v="7"/>
    <x v="6"/>
  </r>
  <r>
    <s v="190-14-3147"/>
    <x v="2"/>
    <s v="Mandalay"/>
    <s v="Normal"/>
    <s v="Female"/>
    <x v="0"/>
    <n v="17.97"/>
    <n v="4"/>
    <n v="3.5939999999999999"/>
    <n v="75.474000000000004"/>
    <s v="2/23/2019"/>
    <d v="1899-12-30T20:43:00"/>
    <s v="Ewallet"/>
    <n v="71.88"/>
    <n v="4.7619047620000003"/>
    <n v="3.5939999999999999"/>
    <n v="6.4"/>
    <d v="2019-02-23T00:00:00"/>
    <x v="2"/>
    <x v="2"/>
    <x v="21"/>
    <x v="0"/>
  </r>
  <r>
    <s v="408-66-6712"/>
    <x v="1"/>
    <s v="Naypyitaw"/>
    <s v="Member"/>
    <s v="Female"/>
    <x v="0"/>
    <n v="47.71"/>
    <n v="6"/>
    <n v="14.313000000000001"/>
    <n v="300.57299999999998"/>
    <s v="2/16/2019"/>
    <d v="1899-12-30T14:19:00"/>
    <s v="Ewallet"/>
    <n v="286.26"/>
    <n v="4.7619047620000003"/>
    <n v="14.313000000000001"/>
    <n v="4.4000000000000004"/>
    <d v="2019-02-16T00:00:00"/>
    <x v="2"/>
    <x v="4"/>
    <x v="23"/>
    <x v="0"/>
  </r>
  <r>
    <s v="679-22-6530"/>
    <x v="2"/>
    <s v="Mandalay"/>
    <s v="Normal"/>
    <s v="Female"/>
    <x v="3"/>
    <n v="40.619999999999997"/>
    <n v="2"/>
    <n v="4.0620000000000003"/>
    <n v="85.302000000000007"/>
    <s v="1/17/2019"/>
    <d v="1899-12-30T10:01:00"/>
    <s v="Credit card"/>
    <n v="81.239999999999995"/>
    <n v="4.7619047620000003"/>
    <n v="4.0620000000000003"/>
    <n v="4.0999999999999996"/>
    <d v="2019-01-17T00:00:00"/>
    <x v="0"/>
    <x v="1"/>
    <x v="17"/>
    <x v="4"/>
  </r>
  <r>
    <s v="588-47-8641"/>
    <x v="0"/>
    <s v="Yangon"/>
    <s v="Member"/>
    <s v="Male"/>
    <x v="5"/>
    <n v="56.04"/>
    <n v="10"/>
    <n v="28.02"/>
    <n v="588.41999999999996"/>
    <s v="1/14/2019"/>
    <d v="1899-12-30T19:30:00"/>
    <s v="Ewallet"/>
    <n v="560.4"/>
    <n v="4.7619047620000003"/>
    <n v="28.02"/>
    <n v="4.4000000000000004"/>
    <d v="2019-01-14T00:00:00"/>
    <x v="0"/>
    <x v="8"/>
    <x v="25"/>
    <x v="3"/>
  </r>
  <r>
    <s v="642-61-4706"/>
    <x v="2"/>
    <s v="Mandalay"/>
    <s v="Member"/>
    <s v="Male"/>
    <x v="4"/>
    <n v="93.4"/>
    <n v="2"/>
    <n v="9.34"/>
    <n v="196.14"/>
    <s v="3/30/2019"/>
    <d v="1899-12-30T16:34:00"/>
    <s v="Cash"/>
    <n v="186.8"/>
    <n v="4.7619047620000003"/>
    <n v="9.34"/>
    <n v="5.5"/>
    <d v="2019-03-30T00:00:00"/>
    <x v="1"/>
    <x v="7"/>
    <x v="29"/>
    <x v="0"/>
  </r>
  <r>
    <s v="576-31-4774"/>
    <x v="2"/>
    <s v="Mandalay"/>
    <s v="Normal"/>
    <s v="Female"/>
    <x v="0"/>
    <n v="73.41"/>
    <n v="3"/>
    <n v="11.0115"/>
    <n v="231.2415"/>
    <d v="2019-02-03T00:00:00"/>
    <d v="1899-12-30T13:10:00"/>
    <s v="Ewallet"/>
    <n v="220.23"/>
    <n v="4.7619047620000003"/>
    <n v="11.0115"/>
    <n v="4"/>
    <d v="2019-03-02T00:00:00"/>
    <x v="1"/>
    <x v="0"/>
    <x v="8"/>
    <x v="0"/>
  </r>
  <r>
    <s v="556-41-6224"/>
    <x v="1"/>
    <s v="Naypyitaw"/>
    <s v="Normal"/>
    <s v="Male"/>
    <x v="0"/>
    <n v="33.64"/>
    <n v="8"/>
    <n v="13.456"/>
    <n v="282.57600000000002"/>
    <s v="2/15/2019"/>
    <d v="1899-12-30T17:10:00"/>
    <s v="Credit card"/>
    <n v="269.12"/>
    <n v="4.7619047620000003"/>
    <n v="13.456"/>
    <n v="9.3000000000000007"/>
    <d v="2019-02-15T00:00:00"/>
    <x v="2"/>
    <x v="6"/>
    <x v="13"/>
    <x v="1"/>
  </r>
  <r>
    <s v="811-03-8790"/>
    <x v="0"/>
    <s v="Yangon"/>
    <s v="Normal"/>
    <s v="Female"/>
    <x v="1"/>
    <n v="45.48"/>
    <n v="10"/>
    <n v="22.74"/>
    <n v="477.54"/>
    <d v="2019-01-03T00:00:00"/>
    <d v="1899-12-30T10:22:00"/>
    <s v="Credit card"/>
    <n v="454.8"/>
    <n v="4.7619047620000003"/>
    <n v="22.74"/>
    <n v="4.8"/>
    <d v="2019-03-01T00:00:00"/>
    <x v="1"/>
    <x v="1"/>
    <x v="15"/>
    <x v="1"/>
  </r>
  <r>
    <s v="242-11-3142"/>
    <x v="2"/>
    <s v="Mandalay"/>
    <s v="Member"/>
    <s v="Male"/>
    <x v="5"/>
    <n v="83.77"/>
    <n v="2"/>
    <n v="8.3770000000000007"/>
    <n v="175.917"/>
    <s v="2/24/2019"/>
    <d v="1899-12-30T19:57:00"/>
    <s v="Cash"/>
    <n v="167.54"/>
    <n v="4.7619047620000003"/>
    <n v="8.3770000000000007"/>
    <n v="4.5999999999999996"/>
    <d v="2019-02-24T00:00:00"/>
    <x v="2"/>
    <x v="8"/>
    <x v="5"/>
    <x v="2"/>
  </r>
  <r>
    <s v="752-23-3760"/>
    <x v="2"/>
    <s v="Mandalay"/>
    <s v="Member"/>
    <s v="Female"/>
    <x v="3"/>
    <n v="64.08"/>
    <n v="7"/>
    <n v="22.428000000000001"/>
    <n v="470.988"/>
    <s v="2/19/2019"/>
    <d v="1899-12-30T19:29:00"/>
    <s v="Credit card"/>
    <n v="448.56"/>
    <n v="4.7619047620000003"/>
    <n v="22.428000000000001"/>
    <n v="7.3"/>
    <d v="2019-02-19T00:00:00"/>
    <x v="2"/>
    <x v="8"/>
    <x v="24"/>
    <x v="5"/>
  </r>
  <r>
    <s v="274-05-5470"/>
    <x v="0"/>
    <s v="Yangon"/>
    <s v="Member"/>
    <s v="Female"/>
    <x v="4"/>
    <n v="73.47"/>
    <n v="4"/>
    <n v="14.694000000000001"/>
    <n v="308.57400000000001"/>
    <s v="2/23/2019"/>
    <d v="1899-12-30T18:30:00"/>
    <s v="Cash"/>
    <n v="293.88"/>
    <n v="4.7619047620000003"/>
    <n v="14.694000000000001"/>
    <n v="6"/>
    <d v="2019-02-23T00:00:00"/>
    <x v="2"/>
    <x v="3"/>
    <x v="21"/>
    <x v="0"/>
  </r>
  <r>
    <s v="648-94-3045"/>
    <x v="1"/>
    <s v="Naypyitaw"/>
    <s v="Normal"/>
    <s v="Male"/>
    <x v="0"/>
    <n v="58.95"/>
    <n v="10"/>
    <n v="29.475000000000001"/>
    <n v="618.97500000000002"/>
    <d v="2019-07-02T00:00:00"/>
    <d v="1899-12-30T14:27:00"/>
    <s v="Ewallet"/>
    <n v="589.5"/>
    <n v="4.7619047620000003"/>
    <n v="29.475000000000001"/>
    <n v="8.1"/>
    <d v="2019-02-07T00:00:00"/>
    <x v="2"/>
    <x v="4"/>
    <x v="11"/>
    <x v="4"/>
  </r>
  <r>
    <s v="130-67-4723"/>
    <x v="0"/>
    <s v="Yangon"/>
    <s v="Member"/>
    <s v="Male"/>
    <x v="4"/>
    <n v="48.5"/>
    <n v="6"/>
    <n v="14.55"/>
    <n v="305.55"/>
    <d v="2019-11-01T00:00:00"/>
    <d v="1899-12-30T13:57:00"/>
    <s v="Ewallet"/>
    <n v="291"/>
    <n v="4.7619047620000003"/>
    <n v="14.55"/>
    <n v="9.4"/>
    <d v="2019-01-11T00:00:00"/>
    <x v="0"/>
    <x v="0"/>
    <x v="14"/>
    <x v="1"/>
  </r>
  <r>
    <s v="528-87-5606"/>
    <x v="2"/>
    <s v="Mandalay"/>
    <s v="Member"/>
    <s v="Female"/>
    <x v="1"/>
    <n v="39.479999999999997"/>
    <n v="1"/>
    <n v="1.974"/>
    <n v="41.454000000000001"/>
    <d v="2019-12-02T00:00:00"/>
    <d v="1899-12-30T19:43:00"/>
    <s v="Cash"/>
    <n v="39.479999999999997"/>
    <n v="4.7619047620000003"/>
    <n v="1.974"/>
    <n v="6.5"/>
    <d v="2019-02-12T00:00:00"/>
    <x v="2"/>
    <x v="8"/>
    <x v="10"/>
    <x v="5"/>
  </r>
  <r>
    <s v="320-85-2052"/>
    <x v="2"/>
    <s v="Mandalay"/>
    <s v="Normal"/>
    <s v="Female"/>
    <x v="3"/>
    <n v="34.81"/>
    <n v="1"/>
    <n v="1.7404999999999999"/>
    <n v="36.5505"/>
    <s v="1/14/2019"/>
    <d v="1899-12-30T10:11:00"/>
    <s v="Credit card"/>
    <n v="34.81"/>
    <n v="4.7619047620000003"/>
    <n v="1.7404999999999999"/>
    <n v="7"/>
    <d v="2019-01-14T00:00:00"/>
    <x v="0"/>
    <x v="1"/>
    <x v="25"/>
    <x v="3"/>
  </r>
  <r>
    <s v="370-96-0655"/>
    <x v="1"/>
    <s v="Naypyitaw"/>
    <s v="Normal"/>
    <s v="Female"/>
    <x v="5"/>
    <n v="49.32"/>
    <n v="6"/>
    <n v="14.795999999999999"/>
    <n v="310.71600000000001"/>
    <d v="2019-09-01T00:00:00"/>
    <d v="1899-12-30T13:46:00"/>
    <s v="Ewallet"/>
    <n v="295.92"/>
    <n v="4.7619047620000003"/>
    <n v="14.795999999999999"/>
    <n v="7.1"/>
    <d v="2019-01-09T00:00:00"/>
    <x v="0"/>
    <x v="0"/>
    <x v="9"/>
    <x v="6"/>
  </r>
  <r>
    <s v="105-10-6182"/>
    <x v="0"/>
    <s v="Yangon"/>
    <s v="Member"/>
    <s v="Male"/>
    <x v="5"/>
    <n v="21.48"/>
    <n v="2"/>
    <n v="2.1480000000000001"/>
    <n v="45.107999999999997"/>
    <s v="2/27/2019"/>
    <d v="1899-12-30T12:22:00"/>
    <s v="Ewallet"/>
    <n v="42.96"/>
    <n v="4.7619047620000003"/>
    <n v="2.1480000000000001"/>
    <n v="6.6"/>
    <d v="2019-02-27T00:00:00"/>
    <x v="2"/>
    <x v="10"/>
    <x v="3"/>
    <x v="6"/>
  </r>
  <r>
    <s v="510-79-0415"/>
    <x v="2"/>
    <s v="Mandalay"/>
    <s v="Member"/>
    <s v="Female"/>
    <x v="3"/>
    <n v="23.08"/>
    <n v="6"/>
    <n v="6.9240000000000004"/>
    <n v="145.404"/>
    <s v="1/24/2019"/>
    <d v="1899-12-30T19:20:00"/>
    <s v="Ewallet"/>
    <n v="138.47999999999999"/>
    <n v="4.7619047620000003"/>
    <n v="6.9240000000000004"/>
    <n v="4.9000000000000004"/>
    <d v="2019-01-24T00:00:00"/>
    <x v="0"/>
    <x v="8"/>
    <x v="5"/>
    <x v="4"/>
  </r>
  <r>
    <s v="241-96-5076"/>
    <x v="2"/>
    <s v="Mandalay"/>
    <s v="Member"/>
    <s v="Female"/>
    <x v="2"/>
    <n v="49.1"/>
    <n v="2"/>
    <n v="4.91"/>
    <n v="103.11"/>
    <d v="2019-08-01T00:00:00"/>
    <d v="1899-12-30T12:58:00"/>
    <s v="Credit card"/>
    <n v="98.2"/>
    <n v="4.7619047620000003"/>
    <n v="4.91"/>
    <n v="6.4"/>
    <d v="2019-01-08T00:00:00"/>
    <x v="0"/>
    <x v="10"/>
    <x v="1"/>
    <x v="5"/>
  </r>
  <r>
    <s v="767-97-4650"/>
    <x v="2"/>
    <s v="Mandalay"/>
    <s v="Member"/>
    <s v="Female"/>
    <x v="3"/>
    <n v="64.83"/>
    <n v="2"/>
    <n v="6.4829999999999997"/>
    <n v="136.143"/>
    <d v="2019-08-01T00:00:00"/>
    <d v="1899-12-30T11:59:00"/>
    <s v="Credit card"/>
    <n v="129.66"/>
    <n v="4.7619047620000003"/>
    <n v="6.4829999999999997"/>
    <n v="8"/>
    <d v="2019-01-08T00:00:00"/>
    <x v="0"/>
    <x v="5"/>
    <x v="1"/>
    <x v="5"/>
  </r>
  <r>
    <s v="648-83-1321"/>
    <x v="0"/>
    <s v="Yangon"/>
    <s v="Member"/>
    <s v="Male"/>
    <x v="2"/>
    <n v="63.56"/>
    <n v="10"/>
    <n v="31.78"/>
    <n v="667.38"/>
    <s v="1/16/2019"/>
    <d v="1899-12-30T17:59:00"/>
    <s v="Cash"/>
    <n v="635.6"/>
    <n v="4.7619047620000003"/>
    <n v="31.78"/>
    <n v="4.3"/>
    <d v="2019-01-16T00:00:00"/>
    <x v="0"/>
    <x v="6"/>
    <x v="23"/>
    <x v="6"/>
  </r>
  <r>
    <s v="173-57-2300"/>
    <x v="1"/>
    <s v="Naypyitaw"/>
    <s v="Member"/>
    <s v="Male"/>
    <x v="3"/>
    <n v="72.88"/>
    <n v="2"/>
    <n v="7.2880000000000003"/>
    <n v="153.048"/>
    <s v="3/13/2019"/>
    <d v="1899-12-30T12:51:00"/>
    <s v="Cash"/>
    <n v="145.76"/>
    <n v="4.7619047620000003"/>
    <n v="7.2880000000000003"/>
    <n v="6.1"/>
    <d v="2019-03-13T00:00:00"/>
    <x v="1"/>
    <x v="10"/>
    <x v="26"/>
    <x v="6"/>
  </r>
  <r>
    <s v="305-03-2383"/>
    <x v="0"/>
    <s v="Yangon"/>
    <s v="Normal"/>
    <s v="Female"/>
    <x v="4"/>
    <n v="67.099999999999994"/>
    <n v="3"/>
    <n v="10.065"/>
    <n v="211.36500000000001"/>
    <s v="2/15/2019"/>
    <d v="1899-12-30T10:36:00"/>
    <s v="Cash"/>
    <n v="201.3"/>
    <n v="4.7619047620000003"/>
    <n v="10.065"/>
    <n v="7.5"/>
    <d v="2019-02-15T00:00:00"/>
    <x v="2"/>
    <x v="1"/>
    <x v="13"/>
    <x v="1"/>
  </r>
  <r>
    <s v="394-55-6384"/>
    <x v="1"/>
    <s v="Naypyitaw"/>
    <s v="Member"/>
    <s v="Female"/>
    <x v="3"/>
    <n v="70.19"/>
    <n v="9"/>
    <n v="31.5855"/>
    <n v="663.29549999999995"/>
    <s v="1/25/2019"/>
    <d v="1899-12-30T13:38:00"/>
    <s v="Cash"/>
    <n v="631.71"/>
    <n v="4.7619047620000003"/>
    <n v="31.5855"/>
    <n v="6.7"/>
    <d v="2019-01-25T00:00:00"/>
    <x v="0"/>
    <x v="0"/>
    <x v="4"/>
    <x v="1"/>
  </r>
  <r>
    <s v="266-20-6657"/>
    <x v="1"/>
    <s v="Naypyitaw"/>
    <s v="Member"/>
    <s v="Male"/>
    <x v="4"/>
    <n v="55.04"/>
    <n v="7"/>
    <n v="19.263999999999999"/>
    <n v="404.54399999999998"/>
    <d v="2019-12-03T00:00:00"/>
    <d v="1899-12-30T19:39:00"/>
    <s v="Ewallet"/>
    <n v="385.28"/>
    <n v="4.7619047620000003"/>
    <n v="19.263999999999999"/>
    <n v="5.2"/>
    <d v="2019-03-12T00:00:00"/>
    <x v="1"/>
    <x v="8"/>
    <x v="10"/>
    <x v="5"/>
  </r>
  <r>
    <s v="689-05-1884"/>
    <x v="0"/>
    <s v="Yangon"/>
    <s v="Member"/>
    <s v="Male"/>
    <x v="0"/>
    <n v="48.63"/>
    <n v="10"/>
    <n v="24.315000000000001"/>
    <n v="510.61500000000001"/>
    <d v="2019-04-03T00:00:00"/>
    <d v="1899-12-30T12:44:00"/>
    <s v="Cash"/>
    <n v="486.3"/>
    <n v="4.7619047620000003"/>
    <n v="24.315000000000001"/>
    <n v="8.8000000000000007"/>
    <d v="2019-03-04T00:00:00"/>
    <x v="1"/>
    <x v="10"/>
    <x v="22"/>
    <x v="3"/>
  </r>
  <r>
    <s v="196-01-2849"/>
    <x v="1"/>
    <s v="Naypyitaw"/>
    <s v="Member"/>
    <s v="Female"/>
    <x v="5"/>
    <n v="73.38"/>
    <n v="7"/>
    <n v="25.683"/>
    <n v="539.34299999999996"/>
    <d v="2019-10-02T00:00:00"/>
    <d v="1899-12-30T13:56:00"/>
    <s v="Cash"/>
    <n v="513.66"/>
    <n v="4.7619047620000003"/>
    <n v="25.683"/>
    <n v="9.5"/>
    <d v="2019-02-10T00:00:00"/>
    <x v="2"/>
    <x v="0"/>
    <x v="6"/>
    <x v="2"/>
  </r>
  <r>
    <s v="372-62-5264"/>
    <x v="1"/>
    <s v="Naypyitaw"/>
    <s v="Normal"/>
    <s v="Female"/>
    <x v="4"/>
    <n v="52.6"/>
    <n v="9"/>
    <n v="23.67"/>
    <n v="497.07"/>
    <s v="1/16/2019"/>
    <d v="1899-12-30T14:42:00"/>
    <s v="Cash"/>
    <n v="473.4"/>
    <n v="4.7619047620000003"/>
    <n v="23.67"/>
    <n v="7.6"/>
    <d v="2019-01-16T00:00:00"/>
    <x v="0"/>
    <x v="4"/>
    <x v="23"/>
    <x v="6"/>
  </r>
  <r>
    <s v="800-09-8606"/>
    <x v="0"/>
    <s v="Yangon"/>
    <s v="Member"/>
    <s v="Female"/>
    <x v="2"/>
    <n v="87.37"/>
    <n v="5"/>
    <n v="21.842500000000001"/>
    <n v="458.6925"/>
    <s v="1/29/2019"/>
    <d v="1899-12-30T19:45:00"/>
    <s v="Cash"/>
    <n v="436.85"/>
    <n v="4.7619047620000003"/>
    <n v="21.842500000000001"/>
    <n v="6.6"/>
    <d v="2019-01-29T00:00:00"/>
    <x v="0"/>
    <x v="8"/>
    <x v="12"/>
    <x v="5"/>
  </r>
  <r>
    <s v="182-52-7000"/>
    <x v="0"/>
    <s v="Yangon"/>
    <s v="Member"/>
    <s v="Female"/>
    <x v="3"/>
    <n v="27.04"/>
    <n v="4"/>
    <n v="5.4080000000000004"/>
    <n v="113.568"/>
    <d v="2019-01-01T00:00:00"/>
    <d v="1899-12-30T20:26:00"/>
    <s v="Ewallet"/>
    <n v="108.16"/>
    <n v="4.7619047620000003"/>
    <n v="5.4080000000000004"/>
    <n v="6.9"/>
    <d v="2019-01-01T00:00:00"/>
    <x v="0"/>
    <x v="2"/>
    <x v="15"/>
    <x v="5"/>
  </r>
  <r>
    <s v="826-58-8051"/>
    <x v="2"/>
    <s v="Mandalay"/>
    <s v="Normal"/>
    <s v="Male"/>
    <x v="2"/>
    <n v="62.19"/>
    <n v="4"/>
    <n v="12.438000000000001"/>
    <n v="261.19799999999998"/>
    <d v="2019-06-01T00:00:00"/>
    <d v="1899-12-30T19:46:00"/>
    <s v="Ewallet"/>
    <n v="248.76"/>
    <n v="4.7619047620000003"/>
    <n v="12.438000000000001"/>
    <n v="4.3"/>
    <d v="2019-01-06T00:00:00"/>
    <x v="0"/>
    <x v="8"/>
    <x v="20"/>
    <x v="2"/>
  </r>
  <r>
    <s v="868-06-0466"/>
    <x v="0"/>
    <s v="Yangon"/>
    <s v="Member"/>
    <s v="Male"/>
    <x v="1"/>
    <n v="69.58"/>
    <n v="9"/>
    <n v="31.311"/>
    <n v="657.53099999999995"/>
    <s v="2/19/2019"/>
    <d v="1899-12-30T19:38:00"/>
    <s v="Credit card"/>
    <n v="626.22"/>
    <n v="4.7619047620000003"/>
    <n v="31.311"/>
    <n v="7.8"/>
    <d v="2019-02-19T00:00:00"/>
    <x v="2"/>
    <x v="8"/>
    <x v="24"/>
    <x v="5"/>
  </r>
  <r>
    <s v="751-41-9720"/>
    <x v="1"/>
    <s v="Naypyitaw"/>
    <s v="Normal"/>
    <s v="Male"/>
    <x v="2"/>
    <n v="97.5"/>
    <n v="10"/>
    <n v="48.75"/>
    <n v="1023.75"/>
    <d v="2019-12-01T00:00:00"/>
    <d v="1899-12-30T16:18:00"/>
    <s v="Ewallet"/>
    <n v="975"/>
    <n v="4.7619047620000003"/>
    <n v="48.75"/>
    <n v="8"/>
    <d v="2019-01-12T00:00:00"/>
    <x v="0"/>
    <x v="7"/>
    <x v="10"/>
    <x v="0"/>
  </r>
  <r>
    <s v="626-43-7888"/>
    <x v="1"/>
    <s v="Naypyitaw"/>
    <s v="Normal"/>
    <s v="Female"/>
    <x v="5"/>
    <n v="60.41"/>
    <n v="8"/>
    <n v="24.164000000000001"/>
    <n v="507.44400000000002"/>
    <d v="2019-07-02T00:00:00"/>
    <d v="1899-12-30T12:23:00"/>
    <s v="Ewallet"/>
    <n v="483.28"/>
    <n v="4.7619047620000003"/>
    <n v="24.164000000000001"/>
    <n v="9.6"/>
    <d v="2019-02-07T00:00:00"/>
    <x v="2"/>
    <x v="10"/>
    <x v="11"/>
    <x v="4"/>
  </r>
  <r>
    <s v="176-64-7711"/>
    <x v="2"/>
    <s v="Mandalay"/>
    <s v="Normal"/>
    <s v="Male"/>
    <x v="4"/>
    <n v="32.32"/>
    <n v="3"/>
    <n v="4.8479999999999999"/>
    <n v="101.80800000000001"/>
    <s v="3/27/2019"/>
    <d v="1899-12-30T19:11:00"/>
    <s v="Credit card"/>
    <n v="96.96"/>
    <n v="4.7619047620000003"/>
    <n v="4.8479999999999999"/>
    <n v="4.3"/>
    <d v="2019-03-27T00:00:00"/>
    <x v="1"/>
    <x v="8"/>
    <x v="3"/>
    <x v="6"/>
  </r>
  <r>
    <s v="191-29-0321"/>
    <x v="2"/>
    <s v="Mandalay"/>
    <s v="Member"/>
    <s v="Female"/>
    <x v="5"/>
    <n v="19.77"/>
    <n v="10"/>
    <n v="9.8849999999999998"/>
    <n v="207.58500000000001"/>
    <s v="2/27/2019"/>
    <d v="1899-12-30T18:57:00"/>
    <s v="Credit card"/>
    <n v="197.7"/>
    <n v="4.7619047620000003"/>
    <n v="9.8849999999999998"/>
    <n v="5"/>
    <d v="2019-02-27T00:00:00"/>
    <x v="2"/>
    <x v="3"/>
    <x v="3"/>
    <x v="6"/>
  </r>
  <r>
    <s v="729-06-2010"/>
    <x v="2"/>
    <s v="Mandalay"/>
    <s v="Member"/>
    <s v="Male"/>
    <x v="0"/>
    <n v="80.47"/>
    <n v="9"/>
    <n v="36.211500000000001"/>
    <n v="760.44150000000002"/>
    <d v="2019-06-01T00:00:00"/>
    <d v="1899-12-30T11:18:00"/>
    <s v="Cash"/>
    <n v="724.23"/>
    <n v="4.7619047620000003"/>
    <n v="36.211500000000001"/>
    <n v="9.1999999999999993"/>
    <d v="2019-01-06T00:00:00"/>
    <x v="0"/>
    <x v="5"/>
    <x v="20"/>
    <x v="2"/>
  </r>
  <r>
    <s v="640-48-5028"/>
    <x v="2"/>
    <s v="Mandalay"/>
    <s v="Member"/>
    <s v="Female"/>
    <x v="2"/>
    <n v="88.39"/>
    <n v="9"/>
    <n v="39.775500000000001"/>
    <n v="835.28549999999996"/>
    <d v="2019-02-03T00:00:00"/>
    <d v="1899-12-30T12:40:00"/>
    <s v="Cash"/>
    <n v="795.51"/>
    <n v="4.7619047620000003"/>
    <n v="39.775500000000001"/>
    <n v="6.3"/>
    <d v="2019-03-02T00:00:00"/>
    <x v="1"/>
    <x v="10"/>
    <x v="8"/>
    <x v="0"/>
  </r>
  <r>
    <s v="186-79-9562"/>
    <x v="2"/>
    <s v="Mandalay"/>
    <s v="Normal"/>
    <s v="Male"/>
    <x v="0"/>
    <n v="71.77"/>
    <n v="7"/>
    <n v="25.119499999999999"/>
    <n v="527.5095"/>
    <s v="3/29/2019"/>
    <d v="1899-12-30T14:06:00"/>
    <s v="Cash"/>
    <n v="502.39"/>
    <n v="4.7619047620000003"/>
    <n v="25.119499999999999"/>
    <n v="8.9"/>
    <d v="2019-03-29T00:00:00"/>
    <x v="1"/>
    <x v="4"/>
    <x v="12"/>
    <x v="1"/>
  </r>
  <r>
    <s v="834-45-5519"/>
    <x v="2"/>
    <s v="Mandalay"/>
    <s v="Normal"/>
    <s v="Female"/>
    <x v="1"/>
    <n v="43"/>
    <n v="4"/>
    <n v="8.6"/>
    <n v="180.6"/>
    <s v="1/31/2019"/>
    <d v="1899-12-30T20:48:00"/>
    <s v="Ewallet"/>
    <n v="172"/>
    <n v="4.7619047620000003"/>
    <n v="8.6"/>
    <n v="7.6"/>
    <d v="2019-01-31T00:00:00"/>
    <x v="0"/>
    <x v="2"/>
    <x v="30"/>
    <x v="4"/>
  </r>
  <r>
    <s v="162-65-8559"/>
    <x v="1"/>
    <s v="Naypyitaw"/>
    <s v="Member"/>
    <s v="Male"/>
    <x v="4"/>
    <n v="68.98"/>
    <n v="1"/>
    <n v="3.4489999999999998"/>
    <n v="72.429000000000002"/>
    <s v="1/21/2019"/>
    <d v="1899-12-30T20:13:00"/>
    <s v="Cash"/>
    <n v="68.98"/>
    <n v="4.7619047620000003"/>
    <n v="3.4489999999999998"/>
    <n v="4.8"/>
    <d v="2019-01-21T00:00:00"/>
    <x v="0"/>
    <x v="2"/>
    <x v="16"/>
    <x v="3"/>
  </r>
  <r>
    <s v="760-27-5490"/>
    <x v="1"/>
    <s v="Naypyitaw"/>
    <s v="Normal"/>
    <s v="Male"/>
    <x v="5"/>
    <n v="15.62"/>
    <n v="8"/>
    <n v="6.2480000000000002"/>
    <n v="131.208"/>
    <s v="1/20/2019"/>
    <d v="1899-12-30T20:37:00"/>
    <s v="Ewallet"/>
    <n v="124.96"/>
    <n v="4.7619047620000003"/>
    <n v="6.2480000000000002"/>
    <n v="9.1"/>
    <d v="2019-01-20T00:00:00"/>
    <x v="0"/>
    <x v="2"/>
    <x v="7"/>
    <x v="2"/>
  </r>
  <r>
    <s v="445-30-9252"/>
    <x v="0"/>
    <s v="Yangon"/>
    <s v="Normal"/>
    <s v="Male"/>
    <x v="3"/>
    <n v="25.7"/>
    <n v="3"/>
    <n v="3.855"/>
    <n v="80.954999999999998"/>
    <s v="1/17/2019"/>
    <d v="1899-12-30T17:59:00"/>
    <s v="Ewallet"/>
    <n v="77.099999999999994"/>
    <n v="4.7619047620000003"/>
    <n v="3.855"/>
    <n v="6.1"/>
    <d v="2019-01-17T00:00:00"/>
    <x v="0"/>
    <x v="6"/>
    <x v="17"/>
    <x v="4"/>
  </r>
  <r>
    <s v="786-94-2700"/>
    <x v="0"/>
    <s v="Yangon"/>
    <s v="Member"/>
    <s v="Male"/>
    <x v="4"/>
    <n v="80.62"/>
    <n v="6"/>
    <n v="24.186"/>
    <n v="507.90600000000001"/>
    <s v="2/28/2019"/>
    <d v="1899-12-30T20:18:00"/>
    <s v="Cash"/>
    <n v="483.72"/>
    <n v="4.7619047620000003"/>
    <n v="24.186"/>
    <n v="9.1"/>
    <d v="2019-02-28T00:00:00"/>
    <x v="2"/>
    <x v="2"/>
    <x v="19"/>
    <x v="4"/>
  </r>
  <r>
    <s v="728-88-7867"/>
    <x v="1"/>
    <s v="Naypyitaw"/>
    <s v="Member"/>
    <s v="Female"/>
    <x v="2"/>
    <n v="75.53"/>
    <n v="4"/>
    <n v="15.106"/>
    <n v="317.226"/>
    <s v="3/19/2019"/>
    <d v="1899-12-30T15:52:00"/>
    <s v="Ewallet"/>
    <n v="302.12"/>
    <n v="4.7619047620000003"/>
    <n v="15.106"/>
    <n v="8.3000000000000007"/>
    <d v="2019-03-19T00:00:00"/>
    <x v="1"/>
    <x v="9"/>
    <x v="24"/>
    <x v="5"/>
  </r>
  <r>
    <s v="183-21-3799"/>
    <x v="1"/>
    <s v="Naypyitaw"/>
    <s v="Normal"/>
    <s v="Female"/>
    <x v="1"/>
    <n v="77.63"/>
    <n v="9"/>
    <n v="34.933500000000002"/>
    <n v="733.60350000000005"/>
    <s v="2/19/2019"/>
    <d v="1899-12-30T15:14:00"/>
    <s v="Ewallet"/>
    <n v="698.67"/>
    <n v="4.7619047620000003"/>
    <n v="34.933500000000002"/>
    <n v="7.2"/>
    <d v="2019-02-19T00:00:00"/>
    <x v="2"/>
    <x v="9"/>
    <x v="24"/>
    <x v="5"/>
  </r>
  <r>
    <s v="268-20-3585"/>
    <x v="1"/>
    <s v="Naypyitaw"/>
    <s v="Normal"/>
    <s v="Female"/>
    <x v="0"/>
    <n v="13.85"/>
    <n v="9"/>
    <n v="6.2324999999999999"/>
    <n v="130.88249999999999"/>
    <d v="2019-04-02T00:00:00"/>
    <d v="1899-12-30T12:50:00"/>
    <s v="Ewallet"/>
    <n v="124.65"/>
    <n v="4.7619047620000003"/>
    <n v="6.2324999999999999"/>
    <n v="6"/>
    <d v="2019-02-04T00:00:00"/>
    <x v="2"/>
    <x v="10"/>
    <x v="22"/>
    <x v="3"/>
  </r>
  <r>
    <s v="735-32-9839"/>
    <x v="1"/>
    <s v="Naypyitaw"/>
    <s v="Member"/>
    <s v="Male"/>
    <x v="5"/>
    <n v="98.7"/>
    <n v="8"/>
    <n v="39.479999999999997"/>
    <n v="829.08"/>
    <s v="1/31/2019"/>
    <d v="1899-12-30T10:36:00"/>
    <s v="Ewallet"/>
    <n v="789.6"/>
    <n v="4.7619047620000003"/>
    <n v="39.479999999999997"/>
    <n v="8.5"/>
    <d v="2019-01-31T00:00:00"/>
    <x v="0"/>
    <x v="1"/>
    <x v="30"/>
    <x v="4"/>
  </r>
  <r>
    <s v="258-92-7466"/>
    <x v="0"/>
    <s v="Yangon"/>
    <s v="Normal"/>
    <s v="Female"/>
    <x v="0"/>
    <n v="35.68"/>
    <n v="5"/>
    <n v="8.92"/>
    <n v="187.32"/>
    <d v="2019-06-02T00:00:00"/>
    <d v="1899-12-30T18:33:00"/>
    <s v="Credit card"/>
    <n v="178.4"/>
    <n v="4.7619047620000003"/>
    <n v="8.92"/>
    <n v="6.6"/>
    <d v="2019-02-06T00:00:00"/>
    <x v="2"/>
    <x v="3"/>
    <x v="20"/>
    <x v="6"/>
  </r>
  <r>
    <s v="857-16-3520"/>
    <x v="0"/>
    <s v="Yangon"/>
    <s v="Member"/>
    <s v="Female"/>
    <x v="5"/>
    <n v="71.459999999999994"/>
    <n v="7"/>
    <n v="25.010999999999999"/>
    <n v="525.23099999999999"/>
    <s v="3/28/2019"/>
    <d v="1899-12-30T16:06:00"/>
    <s v="Ewallet"/>
    <n v="500.22"/>
    <n v="4.7619047620000003"/>
    <n v="25.010999999999999"/>
    <n v="4.5"/>
    <d v="2019-03-28T00:00:00"/>
    <x v="1"/>
    <x v="7"/>
    <x v="19"/>
    <x v="4"/>
  </r>
  <r>
    <s v="482-17-1179"/>
    <x v="0"/>
    <s v="Yangon"/>
    <s v="Member"/>
    <s v="Male"/>
    <x v="1"/>
    <n v="11.94"/>
    <n v="3"/>
    <n v="1.7909999999999999"/>
    <n v="37.610999999999997"/>
    <s v="1/19/2019"/>
    <d v="1899-12-30T12:47:00"/>
    <s v="Credit card"/>
    <n v="35.82"/>
    <n v="4.7619047620000003"/>
    <n v="1.7909999999999999"/>
    <n v="8.1"/>
    <d v="2019-01-19T00:00:00"/>
    <x v="0"/>
    <x v="10"/>
    <x v="24"/>
    <x v="0"/>
  </r>
  <r>
    <s v="788-21-5741"/>
    <x v="0"/>
    <s v="Yangon"/>
    <s v="Normal"/>
    <s v="Male"/>
    <x v="5"/>
    <n v="45.38"/>
    <n v="3"/>
    <n v="6.8070000000000004"/>
    <n v="142.947"/>
    <s v="2/17/2019"/>
    <d v="1899-12-30T13:34:00"/>
    <s v="Credit card"/>
    <n v="136.13999999999999"/>
    <n v="4.7619047620000003"/>
    <n v="6.8070000000000004"/>
    <n v="7.2"/>
    <d v="2019-02-17T00:00:00"/>
    <x v="2"/>
    <x v="0"/>
    <x v="17"/>
    <x v="2"/>
  </r>
  <r>
    <s v="821-14-9046"/>
    <x v="2"/>
    <s v="Mandalay"/>
    <s v="Member"/>
    <s v="Female"/>
    <x v="5"/>
    <n v="17.48"/>
    <n v="6"/>
    <n v="5.2439999999999998"/>
    <n v="110.124"/>
    <s v="1/18/2019"/>
    <d v="1899-12-30T15:04:00"/>
    <s v="Credit card"/>
    <n v="104.88"/>
    <n v="4.7619047620000003"/>
    <n v="5.2439999999999998"/>
    <n v="6.1"/>
    <d v="2019-01-18T00:00:00"/>
    <x v="0"/>
    <x v="9"/>
    <x v="28"/>
    <x v="1"/>
  </r>
  <r>
    <s v="418-05-0656"/>
    <x v="2"/>
    <s v="Mandalay"/>
    <s v="Normal"/>
    <s v="Female"/>
    <x v="5"/>
    <n v="25.56"/>
    <n v="7"/>
    <n v="8.9459999999999997"/>
    <n v="187.86600000000001"/>
    <d v="2019-02-02T00:00:00"/>
    <d v="1899-12-30T20:42:00"/>
    <s v="Cash"/>
    <n v="178.92"/>
    <n v="4.7619047620000003"/>
    <n v="8.9459999999999997"/>
    <n v="7.1"/>
    <d v="2019-02-02T00:00:00"/>
    <x v="2"/>
    <x v="2"/>
    <x v="8"/>
    <x v="0"/>
  </r>
  <r>
    <s v="678-79-0726"/>
    <x v="1"/>
    <s v="Naypyitaw"/>
    <s v="Member"/>
    <s v="Female"/>
    <x v="3"/>
    <n v="90.63"/>
    <n v="9"/>
    <n v="40.783499999999997"/>
    <n v="856.45349999999996"/>
    <s v="1/18/2019"/>
    <d v="1899-12-30T15:28:00"/>
    <s v="Cash"/>
    <n v="815.67"/>
    <n v="4.7619047620000003"/>
    <n v="40.783499999999997"/>
    <n v="5.0999999999999996"/>
    <d v="2019-01-18T00:00:00"/>
    <x v="0"/>
    <x v="9"/>
    <x v="28"/>
    <x v="1"/>
  </r>
  <r>
    <s v="776-68-1096"/>
    <x v="2"/>
    <s v="Mandalay"/>
    <s v="Normal"/>
    <s v="Male"/>
    <x v="2"/>
    <n v="44.12"/>
    <n v="3"/>
    <n v="6.6180000000000003"/>
    <n v="138.97800000000001"/>
    <s v="3/18/2019"/>
    <d v="1899-12-30T13:45:00"/>
    <s v="Credit card"/>
    <n v="132.36000000000001"/>
    <n v="4.7619047620000003"/>
    <n v="6.6180000000000003"/>
    <n v="7.9"/>
    <d v="2019-03-18T00:00:00"/>
    <x v="1"/>
    <x v="0"/>
    <x v="28"/>
    <x v="3"/>
  </r>
  <r>
    <s v="592-46-1692"/>
    <x v="1"/>
    <s v="Naypyitaw"/>
    <s v="Member"/>
    <s v="Female"/>
    <x v="4"/>
    <n v="36.770000000000003"/>
    <n v="7"/>
    <n v="12.8695"/>
    <n v="270.2595"/>
    <d v="2019-11-01T00:00:00"/>
    <d v="1899-12-30T20:10:00"/>
    <s v="Cash"/>
    <n v="257.39"/>
    <n v="4.7619047620000003"/>
    <n v="12.8695"/>
    <n v="7.4"/>
    <d v="2019-01-11T00:00:00"/>
    <x v="0"/>
    <x v="2"/>
    <x v="14"/>
    <x v="1"/>
  </r>
  <r>
    <s v="434-35-9162"/>
    <x v="2"/>
    <s v="Mandalay"/>
    <s v="Member"/>
    <s v="Male"/>
    <x v="4"/>
    <n v="23.34"/>
    <n v="4"/>
    <n v="4.6680000000000001"/>
    <n v="98.028000000000006"/>
    <d v="2019-04-02T00:00:00"/>
    <d v="1899-12-30T18:53:00"/>
    <s v="Ewallet"/>
    <n v="93.36"/>
    <n v="4.7619047620000003"/>
    <n v="4.6680000000000001"/>
    <n v="7.4"/>
    <d v="2019-02-04T00:00:00"/>
    <x v="2"/>
    <x v="3"/>
    <x v="22"/>
    <x v="3"/>
  </r>
  <r>
    <s v="149-14-0304"/>
    <x v="1"/>
    <s v="Naypyitaw"/>
    <s v="Member"/>
    <s v="Female"/>
    <x v="0"/>
    <n v="28.5"/>
    <n v="8"/>
    <n v="11.4"/>
    <n v="239.4"/>
    <d v="2019-06-02T00:00:00"/>
    <d v="1899-12-30T14:24:00"/>
    <s v="Cash"/>
    <n v="228"/>
    <n v="4.7619047620000003"/>
    <n v="11.4"/>
    <n v="6.6"/>
    <d v="2019-02-06T00:00:00"/>
    <x v="2"/>
    <x v="4"/>
    <x v="20"/>
    <x v="6"/>
  </r>
  <r>
    <s v="442-44-6497"/>
    <x v="1"/>
    <s v="Naypyitaw"/>
    <s v="Member"/>
    <s v="Male"/>
    <x v="2"/>
    <n v="55.57"/>
    <n v="3"/>
    <n v="8.3354999999999997"/>
    <n v="175.0455"/>
    <d v="2019-08-01T00:00:00"/>
    <d v="1899-12-30T11:42:00"/>
    <s v="Credit card"/>
    <n v="166.71"/>
    <n v="4.7619047620000003"/>
    <n v="8.3354999999999997"/>
    <n v="5.9"/>
    <d v="2019-01-08T00:00:00"/>
    <x v="0"/>
    <x v="5"/>
    <x v="1"/>
    <x v="5"/>
  </r>
  <r>
    <s v="174-64-0215"/>
    <x v="2"/>
    <s v="Mandalay"/>
    <s v="Normal"/>
    <s v="Male"/>
    <x v="3"/>
    <n v="69.739999999999995"/>
    <n v="10"/>
    <n v="34.869999999999997"/>
    <n v="732.27"/>
    <d v="2019-05-03T00:00:00"/>
    <d v="1899-12-30T17:49:00"/>
    <s v="Credit card"/>
    <n v="697.4"/>
    <n v="4.7619047620000003"/>
    <n v="34.869999999999997"/>
    <n v="8.9"/>
    <d v="2019-03-05T00:00:00"/>
    <x v="1"/>
    <x v="6"/>
    <x v="0"/>
    <x v="5"/>
  </r>
  <r>
    <s v="210-74-9613"/>
    <x v="1"/>
    <s v="Naypyitaw"/>
    <s v="Normal"/>
    <s v="Male"/>
    <x v="5"/>
    <n v="97.26"/>
    <n v="4"/>
    <n v="19.452000000000002"/>
    <n v="408.49200000000002"/>
    <s v="3/16/2019"/>
    <d v="1899-12-30T15:33:00"/>
    <s v="Ewallet"/>
    <n v="389.04"/>
    <n v="4.7619047620000003"/>
    <n v="19.452000000000002"/>
    <n v="6.8"/>
    <d v="2019-03-16T00:00:00"/>
    <x v="1"/>
    <x v="9"/>
    <x v="23"/>
    <x v="0"/>
  </r>
  <r>
    <s v="299-29-0180"/>
    <x v="2"/>
    <s v="Mandalay"/>
    <s v="Member"/>
    <s v="Female"/>
    <x v="2"/>
    <n v="52.18"/>
    <n v="7"/>
    <n v="18.263000000000002"/>
    <n v="383.52300000000002"/>
    <d v="2019-09-03T00:00:00"/>
    <d v="1899-12-30T10:54:00"/>
    <s v="Cash"/>
    <n v="365.26"/>
    <n v="4.7619047620000003"/>
    <n v="18.263000000000002"/>
    <n v="9.3000000000000007"/>
    <d v="2019-03-09T00:00:00"/>
    <x v="1"/>
    <x v="1"/>
    <x v="9"/>
    <x v="0"/>
  </r>
  <r>
    <s v="247-11-2470"/>
    <x v="0"/>
    <s v="Yangon"/>
    <s v="Member"/>
    <s v="Female"/>
    <x v="5"/>
    <n v="22.32"/>
    <n v="4"/>
    <n v="4.4640000000000004"/>
    <n v="93.744"/>
    <d v="2019-01-03T00:00:00"/>
    <d v="1899-12-30T16:23:00"/>
    <s v="Credit card"/>
    <n v="89.28"/>
    <n v="4.7619047620000003"/>
    <n v="4.4640000000000004"/>
    <n v="4.4000000000000004"/>
    <d v="2019-03-01T00:00:00"/>
    <x v="1"/>
    <x v="7"/>
    <x v="15"/>
    <x v="1"/>
  </r>
  <r>
    <s v="635-28-5728"/>
    <x v="0"/>
    <s v="Yangon"/>
    <s v="Normal"/>
    <s v="Male"/>
    <x v="0"/>
    <n v="56"/>
    <n v="3"/>
    <n v="8.4"/>
    <n v="176.4"/>
    <s v="2/28/2019"/>
    <d v="1899-12-30T19:33:00"/>
    <s v="Ewallet"/>
    <n v="168"/>
    <n v="4.7619047620000003"/>
    <n v="8.4"/>
    <n v="4.8"/>
    <d v="2019-02-28T00:00:00"/>
    <x v="2"/>
    <x v="8"/>
    <x v="19"/>
    <x v="4"/>
  </r>
  <r>
    <s v="756-49-0168"/>
    <x v="0"/>
    <s v="Yangon"/>
    <s v="Member"/>
    <s v="Male"/>
    <x v="5"/>
    <n v="19.7"/>
    <n v="1"/>
    <n v="0.98499999999999999"/>
    <n v="20.684999999999999"/>
    <d v="2019-08-02T00:00:00"/>
    <d v="1899-12-30T11:39:00"/>
    <s v="Ewallet"/>
    <n v="19.7"/>
    <n v="4.7619047620000003"/>
    <n v="0.98499999999999999"/>
    <n v="9.5"/>
    <d v="2019-02-08T00:00:00"/>
    <x v="2"/>
    <x v="5"/>
    <x v="1"/>
    <x v="1"/>
  </r>
  <r>
    <s v="438-23-1242"/>
    <x v="2"/>
    <s v="Mandalay"/>
    <s v="Normal"/>
    <s v="Male"/>
    <x v="1"/>
    <n v="75.88"/>
    <n v="7"/>
    <n v="26.558"/>
    <n v="557.71799999999996"/>
    <s v="1/24/2019"/>
    <d v="1899-12-30T10:38:00"/>
    <s v="Ewallet"/>
    <n v="531.16"/>
    <n v="4.7619047620000003"/>
    <n v="26.558"/>
    <n v="8.9"/>
    <d v="2019-01-24T00:00:00"/>
    <x v="0"/>
    <x v="1"/>
    <x v="5"/>
    <x v="4"/>
  </r>
  <r>
    <s v="238-45-6950"/>
    <x v="2"/>
    <s v="Mandalay"/>
    <s v="Member"/>
    <s v="Male"/>
    <x v="4"/>
    <n v="53.72"/>
    <n v="1"/>
    <n v="2.6859999999999999"/>
    <n v="56.405999999999999"/>
    <d v="2019-01-03T00:00:00"/>
    <d v="1899-12-30T20:03:00"/>
    <s v="Ewallet"/>
    <n v="53.72"/>
    <n v="4.7619047620000003"/>
    <n v="2.6859999999999999"/>
    <n v="6.4"/>
    <d v="2019-03-01T00:00:00"/>
    <x v="1"/>
    <x v="2"/>
    <x v="15"/>
    <x v="1"/>
  </r>
  <r>
    <s v="607-65-2441"/>
    <x v="1"/>
    <s v="Naypyitaw"/>
    <s v="Member"/>
    <s v="Male"/>
    <x v="0"/>
    <n v="81.95"/>
    <n v="10"/>
    <n v="40.975000000000001"/>
    <n v="860.47500000000002"/>
    <d v="2019-10-03T00:00:00"/>
    <d v="1899-12-30T12:39:00"/>
    <s v="Credit card"/>
    <n v="819.5"/>
    <n v="4.7619047620000003"/>
    <n v="40.975000000000001"/>
    <n v="6"/>
    <d v="2019-03-10T00:00:00"/>
    <x v="1"/>
    <x v="10"/>
    <x v="6"/>
    <x v="2"/>
  </r>
  <r>
    <s v="386-27-7606"/>
    <x v="1"/>
    <s v="Naypyitaw"/>
    <s v="Member"/>
    <s v="Female"/>
    <x v="2"/>
    <n v="81.2"/>
    <n v="7"/>
    <n v="28.42"/>
    <n v="596.82000000000005"/>
    <s v="3/23/2019"/>
    <d v="1899-12-30T15:59:00"/>
    <s v="Credit card"/>
    <n v="568.4"/>
    <n v="4.7619047620000003"/>
    <n v="28.42"/>
    <n v="8.1"/>
    <d v="2019-03-23T00:00:00"/>
    <x v="1"/>
    <x v="9"/>
    <x v="21"/>
    <x v="0"/>
  </r>
  <r>
    <s v="137-63-5492"/>
    <x v="1"/>
    <s v="Naypyitaw"/>
    <s v="Normal"/>
    <s v="Male"/>
    <x v="1"/>
    <n v="58.76"/>
    <n v="10"/>
    <n v="29.38"/>
    <n v="616.98"/>
    <s v="1/29/2019"/>
    <d v="1899-12-30T14:26:00"/>
    <s v="Ewallet"/>
    <n v="587.6"/>
    <n v="4.7619047620000003"/>
    <n v="29.38"/>
    <n v="9"/>
    <d v="2019-01-29T00:00:00"/>
    <x v="0"/>
    <x v="4"/>
    <x v="12"/>
    <x v="5"/>
  </r>
  <r>
    <s v="197-77-7132"/>
    <x v="2"/>
    <s v="Mandalay"/>
    <s v="Member"/>
    <s v="Male"/>
    <x v="1"/>
    <n v="91.56"/>
    <n v="8"/>
    <n v="36.624000000000002"/>
    <n v="769.10400000000004"/>
    <d v="2019-12-01T00:00:00"/>
    <d v="1899-12-30T18:22:00"/>
    <s v="Ewallet"/>
    <n v="732.48"/>
    <n v="4.7619047620000003"/>
    <n v="36.624000000000002"/>
    <n v="6"/>
    <d v="2019-01-12T00:00:00"/>
    <x v="0"/>
    <x v="3"/>
    <x v="10"/>
    <x v="0"/>
  </r>
  <r>
    <s v="805-86-0265"/>
    <x v="0"/>
    <s v="Yangon"/>
    <s v="Normal"/>
    <s v="Male"/>
    <x v="2"/>
    <n v="93.96"/>
    <n v="9"/>
    <n v="42.281999999999996"/>
    <n v="887.92200000000003"/>
    <s v="3/20/2019"/>
    <d v="1899-12-30T11:32:00"/>
    <s v="Cash"/>
    <n v="845.64"/>
    <n v="4.7619047620000003"/>
    <n v="42.281999999999996"/>
    <n v="9.8000000000000007"/>
    <d v="2019-03-20T00:00:00"/>
    <x v="1"/>
    <x v="5"/>
    <x v="7"/>
    <x v="6"/>
  </r>
  <r>
    <s v="733-29-1227"/>
    <x v="1"/>
    <s v="Naypyitaw"/>
    <s v="Normal"/>
    <s v="Male"/>
    <x v="2"/>
    <n v="55.61"/>
    <n v="7"/>
    <n v="19.4635"/>
    <n v="408.73349999999999"/>
    <s v="3/23/2019"/>
    <d v="1899-12-30T12:41:00"/>
    <s v="Cash"/>
    <n v="389.27"/>
    <n v="4.7619047620000003"/>
    <n v="19.4635"/>
    <n v="8.5"/>
    <d v="2019-03-23T00:00:00"/>
    <x v="1"/>
    <x v="10"/>
    <x v="21"/>
    <x v="0"/>
  </r>
  <r>
    <s v="451-73-2711"/>
    <x v="1"/>
    <s v="Naypyitaw"/>
    <s v="Normal"/>
    <s v="Male"/>
    <x v="4"/>
    <n v="84.83"/>
    <n v="1"/>
    <n v="4.2415000000000003"/>
    <n v="89.0715"/>
    <s v="1/14/2019"/>
    <d v="1899-12-30T15:20:00"/>
    <s v="Ewallet"/>
    <n v="84.83"/>
    <n v="4.7619047620000003"/>
    <n v="4.2415000000000003"/>
    <n v="8.8000000000000007"/>
    <d v="2019-01-14T00:00:00"/>
    <x v="0"/>
    <x v="9"/>
    <x v="25"/>
    <x v="3"/>
  </r>
  <r>
    <s v="373-14-0504"/>
    <x v="0"/>
    <s v="Yangon"/>
    <s v="Member"/>
    <s v="Female"/>
    <x v="3"/>
    <n v="71.63"/>
    <n v="2"/>
    <n v="7.1630000000000003"/>
    <n v="150.423"/>
    <d v="2019-12-02T00:00:00"/>
    <d v="1899-12-30T14:33:00"/>
    <s v="Ewallet"/>
    <n v="143.26"/>
    <n v="4.7619047620000003"/>
    <n v="7.1630000000000003"/>
    <n v="8.8000000000000007"/>
    <d v="2019-02-12T00:00:00"/>
    <x v="2"/>
    <x v="4"/>
    <x v="10"/>
    <x v="5"/>
  </r>
  <r>
    <s v="546-80-2899"/>
    <x v="0"/>
    <s v="Yangon"/>
    <s v="Member"/>
    <s v="Male"/>
    <x v="2"/>
    <n v="37.69"/>
    <n v="2"/>
    <n v="3.7690000000000001"/>
    <n v="79.149000000000001"/>
    <s v="2/20/2019"/>
    <d v="1899-12-30T15:29:00"/>
    <s v="Ewallet"/>
    <n v="75.38"/>
    <n v="4.7619047620000003"/>
    <n v="3.7690000000000001"/>
    <n v="9.5"/>
    <d v="2019-02-20T00:00:00"/>
    <x v="2"/>
    <x v="9"/>
    <x v="7"/>
    <x v="6"/>
  </r>
  <r>
    <s v="345-68-9016"/>
    <x v="1"/>
    <s v="Naypyitaw"/>
    <s v="Member"/>
    <s v="Female"/>
    <x v="3"/>
    <n v="31.67"/>
    <n v="8"/>
    <n v="12.667999999999999"/>
    <n v="266.02800000000002"/>
    <d v="2019-02-01T00:00:00"/>
    <d v="1899-12-30T16:19:00"/>
    <s v="Credit card"/>
    <n v="253.36"/>
    <n v="4.7619047620000003"/>
    <n v="12.667999999999999"/>
    <n v="5.6"/>
    <d v="2019-01-02T00:00:00"/>
    <x v="0"/>
    <x v="7"/>
    <x v="8"/>
    <x v="6"/>
  </r>
  <r>
    <s v="390-17-5806"/>
    <x v="1"/>
    <s v="Naypyitaw"/>
    <s v="Member"/>
    <s v="Female"/>
    <x v="4"/>
    <n v="38.42"/>
    <n v="1"/>
    <n v="1.921"/>
    <n v="40.341000000000001"/>
    <d v="2019-02-02T00:00:00"/>
    <d v="1899-12-30T16:33:00"/>
    <s v="Cash"/>
    <n v="38.42"/>
    <n v="4.7619047620000003"/>
    <n v="1.921"/>
    <n v="8.6"/>
    <d v="2019-02-02T00:00:00"/>
    <x v="2"/>
    <x v="7"/>
    <x v="8"/>
    <x v="0"/>
  </r>
  <r>
    <s v="457-13-1708"/>
    <x v="2"/>
    <s v="Mandalay"/>
    <s v="Member"/>
    <s v="Male"/>
    <x v="5"/>
    <n v="65.23"/>
    <n v="10"/>
    <n v="32.615000000000002"/>
    <n v="684.91499999999996"/>
    <d v="2019-08-01T00:00:00"/>
    <d v="1899-12-30T19:07:00"/>
    <s v="Credit card"/>
    <n v="652.29999999999995"/>
    <n v="4.7619047620000003"/>
    <n v="32.615000000000002"/>
    <n v="5.2"/>
    <d v="2019-01-08T00:00:00"/>
    <x v="0"/>
    <x v="8"/>
    <x v="1"/>
    <x v="5"/>
  </r>
  <r>
    <s v="664-14-2882"/>
    <x v="1"/>
    <s v="Naypyitaw"/>
    <s v="Member"/>
    <s v="Female"/>
    <x v="2"/>
    <n v="10.53"/>
    <n v="5"/>
    <n v="2.6324999999999998"/>
    <n v="55.282499999999999"/>
    <s v="1/30/2019"/>
    <d v="1899-12-30T14:43:00"/>
    <s v="Credit card"/>
    <n v="52.65"/>
    <n v="4.7619047620000003"/>
    <n v="2.6324999999999998"/>
    <n v="5.8"/>
    <d v="2019-01-30T00:00:00"/>
    <x v="0"/>
    <x v="4"/>
    <x v="29"/>
    <x v="6"/>
  </r>
  <r>
    <s v="487-79-6868"/>
    <x v="2"/>
    <s v="Mandalay"/>
    <s v="Member"/>
    <s v="Female"/>
    <x v="2"/>
    <n v="12.29"/>
    <n v="9"/>
    <n v="5.5305"/>
    <n v="116.1405"/>
    <s v="3/26/2019"/>
    <d v="1899-12-30T19:28:00"/>
    <s v="Credit card"/>
    <n v="110.61"/>
    <n v="4.7619047620000003"/>
    <n v="5.5305"/>
    <n v="8"/>
    <d v="2019-03-26T00:00:00"/>
    <x v="1"/>
    <x v="8"/>
    <x v="27"/>
    <x v="5"/>
  </r>
  <r>
    <s v="314-23-4520"/>
    <x v="1"/>
    <s v="Naypyitaw"/>
    <s v="Member"/>
    <s v="Male"/>
    <x v="0"/>
    <n v="81.23"/>
    <n v="7"/>
    <n v="28.430499999999999"/>
    <n v="597.04049999999995"/>
    <s v="1/15/2019"/>
    <d v="1899-12-30T20:44:00"/>
    <s v="Cash"/>
    <n v="568.61"/>
    <n v="4.7619047620000003"/>
    <n v="28.430499999999999"/>
    <n v="9"/>
    <d v="2019-01-15T00:00:00"/>
    <x v="0"/>
    <x v="2"/>
    <x v="13"/>
    <x v="5"/>
  </r>
  <r>
    <s v="210-30-7976"/>
    <x v="2"/>
    <s v="Mandalay"/>
    <s v="Member"/>
    <s v="Female"/>
    <x v="5"/>
    <n v="22.32"/>
    <n v="4"/>
    <n v="4.4640000000000004"/>
    <n v="93.744"/>
    <s v="3/14/2019"/>
    <d v="1899-12-30T11:16:00"/>
    <s v="Ewallet"/>
    <n v="89.28"/>
    <n v="4.7619047620000003"/>
    <n v="4.4640000000000004"/>
    <n v="4.0999999999999996"/>
    <d v="2019-03-14T00:00:00"/>
    <x v="1"/>
    <x v="5"/>
    <x v="25"/>
    <x v="4"/>
  </r>
  <r>
    <s v="585-86-8361"/>
    <x v="0"/>
    <s v="Yangon"/>
    <s v="Normal"/>
    <s v="Female"/>
    <x v="4"/>
    <n v="27.28"/>
    <n v="5"/>
    <n v="6.82"/>
    <n v="143.22"/>
    <d v="2019-03-02T00:00:00"/>
    <d v="1899-12-30T10:31:00"/>
    <s v="Credit card"/>
    <n v="136.4"/>
    <n v="4.7619047620000003"/>
    <n v="6.82"/>
    <n v="8.6"/>
    <d v="2019-02-03T00:00:00"/>
    <x v="2"/>
    <x v="1"/>
    <x v="2"/>
    <x v="2"/>
  </r>
  <r>
    <s v="807-14-7833"/>
    <x v="0"/>
    <s v="Yangon"/>
    <s v="Member"/>
    <s v="Female"/>
    <x v="1"/>
    <n v="17.420000000000002"/>
    <n v="10"/>
    <n v="8.7100000000000009"/>
    <n v="182.91"/>
    <s v="2/22/2019"/>
    <d v="1899-12-30T12:30:00"/>
    <s v="Ewallet"/>
    <n v="174.2"/>
    <n v="4.7619047620000003"/>
    <n v="8.7100000000000009"/>
    <n v="7"/>
    <d v="2019-02-22T00:00:00"/>
    <x v="2"/>
    <x v="10"/>
    <x v="18"/>
    <x v="1"/>
  </r>
  <r>
    <s v="775-72-1988"/>
    <x v="2"/>
    <s v="Mandalay"/>
    <s v="Normal"/>
    <s v="Male"/>
    <x v="2"/>
    <n v="73.28"/>
    <n v="5"/>
    <n v="18.32"/>
    <n v="384.72"/>
    <s v="1/24/2019"/>
    <d v="1899-12-30T15:05:00"/>
    <s v="Ewallet"/>
    <n v="366.4"/>
    <n v="4.7619047620000003"/>
    <n v="18.32"/>
    <n v="8.4"/>
    <d v="2019-01-24T00:00:00"/>
    <x v="0"/>
    <x v="9"/>
    <x v="5"/>
    <x v="4"/>
  </r>
  <r>
    <s v="288-38-3758"/>
    <x v="1"/>
    <s v="Naypyitaw"/>
    <s v="Member"/>
    <s v="Female"/>
    <x v="5"/>
    <n v="84.87"/>
    <n v="3"/>
    <n v="12.730499999999999"/>
    <n v="267.34050000000002"/>
    <s v="1/25/2019"/>
    <d v="1899-12-30T18:30:00"/>
    <s v="Ewallet"/>
    <n v="254.61"/>
    <n v="4.7619047620000003"/>
    <n v="12.730499999999999"/>
    <n v="7.4"/>
    <d v="2019-01-25T00:00:00"/>
    <x v="0"/>
    <x v="3"/>
    <x v="4"/>
    <x v="1"/>
  </r>
  <r>
    <s v="652-43-6591"/>
    <x v="0"/>
    <s v="Yangon"/>
    <s v="Normal"/>
    <s v="Female"/>
    <x v="5"/>
    <n v="97.29"/>
    <n v="8"/>
    <n v="38.915999999999997"/>
    <n v="817.23599999999999"/>
    <d v="2019-09-03T00:00:00"/>
    <d v="1899-12-30T13:18:00"/>
    <s v="Credit card"/>
    <n v="778.32"/>
    <n v="4.7619047620000003"/>
    <n v="38.915999999999997"/>
    <n v="6.2"/>
    <d v="2019-03-09T00:00:00"/>
    <x v="1"/>
    <x v="0"/>
    <x v="9"/>
    <x v="0"/>
  </r>
  <r>
    <s v="785-96-0615"/>
    <x v="2"/>
    <s v="Mandalay"/>
    <s v="Member"/>
    <s v="Female"/>
    <x v="1"/>
    <n v="35.74"/>
    <n v="8"/>
    <n v="14.295999999999999"/>
    <n v="300.21600000000001"/>
    <s v="2/17/2019"/>
    <d v="1899-12-30T15:28:00"/>
    <s v="Ewallet"/>
    <n v="285.92"/>
    <n v="4.7619047620000003"/>
    <n v="14.295999999999999"/>
    <n v="4.9000000000000004"/>
    <d v="2019-02-17T00:00:00"/>
    <x v="2"/>
    <x v="9"/>
    <x v="17"/>
    <x v="2"/>
  </r>
  <r>
    <s v="406-46-7107"/>
    <x v="0"/>
    <s v="Yangon"/>
    <s v="Normal"/>
    <s v="Female"/>
    <x v="2"/>
    <n v="96.52"/>
    <n v="6"/>
    <n v="28.956"/>
    <n v="608.07600000000002"/>
    <d v="2019-11-01T00:00:00"/>
    <d v="1899-12-30T11:52:00"/>
    <s v="Cash"/>
    <n v="579.12"/>
    <n v="4.7619047620000003"/>
    <n v="28.956"/>
    <n v="4.5"/>
    <d v="2019-01-11T00:00:00"/>
    <x v="0"/>
    <x v="5"/>
    <x v="14"/>
    <x v="1"/>
  </r>
  <r>
    <s v="250-17-5703"/>
    <x v="0"/>
    <s v="Yangon"/>
    <s v="Member"/>
    <s v="Male"/>
    <x v="4"/>
    <n v="18.850000000000001"/>
    <n v="10"/>
    <n v="9.4250000000000007"/>
    <n v="197.92500000000001"/>
    <s v="2/27/2019"/>
    <d v="1899-12-30T18:24:00"/>
    <s v="Ewallet"/>
    <n v="188.5"/>
    <n v="4.7619047620000003"/>
    <n v="9.4250000000000007"/>
    <n v="5.6"/>
    <d v="2019-02-27T00:00:00"/>
    <x v="2"/>
    <x v="3"/>
    <x v="3"/>
    <x v="6"/>
  </r>
  <r>
    <s v="156-95-3964"/>
    <x v="0"/>
    <s v="Yangon"/>
    <s v="Normal"/>
    <s v="Female"/>
    <x v="4"/>
    <n v="55.39"/>
    <n v="4"/>
    <n v="11.077999999999999"/>
    <n v="232.63800000000001"/>
    <s v="3/25/2019"/>
    <d v="1899-12-30T15:19:00"/>
    <s v="Ewallet"/>
    <n v="221.56"/>
    <n v="4.7619047620000003"/>
    <n v="11.077999999999999"/>
    <n v="8"/>
    <d v="2019-03-25T00:00:00"/>
    <x v="1"/>
    <x v="9"/>
    <x v="4"/>
    <x v="3"/>
  </r>
  <r>
    <s v="842-40-8179"/>
    <x v="2"/>
    <s v="Mandalay"/>
    <s v="Member"/>
    <s v="Female"/>
    <x v="4"/>
    <n v="77.2"/>
    <n v="10"/>
    <n v="38.6"/>
    <n v="810.6"/>
    <d v="2019-11-02T00:00:00"/>
    <d v="1899-12-30T10:38:00"/>
    <s v="Credit card"/>
    <n v="772"/>
    <n v="4.7619047620000003"/>
    <n v="38.6"/>
    <n v="5.6"/>
    <d v="2019-02-11T00:00:00"/>
    <x v="2"/>
    <x v="1"/>
    <x v="14"/>
    <x v="3"/>
  </r>
  <r>
    <s v="525-09-8450"/>
    <x v="2"/>
    <s v="Mandalay"/>
    <s v="Normal"/>
    <s v="Male"/>
    <x v="1"/>
    <n v="72.13"/>
    <n v="10"/>
    <n v="36.064999999999998"/>
    <n v="757.36500000000001"/>
    <s v="1/31/2019"/>
    <d v="1899-12-30T15:12:00"/>
    <s v="Credit card"/>
    <n v="721.3"/>
    <n v="4.7619047620000003"/>
    <n v="36.064999999999998"/>
    <n v="4.2"/>
    <d v="2019-01-31T00:00:00"/>
    <x v="0"/>
    <x v="9"/>
    <x v="30"/>
    <x v="4"/>
  </r>
  <r>
    <s v="410-67-1709"/>
    <x v="0"/>
    <s v="Yangon"/>
    <s v="Member"/>
    <s v="Female"/>
    <x v="5"/>
    <n v="63.88"/>
    <n v="8"/>
    <n v="25.552"/>
    <n v="536.59199999999998"/>
    <s v="1/20/2019"/>
    <d v="1899-12-30T17:48:00"/>
    <s v="Ewallet"/>
    <n v="511.04"/>
    <n v="4.7619047620000003"/>
    <n v="25.552"/>
    <n v="9.9"/>
    <d v="2019-01-20T00:00:00"/>
    <x v="0"/>
    <x v="6"/>
    <x v="7"/>
    <x v="2"/>
  </r>
  <r>
    <s v="587-73-4862"/>
    <x v="0"/>
    <s v="Yangon"/>
    <s v="Member"/>
    <s v="Female"/>
    <x v="0"/>
    <n v="10.69"/>
    <n v="5"/>
    <n v="2.6724999999999999"/>
    <n v="56.122500000000002"/>
    <s v="3/26/2019"/>
    <d v="1899-12-30T11:07:00"/>
    <s v="Ewallet"/>
    <n v="53.45"/>
    <n v="4.7619047620000003"/>
    <n v="2.6724999999999999"/>
    <n v="7.6"/>
    <d v="2019-03-26T00:00:00"/>
    <x v="1"/>
    <x v="5"/>
    <x v="27"/>
    <x v="5"/>
  </r>
  <r>
    <s v="787-87-2010"/>
    <x v="0"/>
    <s v="Yangon"/>
    <s v="Member"/>
    <s v="Male"/>
    <x v="0"/>
    <n v="55.5"/>
    <n v="4"/>
    <n v="11.1"/>
    <n v="233.1"/>
    <s v="1/20/2019"/>
    <d v="1899-12-30T15:48:00"/>
    <s v="Credit card"/>
    <n v="222"/>
    <n v="4.7619047620000003"/>
    <n v="11.1"/>
    <n v="6.6"/>
    <d v="2019-01-20T00:00:00"/>
    <x v="0"/>
    <x v="9"/>
    <x v="7"/>
    <x v="2"/>
  </r>
  <r>
    <s v="593-14-4239"/>
    <x v="2"/>
    <s v="Mandalay"/>
    <s v="Normal"/>
    <s v="Female"/>
    <x v="2"/>
    <n v="95.46"/>
    <n v="8"/>
    <n v="38.183999999999997"/>
    <n v="801.86400000000003"/>
    <d v="2019-05-03T00:00:00"/>
    <d v="1899-12-30T19:40:00"/>
    <s v="Ewallet"/>
    <n v="763.68"/>
    <n v="4.7619047620000003"/>
    <n v="38.183999999999997"/>
    <n v="4.7"/>
    <d v="2019-03-05T00:00:00"/>
    <x v="1"/>
    <x v="8"/>
    <x v="0"/>
    <x v="5"/>
  </r>
  <r>
    <s v="801-88-0346"/>
    <x v="1"/>
    <s v="Naypyitaw"/>
    <s v="Normal"/>
    <s v="Female"/>
    <x v="5"/>
    <n v="76.06"/>
    <n v="3"/>
    <n v="11.409000000000001"/>
    <n v="239.589"/>
    <d v="2019-05-01T00:00:00"/>
    <d v="1899-12-30T20:30:00"/>
    <s v="Credit card"/>
    <n v="228.18"/>
    <n v="4.7619047620000003"/>
    <n v="11.409000000000001"/>
    <n v="9.8000000000000007"/>
    <d v="2019-01-05T00:00:00"/>
    <x v="0"/>
    <x v="2"/>
    <x v="0"/>
    <x v="0"/>
  </r>
  <r>
    <s v="388-76-2555"/>
    <x v="2"/>
    <s v="Mandalay"/>
    <s v="Normal"/>
    <s v="Male"/>
    <x v="3"/>
    <n v="13.69"/>
    <n v="6"/>
    <n v="4.1070000000000002"/>
    <n v="86.247"/>
    <s v="2/13/2019"/>
    <d v="1899-12-30T13:59:00"/>
    <s v="Cash"/>
    <n v="82.14"/>
    <n v="4.7619047620000003"/>
    <n v="4.1070000000000002"/>
    <n v="6.3"/>
    <d v="2019-02-13T00:00:00"/>
    <x v="2"/>
    <x v="0"/>
    <x v="26"/>
    <x v="6"/>
  </r>
  <r>
    <s v="711-31-1234"/>
    <x v="2"/>
    <s v="Mandalay"/>
    <s v="Normal"/>
    <s v="Female"/>
    <x v="1"/>
    <n v="95.64"/>
    <n v="4"/>
    <n v="19.128"/>
    <n v="401.68799999999999"/>
    <s v="3/16/2019"/>
    <d v="1899-12-30T18:51:00"/>
    <s v="Cash"/>
    <n v="382.56"/>
    <n v="4.7619047620000003"/>
    <n v="19.128"/>
    <n v="7.9"/>
    <d v="2019-03-16T00:00:00"/>
    <x v="1"/>
    <x v="3"/>
    <x v="23"/>
    <x v="0"/>
  </r>
  <r>
    <s v="886-54-6089"/>
    <x v="0"/>
    <s v="Yangon"/>
    <s v="Normal"/>
    <s v="Female"/>
    <x v="2"/>
    <n v="11.43"/>
    <n v="6"/>
    <n v="3.4289999999999998"/>
    <n v="72.009"/>
    <s v="1/15/2019"/>
    <d v="1899-12-30T17:24:00"/>
    <s v="Cash"/>
    <n v="68.58"/>
    <n v="4.7619047620000003"/>
    <n v="3.4289999999999998"/>
    <n v="7.7"/>
    <d v="2019-01-15T00:00:00"/>
    <x v="0"/>
    <x v="6"/>
    <x v="13"/>
    <x v="5"/>
  </r>
  <r>
    <s v="707-32-7409"/>
    <x v="2"/>
    <s v="Mandalay"/>
    <s v="Member"/>
    <s v="Female"/>
    <x v="3"/>
    <n v="95.54"/>
    <n v="4"/>
    <n v="19.108000000000001"/>
    <n v="401.26799999999997"/>
    <s v="2/26/2019"/>
    <d v="1899-12-30T11:58:00"/>
    <s v="Ewallet"/>
    <n v="382.16"/>
    <n v="4.7619047620000003"/>
    <n v="19.108000000000001"/>
    <n v="4.5"/>
    <d v="2019-02-26T00:00:00"/>
    <x v="2"/>
    <x v="5"/>
    <x v="27"/>
    <x v="5"/>
  </r>
  <r>
    <s v="759-98-4285"/>
    <x v="1"/>
    <s v="Naypyitaw"/>
    <s v="Member"/>
    <s v="Female"/>
    <x v="0"/>
    <n v="85.87"/>
    <n v="7"/>
    <n v="30.054500000000001"/>
    <n v="631.14449999999999"/>
    <s v="2/27/2019"/>
    <d v="1899-12-30T19:01:00"/>
    <s v="Credit card"/>
    <n v="601.09"/>
    <n v="4.7619047620000003"/>
    <n v="30.054500000000001"/>
    <n v="8"/>
    <d v="2019-02-27T00:00:00"/>
    <x v="2"/>
    <x v="8"/>
    <x v="3"/>
    <x v="6"/>
  </r>
  <r>
    <s v="201-63-8275"/>
    <x v="1"/>
    <s v="Naypyitaw"/>
    <s v="Member"/>
    <s v="Female"/>
    <x v="3"/>
    <n v="67.989999999999995"/>
    <n v="7"/>
    <n v="23.796500000000002"/>
    <n v="499.72649999999999"/>
    <s v="2/17/2019"/>
    <d v="1899-12-30T16:50:00"/>
    <s v="Ewallet"/>
    <n v="475.93"/>
    <n v="4.7619047620000003"/>
    <n v="23.796500000000002"/>
    <n v="5.7"/>
    <d v="2019-02-17T00:00:00"/>
    <x v="2"/>
    <x v="7"/>
    <x v="17"/>
    <x v="2"/>
  </r>
  <r>
    <s v="471-06-8611"/>
    <x v="1"/>
    <s v="Naypyitaw"/>
    <s v="Normal"/>
    <s v="Female"/>
    <x v="4"/>
    <n v="52.42"/>
    <n v="1"/>
    <n v="2.621"/>
    <n v="55.040999999999997"/>
    <d v="2019-06-02T00:00:00"/>
    <d v="1899-12-30T10:22:00"/>
    <s v="Credit card"/>
    <n v="52.42"/>
    <n v="4.7619047620000003"/>
    <n v="2.621"/>
    <n v="6.3"/>
    <d v="2019-02-06T00:00:00"/>
    <x v="2"/>
    <x v="1"/>
    <x v="20"/>
    <x v="6"/>
  </r>
  <r>
    <s v="200-16-5952"/>
    <x v="1"/>
    <s v="Naypyitaw"/>
    <s v="Member"/>
    <s v="Male"/>
    <x v="4"/>
    <n v="65.650000000000006"/>
    <n v="2"/>
    <n v="6.5650000000000004"/>
    <n v="137.86500000000001"/>
    <s v="1/17/2019"/>
    <d v="1899-12-30T16:46:00"/>
    <s v="Cash"/>
    <n v="131.30000000000001"/>
    <n v="4.7619047620000003"/>
    <n v="6.5650000000000004"/>
    <n v="6"/>
    <d v="2019-01-17T00:00:00"/>
    <x v="0"/>
    <x v="7"/>
    <x v="17"/>
    <x v="4"/>
  </r>
  <r>
    <s v="120-54-2248"/>
    <x v="2"/>
    <s v="Mandalay"/>
    <s v="Normal"/>
    <s v="Female"/>
    <x v="4"/>
    <n v="28.86"/>
    <n v="5"/>
    <n v="7.2149999999999999"/>
    <n v="151.51499999999999"/>
    <s v="1/22/2019"/>
    <d v="1899-12-30T18:08:00"/>
    <s v="Credit card"/>
    <n v="144.30000000000001"/>
    <n v="4.7619047620000003"/>
    <n v="7.2149999999999999"/>
    <n v="8"/>
    <d v="2019-01-22T00:00:00"/>
    <x v="0"/>
    <x v="3"/>
    <x v="18"/>
    <x v="5"/>
  </r>
  <r>
    <s v="102-77-2261"/>
    <x v="1"/>
    <s v="Naypyitaw"/>
    <s v="Member"/>
    <s v="Male"/>
    <x v="0"/>
    <n v="65.31"/>
    <n v="7"/>
    <n v="22.858499999999999"/>
    <n v="480.02850000000001"/>
    <d v="2019-05-03T00:00:00"/>
    <d v="1899-12-30T18:02:00"/>
    <s v="Credit card"/>
    <n v="457.17"/>
    <n v="4.7619047620000003"/>
    <n v="22.858499999999999"/>
    <n v="4.2"/>
    <d v="2019-03-05T00:00:00"/>
    <x v="1"/>
    <x v="3"/>
    <x v="0"/>
    <x v="5"/>
  </r>
  <r>
    <s v="875-31-8302"/>
    <x v="2"/>
    <s v="Mandalay"/>
    <s v="Normal"/>
    <s v="Male"/>
    <x v="3"/>
    <n v="93.38"/>
    <n v="1"/>
    <n v="4.6689999999999996"/>
    <n v="98.049000000000007"/>
    <d v="2019-03-01T00:00:00"/>
    <d v="1899-12-30T13:07:00"/>
    <s v="Cash"/>
    <n v="93.38"/>
    <n v="4.7619047620000003"/>
    <n v="4.6689999999999996"/>
    <n v="9.6"/>
    <d v="2019-01-03T00:00:00"/>
    <x v="0"/>
    <x v="0"/>
    <x v="2"/>
    <x v="4"/>
  </r>
  <r>
    <s v="102-06-2002"/>
    <x v="1"/>
    <s v="Naypyitaw"/>
    <s v="Member"/>
    <s v="Male"/>
    <x v="3"/>
    <n v="25.25"/>
    <n v="5"/>
    <n v="6.3125"/>
    <n v="132.5625"/>
    <s v="3/20/2019"/>
    <d v="1899-12-30T17:52:00"/>
    <s v="Cash"/>
    <n v="126.25"/>
    <n v="4.7619047620000003"/>
    <n v="6.3125"/>
    <n v="6.1"/>
    <d v="2019-03-20T00:00:00"/>
    <x v="1"/>
    <x v="6"/>
    <x v="7"/>
    <x v="6"/>
  </r>
  <r>
    <s v="457-94-0464"/>
    <x v="2"/>
    <s v="Mandalay"/>
    <s v="Member"/>
    <s v="Male"/>
    <x v="1"/>
    <n v="87.87"/>
    <n v="9"/>
    <n v="39.541499999999999"/>
    <n v="830.37149999999997"/>
    <s v="1/31/2019"/>
    <d v="1899-12-30T20:32:00"/>
    <s v="Ewallet"/>
    <n v="790.83"/>
    <n v="4.7619047620000003"/>
    <n v="39.541499999999999"/>
    <n v="5.6"/>
    <d v="2019-01-31T00:00:00"/>
    <x v="0"/>
    <x v="2"/>
    <x v="30"/>
    <x v="4"/>
  </r>
  <r>
    <s v="629-42-4133"/>
    <x v="1"/>
    <s v="Naypyitaw"/>
    <s v="Normal"/>
    <s v="Male"/>
    <x v="0"/>
    <n v="21.8"/>
    <n v="8"/>
    <n v="8.7200000000000006"/>
    <n v="183.12"/>
    <s v="2/19/2019"/>
    <d v="1899-12-30T19:24:00"/>
    <s v="Cash"/>
    <n v="174.4"/>
    <n v="4.7619047620000003"/>
    <n v="8.7200000000000006"/>
    <n v="8.3000000000000007"/>
    <d v="2019-02-19T00:00:00"/>
    <x v="2"/>
    <x v="8"/>
    <x v="24"/>
    <x v="5"/>
  </r>
  <r>
    <s v="534-53-3526"/>
    <x v="0"/>
    <s v="Yangon"/>
    <s v="Normal"/>
    <s v="Female"/>
    <x v="3"/>
    <n v="94.76"/>
    <n v="4"/>
    <n v="18.952000000000002"/>
    <n v="397.99200000000002"/>
    <d v="2019-11-02T00:00:00"/>
    <d v="1899-12-30T16:06:00"/>
    <s v="Ewallet"/>
    <n v="379.04"/>
    <n v="4.7619047620000003"/>
    <n v="18.952000000000002"/>
    <n v="7.8"/>
    <d v="2019-02-11T00:00:00"/>
    <x v="2"/>
    <x v="7"/>
    <x v="14"/>
    <x v="3"/>
  </r>
  <r>
    <s v="307-04-2070"/>
    <x v="0"/>
    <s v="Yangon"/>
    <s v="Member"/>
    <s v="Female"/>
    <x v="5"/>
    <n v="30.62"/>
    <n v="1"/>
    <n v="1.5309999999999999"/>
    <n v="32.151000000000003"/>
    <d v="2019-05-02T00:00:00"/>
    <d v="1899-12-30T14:14:00"/>
    <s v="Credit card"/>
    <n v="30.62"/>
    <n v="4.7619047620000003"/>
    <n v="1.5309999999999999"/>
    <n v="4.0999999999999996"/>
    <d v="2019-02-05T00:00:00"/>
    <x v="2"/>
    <x v="4"/>
    <x v="0"/>
    <x v="5"/>
  </r>
  <r>
    <s v="468-99-7231"/>
    <x v="1"/>
    <s v="Naypyitaw"/>
    <s v="Normal"/>
    <s v="Female"/>
    <x v="2"/>
    <n v="44.01"/>
    <n v="8"/>
    <n v="17.603999999999999"/>
    <n v="369.68400000000003"/>
    <d v="2019-03-03T00:00:00"/>
    <d v="1899-12-30T17:36:00"/>
    <s v="Cash"/>
    <n v="352.08"/>
    <n v="4.7619047620000003"/>
    <n v="17.603999999999999"/>
    <n v="8.8000000000000007"/>
    <d v="2019-03-03T00:00:00"/>
    <x v="1"/>
    <x v="6"/>
    <x v="2"/>
    <x v="2"/>
  </r>
  <r>
    <s v="516-77-6464"/>
    <x v="1"/>
    <s v="Naypyitaw"/>
    <s v="Member"/>
    <s v="Female"/>
    <x v="0"/>
    <n v="10.16"/>
    <n v="5"/>
    <n v="2.54"/>
    <n v="53.34"/>
    <s v="2/24/2019"/>
    <d v="1899-12-30T13:08:00"/>
    <s v="Ewallet"/>
    <n v="50.8"/>
    <n v="4.7619047620000003"/>
    <n v="2.54"/>
    <n v="4.0999999999999996"/>
    <d v="2019-02-24T00:00:00"/>
    <x v="2"/>
    <x v="0"/>
    <x v="5"/>
    <x v="2"/>
  </r>
  <r>
    <s v="404-91-5964"/>
    <x v="0"/>
    <s v="Yangon"/>
    <s v="Normal"/>
    <s v="Male"/>
    <x v="1"/>
    <n v="74.58"/>
    <n v="7"/>
    <n v="26.103000000000002"/>
    <n v="548.16300000000001"/>
    <d v="2019-04-02T00:00:00"/>
    <d v="1899-12-30T16:09:00"/>
    <s v="Credit card"/>
    <n v="522.05999999999995"/>
    <n v="4.7619047620000003"/>
    <n v="26.103000000000002"/>
    <n v="9"/>
    <d v="2019-02-04T00:00:00"/>
    <x v="2"/>
    <x v="7"/>
    <x v="22"/>
    <x v="3"/>
  </r>
  <r>
    <s v="886-77-9084"/>
    <x v="1"/>
    <s v="Naypyitaw"/>
    <s v="Normal"/>
    <s v="Male"/>
    <x v="1"/>
    <n v="71.89"/>
    <n v="8"/>
    <n v="28.756"/>
    <n v="603.87599999999998"/>
    <s v="2/19/2019"/>
    <d v="1899-12-30T11:33:00"/>
    <s v="Ewallet"/>
    <n v="575.12"/>
    <n v="4.7619047620000003"/>
    <n v="28.756"/>
    <n v="5.5"/>
    <d v="2019-02-19T00:00:00"/>
    <x v="2"/>
    <x v="5"/>
    <x v="24"/>
    <x v="5"/>
  </r>
  <r>
    <s v="790-38-4466"/>
    <x v="1"/>
    <s v="Naypyitaw"/>
    <s v="Normal"/>
    <s v="Female"/>
    <x v="0"/>
    <n v="10.99"/>
    <n v="5"/>
    <n v="2.7475000000000001"/>
    <n v="57.697499999999998"/>
    <s v="1/23/2019"/>
    <d v="1899-12-30T10:18:00"/>
    <s v="Credit card"/>
    <n v="54.95"/>
    <n v="4.7619047620000003"/>
    <n v="2.7475000000000001"/>
    <n v="9.3000000000000007"/>
    <d v="2019-01-23T00:00:00"/>
    <x v="0"/>
    <x v="1"/>
    <x v="21"/>
    <x v="6"/>
  </r>
  <r>
    <s v="704-10-4056"/>
    <x v="1"/>
    <s v="Naypyitaw"/>
    <s v="Member"/>
    <s v="Male"/>
    <x v="0"/>
    <n v="60.47"/>
    <n v="3"/>
    <n v="9.0704999999999991"/>
    <n v="190.48050000000001"/>
    <s v="1/14/2019"/>
    <d v="1899-12-30T10:55:00"/>
    <s v="Credit card"/>
    <n v="181.41"/>
    <n v="4.7619047620000003"/>
    <n v="9.0704999999999991"/>
    <n v="5.6"/>
    <d v="2019-01-14T00:00:00"/>
    <x v="0"/>
    <x v="1"/>
    <x v="25"/>
    <x v="3"/>
  </r>
  <r>
    <s v="497-37-6538"/>
    <x v="0"/>
    <s v="Yangon"/>
    <s v="Normal"/>
    <s v="Male"/>
    <x v="3"/>
    <n v="58.91"/>
    <n v="7"/>
    <n v="20.618500000000001"/>
    <n v="432.98849999999999"/>
    <s v="1/17/2019"/>
    <d v="1899-12-30T15:15:00"/>
    <s v="Ewallet"/>
    <n v="412.37"/>
    <n v="4.7619047620000003"/>
    <n v="20.618500000000001"/>
    <n v="9.6999999999999993"/>
    <d v="2019-01-17T00:00:00"/>
    <x v="0"/>
    <x v="9"/>
    <x v="17"/>
    <x v="4"/>
  </r>
  <r>
    <s v="651-96-5970"/>
    <x v="0"/>
    <s v="Yangon"/>
    <s v="Normal"/>
    <s v="Male"/>
    <x v="5"/>
    <n v="46.41"/>
    <n v="1"/>
    <n v="2.3205"/>
    <n v="48.730499999999999"/>
    <d v="2019-03-03T00:00:00"/>
    <d v="1899-12-30T20:06:00"/>
    <s v="Credit card"/>
    <n v="46.41"/>
    <n v="4.7619047620000003"/>
    <n v="2.3205"/>
    <n v="4"/>
    <d v="2019-03-03T00:00:00"/>
    <x v="1"/>
    <x v="2"/>
    <x v="2"/>
    <x v="2"/>
  </r>
  <r>
    <s v="400-80-4065"/>
    <x v="1"/>
    <s v="Naypyitaw"/>
    <s v="Member"/>
    <s v="Male"/>
    <x v="0"/>
    <n v="68.55"/>
    <n v="4"/>
    <n v="13.71"/>
    <n v="287.91000000000003"/>
    <s v="2/15/2019"/>
    <d v="1899-12-30T20:21:00"/>
    <s v="Credit card"/>
    <n v="274.2"/>
    <n v="4.7619047620000003"/>
    <n v="13.71"/>
    <n v="9.1999999999999993"/>
    <d v="2019-02-15T00:00:00"/>
    <x v="2"/>
    <x v="2"/>
    <x v="13"/>
    <x v="1"/>
  </r>
  <r>
    <s v="744-16-7898"/>
    <x v="2"/>
    <s v="Mandalay"/>
    <s v="Normal"/>
    <s v="Female"/>
    <x v="2"/>
    <n v="97.37"/>
    <n v="10"/>
    <n v="48.685000000000002"/>
    <n v="1022.385"/>
    <s v="1/15/2019"/>
    <d v="1899-12-30T13:48:00"/>
    <s v="Credit card"/>
    <n v="973.7"/>
    <n v="4.7619047620000003"/>
    <n v="48.685000000000002"/>
    <n v="4.9000000000000004"/>
    <d v="2019-01-15T00:00:00"/>
    <x v="0"/>
    <x v="0"/>
    <x v="13"/>
    <x v="5"/>
  </r>
  <r>
    <s v="263-12-5321"/>
    <x v="0"/>
    <s v="Yangon"/>
    <s v="Member"/>
    <s v="Male"/>
    <x v="1"/>
    <n v="92.6"/>
    <n v="7"/>
    <n v="32.409999999999997"/>
    <n v="680.61"/>
    <s v="2/27/2019"/>
    <d v="1899-12-30T12:52:00"/>
    <s v="Credit card"/>
    <n v="648.20000000000005"/>
    <n v="4.7619047620000003"/>
    <n v="32.409999999999997"/>
    <n v="9.3000000000000007"/>
    <d v="2019-02-27T00:00:00"/>
    <x v="2"/>
    <x v="10"/>
    <x v="3"/>
    <x v="6"/>
  </r>
  <r>
    <s v="702-72-0487"/>
    <x v="0"/>
    <s v="Yangon"/>
    <s v="Normal"/>
    <s v="Female"/>
    <x v="1"/>
    <n v="46.61"/>
    <n v="2"/>
    <n v="4.6609999999999996"/>
    <n v="97.881"/>
    <s v="2/26/2019"/>
    <d v="1899-12-30T12:28:00"/>
    <s v="Credit card"/>
    <n v="93.22"/>
    <n v="4.7619047620000003"/>
    <n v="4.6609999999999996"/>
    <n v="6.6"/>
    <d v="2019-02-26T00:00:00"/>
    <x v="2"/>
    <x v="10"/>
    <x v="27"/>
    <x v="5"/>
  </r>
  <r>
    <s v="605-83-1050"/>
    <x v="2"/>
    <s v="Mandalay"/>
    <s v="Normal"/>
    <s v="Male"/>
    <x v="5"/>
    <n v="27.18"/>
    <n v="2"/>
    <n v="2.718"/>
    <n v="57.078000000000003"/>
    <s v="3/15/2019"/>
    <d v="1899-12-30T16:26:00"/>
    <s v="Ewallet"/>
    <n v="54.36"/>
    <n v="4.7619047620000003"/>
    <n v="2.718"/>
    <n v="4.3"/>
    <d v="2019-03-15T00:00:00"/>
    <x v="1"/>
    <x v="7"/>
    <x v="13"/>
    <x v="1"/>
  </r>
  <r>
    <s v="443-60-9639"/>
    <x v="1"/>
    <s v="Naypyitaw"/>
    <s v="Member"/>
    <s v="Female"/>
    <x v="2"/>
    <n v="60.87"/>
    <n v="1"/>
    <n v="3.0434999999999999"/>
    <n v="63.913499999999999"/>
    <s v="1/24/2019"/>
    <d v="1899-12-30T13:24:00"/>
    <s v="Cash"/>
    <n v="60.87"/>
    <n v="4.7619047620000003"/>
    <n v="3.0434999999999999"/>
    <n v="5.5"/>
    <d v="2019-01-24T00:00:00"/>
    <x v="0"/>
    <x v="0"/>
    <x v="5"/>
    <x v="4"/>
  </r>
  <r>
    <s v="864-24-7918"/>
    <x v="0"/>
    <s v="Yangon"/>
    <s v="Member"/>
    <s v="Female"/>
    <x v="3"/>
    <n v="24.49"/>
    <n v="10"/>
    <n v="12.244999999999999"/>
    <n v="257.14499999999998"/>
    <s v="2/22/2019"/>
    <d v="1899-12-30T15:15:00"/>
    <s v="Cash"/>
    <n v="244.9"/>
    <n v="4.7619047620000003"/>
    <n v="12.244999999999999"/>
    <n v="8.1"/>
    <d v="2019-02-22T00:00:00"/>
    <x v="2"/>
    <x v="9"/>
    <x v="18"/>
    <x v="1"/>
  </r>
  <r>
    <s v="359-94-5395"/>
    <x v="2"/>
    <s v="Mandalay"/>
    <s v="Normal"/>
    <s v="Male"/>
    <x v="0"/>
    <n v="92.78"/>
    <n v="1"/>
    <n v="4.6390000000000002"/>
    <n v="97.418999999999997"/>
    <s v="3/15/2019"/>
    <d v="1899-12-30T10:50:00"/>
    <s v="Credit card"/>
    <n v="92.78"/>
    <n v="4.7619047620000003"/>
    <n v="4.6390000000000002"/>
    <n v="9.8000000000000007"/>
    <d v="2019-03-15T00:00:00"/>
    <x v="1"/>
    <x v="1"/>
    <x v="13"/>
    <x v="1"/>
  </r>
  <r>
    <s v="401-09-4232"/>
    <x v="1"/>
    <s v="Naypyitaw"/>
    <s v="Member"/>
    <s v="Male"/>
    <x v="2"/>
    <n v="86.69"/>
    <n v="5"/>
    <n v="21.672499999999999"/>
    <n v="455.1225"/>
    <d v="2019-11-02T00:00:00"/>
    <d v="1899-12-30T18:38:00"/>
    <s v="Ewallet"/>
    <n v="433.45"/>
    <n v="4.7619047620000003"/>
    <n v="21.672499999999999"/>
    <n v="9.4"/>
    <d v="2019-02-11T00:00:00"/>
    <x v="2"/>
    <x v="3"/>
    <x v="14"/>
    <x v="3"/>
  </r>
  <r>
    <s v="751-15-6198"/>
    <x v="2"/>
    <s v="Mandalay"/>
    <s v="Normal"/>
    <s v="Male"/>
    <x v="3"/>
    <n v="23.01"/>
    <n v="6"/>
    <n v="6.9029999999999996"/>
    <n v="144.96299999999999"/>
    <d v="2019-12-01T00:00:00"/>
    <d v="1899-12-30T16:45:00"/>
    <s v="Ewallet"/>
    <n v="138.06"/>
    <n v="4.7619047620000003"/>
    <n v="6.9029999999999996"/>
    <n v="7.9"/>
    <d v="2019-01-12T00:00:00"/>
    <x v="0"/>
    <x v="7"/>
    <x v="10"/>
    <x v="0"/>
  </r>
  <r>
    <s v="324-41-6833"/>
    <x v="1"/>
    <s v="Naypyitaw"/>
    <s v="Member"/>
    <s v="Female"/>
    <x v="1"/>
    <n v="30.2"/>
    <n v="8"/>
    <n v="12.08"/>
    <n v="253.68"/>
    <d v="2019-03-03T00:00:00"/>
    <d v="1899-12-30T19:30:00"/>
    <s v="Ewallet"/>
    <n v="241.6"/>
    <n v="4.7619047620000003"/>
    <n v="12.08"/>
    <n v="5.0999999999999996"/>
    <d v="2019-03-03T00:00:00"/>
    <x v="1"/>
    <x v="8"/>
    <x v="2"/>
    <x v="2"/>
  </r>
  <r>
    <s v="474-33-8305"/>
    <x v="1"/>
    <s v="Naypyitaw"/>
    <s v="Member"/>
    <s v="Male"/>
    <x v="5"/>
    <n v="67.39"/>
    <n v="7"/>
    <n v="23.586500000000001"/>
    <n v="495.31650000000002"/>
    <s v="3/23/2019"/>
    <d v="1899-12-30T13:23:00"/>
    <s v="Ewallet"/>
    <n v="471.73"/>
    <n v="4.7619047620000003"/>
    <n v="23.586500000000001"/>
    <n v="6.9"/>
    <d v="2019-03-23T00:00:00"/>
    <x v="1"/>
    <x v="0"/>
    <x v="21"/>
    <x v="0"/>
  </r>
  <r>
    <s v="759-29-9521"/>
    <x v="0"/>
    <s v="Yangon"/>
    <s v="Member"/>
    <s v="Female"/>
    <x v="5"/>
    <n v="48.96"/>
    <n v="9"/>
    <n v="22.032"/>
    <n v="462.67200000000003"/>
    <d v="2019-04-03T00:00:00"/>
    <d v="1899-12-30T11:27:00"/>
    <s v="Cash"/>
    <n v="440.64"/>
    <n v="4.7619047620000003"/>
    <n v="22.032"/>
    <n v="8"/>
    <d v="2019-03-04T00:00:00"/>
    <x v="1"/>
    <x v="5"/>
    <x v="22"/>
    <x v="3"/>
  </r>
  <r>
    <s v="831-81-6575"/>
    <x v="2"/>
    <s v="Mandalay"/>
    <s v="Member"/>
    <s v="Female"/>
    <x v="1"/>
    <n v="75.59"/>
    <n v="9"/>
    <n v="34.015500000000003"/>
    <n v="714.32550000000003"/>
    <s v="2/23/2019"/>
    <d v="1899-12-30T11:12:00"/>
    <s v="Cash"/>
    <n v="680.31"/>
    <n v="4.7619047620000003"/>
    <n v="34.015500000000003"/>
    <n v="8"/>
    <d v="2019-02-23T00:00:00"/>
    <x v="2"/>
    <x v="5"/>
    <x v="21"/>
    <x v="0"/>
  </r>
  <r>
    <s v="220-68-6701"/>
    <x v="0"/>
    <s v="Yangon"/>
    <s v="Normal"/>
    <s v="Female"/>
    <x v="2"/>
    <n v="77.47"/>
    <n v="4"/>
    <n v="15.494"/>
    <n v="325.37400000000002"/>
    <s v="3/17/2019"/>
    <d v="1899-12-30T16:36:00"/>
    <s v="Cash"/>
    <n v="309.88"/>
    <n v="4.7619047620000003"/>
    <n v="15.494"/>
    <n v="4.2"/>
    <d v="2019-03-17T00:00:00"/>
    <x v="1"/>
    <x v="7"/>
    <x v="17"/>
    <x v="2"/>
  </r>
  <r>
    <s v="618-34-8551"/>
    <x v="0"/>
    <s v="Yangon"/>
    <s v="Normal"/>
    <s v="Female"/>
    <x v="3"/>
    <n v="93.18"/>
    <n v="2"/>
    <n v="9.3179999999999996"/>
    <n v="195.678"/>
    <s v="1/16/2019"/>
    <d v="1899-12-30T18:41:00"/>
    <s v="Credit card"/>
    <n v="186.36"/>
    <n v="4.7619047620000003"/>
    <n v="9.3179999999999996"/>
    <n v="8.5"/>
    <d v="2019-01-16T00:00:00"/>
    <x v="0"/>
    <x v="3"/>
    <x v="23"/>
    <x v="6"/>
  </r>
  <r>
    <s v="257-60-7754"/>
    <x v="0"/>
    <s v="Yangon"/>
    <s v="Normal"/>
    <s v="Female"/>
    <x v="1"/>
    <n v="50.23"/>
    <n v="4"/>
    <n v="10.045999999999999"/>
    <n v="210.96600000000001"/>
    <d v="2019-08-01T00:00:00"/>
    <d v="1899-12-30T17:12:00"/>
    <s v="Cash"/>
    <n v="200.92"/>
    <n v="4.7619047620000003"/>
    <n v="10.045999999999999"/>
    <n v="9"/>
    <d v="2019-01-08T00:00:00"/>
    <x v="0"/>
    <x v="6"/>
    <x v="1"/>
    <x v="5"/>
  </r>
  <r>
    <s v="559-61-5987"/>
    <x v="2"/>
    <s v="Mandalay"/>
    <s v="Normal"/>
    <s v="Female"/>
    <x v="0"/>
    <n v="17.75"/>
    <n v="1"/>
    <n v="0.88749999999999996"/>
    <n v="18.637499999999999"/>
    <s v="1/14/2019"/>
    <d v="1899-12-30T10:38:00"/>
    <s v="Cash"/>
    <n v="17.75"/>
    <n v="4.7619047620000003"/>
    <n v="0.88749999999999996"/>
    <n v="8.6"/>
    <d v="2019-01-14T00:00:00"/>
    <x v="0"/>
    <x v="1"/>
    <x v="25"/>
    <x v="3"/>
  </r>
  <r>
    <s v="189-55-2313"/>
    <x v="1"/>
    <s v="Naypyitaw"/>
    <s v="Normal"/>
    <s v="Female"/>
    <x v="5"/>
    <n v="62.18"/>
    <n v="10"/>
    <n v="31.09"/>
    <n v="652.89"/>
    <s v="1/31/2019"/>
    <d v="1899-12-30T10:33:00"/>
    <s v="Ewallet"/>
    <n v="621.79999999999995"/>
    <n v="4.7619047620000003"/>
    <n v="31.09"/>
    <n v="6"/>
    <d v="2019-01-31T00:00:00"/>
    <x v="0"/>
    <x v="1"/>
    <x v="30"/>
    <x v="4"/>
  </r>
  <r>
    <s v="565-91-4567"/>
    <x v="2"/>
    <s v="Mandalay"/>
    <s v="Normal"/>
    <s v="Male"/>
    <x v="0"/>
    <n v="10.75"/>
    <n v="8"/>
    <n v="4.3"/>
    <n v="90.3"/>
    <s v="3/15/2019"/>
    <d v="1899-12-30T14:38:00"/>
    <s v="Ewallet"/>
    <n v="86"/>
    <n v="4.7619047620000003"/>
    <n v="4.3"/>
    <n v="6.2"/>
    <d v="2019-03-15T00:00:00"/>
    <x v="1"/>
    <x v="4"/>
    <x v="13"/>
    <x v="1"/>
  </r>
  <r>
    <s v="380-60-5336"/>
    <x v="0"/>
    <s v="Yangon"/>
    <s v="Normal"/>
    <s v="Female"/>
    <x v="1"/>
    <n v="40.26"/>
    <n v="10"/>
    <n v="20.13"/>
    <n v="422.73"/>
    <s v="2/24/2019"/>
    <d v="1899-12-30T18:06:00"/>
    <s v="Credit card"/>
    <n v="402.6"/>
    <n v="4.7619047620000003"/>
    <n v="20.13"/>
    <n v="5"/>
    <d v="2019-02-24T00:00:00"/>
    <x v="2"/>
    <x v="3"/>
    <x v="5"/>
    <x v="2"/>
  </r>
  <r>
    <s v="815-04-6282"/>
    <x v="1"/>
    <s v="Naypyitaw"/>
    <s v="Member"/>
    <s v="Female"/>
    <x v="3"/>
    <n v="64.97"/>
    <n v="5"/>
    <n v="16.2425"/>
    <n v="341.09249999999997"/>
    <d v="2019-08-02T00:00:00"/>
    <d v="1899-12-30T12:52:00"/>
    <s v="Credit card"/>
    <n v="324.85000000000002"/>
    <n v="4.7619047620000003"/>
    <n v="16.2425"/>
    <n v="6.5"/>
    <d v="2019-02-08T00:00:00"/>
    <x v="2"/>
    <x v="10"/>
    <x v="1"/>
    <x v="1"/>
  </r>
  <r>
    <s v="674-56-6360"/>
    <x v="0"/>
    <s v="Yangon"/>
    <s v="Normal"/>
    <s v="Male"/>
    <x v="1"/>
    <n v="95.15"/>
    <n v="1"/>
    <n v="4.7575000000000003"/>
    <n v="99.907499999999999"/>
    <s v="3/22/2019"/>
    <d v="1899-12-30T14:00:00"/>
    <s v="Cash"/>
    <n v="95.15"/>
    <n v="4.7619047620000003"/>
    <n v="4.7575000000000003"/>
    <n v="6"/>
    <d v="2019-03-22T00:00:00"/>
    <x v="1"/>
    <x v="4"/>
    <x v="18"/>
    <x v="1"/>
  </r>
  <r>
    <s v="778-34-2523"/>
    <x v="0"/>
    <s v="Yangon"/>
    <s v="Member"/>
    <s v="Female"/>
    <x v="1"/>
    <n v="48.62"/>
    <n v="8"/>
    <n v="19.448"/>
    <n v="408.40800000000002"/>
    <s v="1/24/2019"/>
    <d v="1899-12-30T10:57:00"/>
    <s v="Cash"/>
    <n v="388.96"/>
    <n v="4.7619047620000003"/>
    <n v="19.448"/>
    <n v="5"/>
    <d v="2019-01-24T00:00:00"/>
    <x v="0"/>
    <x v="1"/>
    <x v="5"/>
    <x v="4"/>
  </r>
  <r>
    <s v="499-27-7781"/>
    <x v="2"/>
    <s v="Mandalay"/>
    <s v="Normal"/>
    <s v="Female"/>
    <x v="4"/>
    <n v="53.21"/>
    <n v="8"/>
    <n v="21.283999999999999"/>
    <n v="446.964"/>
    <s v="3/14/2019"/>
    <d v="1899-12-30T16:45:00"/>
    <s v="Ewallet"/>
    <n v="425.68"/>
    <n v="4.7619047620000003"/>
    <n v="21.283999999999999"/>
    <n v="5"/>
    <d v="2019-03-14T00:00:00"/>
    <x v="1"/>
    <x v="7"/>
    <x v="25"/>
    <x v="4"/>
  </r>
  <r>
    <s v="477-59-2456"/>
    <x v="1"/>
    <s v="Naypyitaw"/>
    <s v="Normal"/>
    <s v="Female"/>
    <x v="5"/>
    <n v="45.44"/>
    <n v="7"/>
    <n v="15.904"/>
    <n v="333.98399999999998"/>
    <s v="1/23/2019"/>
    <d v="1899-12-30T11:15:00"/>
    <s v="Cash"/>
    <n v="318.08"/>
    <n v="4.7619047620000003"/>
    <n v="15.904"/>
    <n v="9.1999999999999993"/>
    <d v="2019-01-23T00:00:00"/>
    <x v="0"/>
    <x v="5"/>
    <x v="21"/>
    <x v="6"/>
  </r>
  <r>
    <s v="832-51-6761"/>
    <x v="0"/>
    <s v="Yangon"/>
    <s v="Normal"/>
    <s v="Male"/>
    <x v="4"/>
    <n v="33.880000000000003"/>
    <n v="8"/>
    <n v="13.552"/>
    <n v="284.59199999999998"/>
    <s v="1/19/2019"/>
    <d v="1899-12-30T20:29:00"/>
    <s v="Ewallet"/>
    <n v="271.04000000000002"/>
    <n v="4.7619047620000003"/>
    <n v="13.552"/>
    <n v="9.6"/>
    <d v="2019-01-19T00:00:00"/>
    <x v="0"/>
    <x v="2"/>
    <x v="24"/>
    <x v="0"/>
  </r>
  <r>
    <s v="869-11-3082"/>
    <x v="2"/>
    <s v="Mandalay"/>
    <s v="Member"/>
    <s v="Male"/>
    <x v="0"/>
    <n v="96.16"/>
    <n v="4"/>
    <n v="19.231999999999999"/>
    <n v="403.87200000000001"/>
    <s v="1/27/2019"/>
    <d v="1899-12-30T20:03:00"/>
    <s v="Credit card"/>
    <n v="384.64"/>
    <n v="4.7619047620000003"/>
    <n v="19.231999999999999"/>
    <n v="8.4"/>
    <d v="2019-01-27T00:00:00"/>
    <x v="0"/>
    <x v="2"/>
    <x v="3"/>
    <x v="2"/>
  </r>
  <r>
    <s v="190-59-3964"/>
    <x v="2"/>
    <s v="Mandalay"/>
    <s v="Member"/>
    <s v="Male"/>
    <x v="4"/>
    <n v="47.16"/>
    <n v="5"/>
    <n v="11.79"/>
    <n v="247.59"/>
    <d v="2019-03-02T00:00:00"/>
    <d v="1899-12-30T14:35:00"/>
    <s v="Credit card"/>
    <n v="235.8"/>
    <n v="4.7619047620000003"/>
    <n v="11.79"/>
    <n v="6"/>
    <d v="2019-02-03T00:00:00"/>
    <x v="2"/>
    <x v="4"/>
    <x v="2"/>
    <x v="2"/>
  </r>
  <r>
    <s v="366-43-6862"/>
    <x v="2"/>
    <s v="Mandalay"/>
    <s v="Normal"/>
    <s v="Male"/>
    <x v="1"/>
    <n v="52.89"/>
    <n v="4"/>
    <n v="10.577999999999999"/>
    <n v="222.13800000000001"/>
    <s v="3/25/2019"/>
    <d v="1899-12-30T16:32:00"/>
    <s v="Ewallet"/>
    <n v="211.56"/>
    <n v="4.7619047620000003"/>
    <n v="10.577999999999999"/>
    <n v="6.7"/>
    <d v="2019-03-25T00:00:00"/>
    <x v="1"/>
    <x v="7"/>
    <x v="4"/>
    <x v="3"/>
  </r>
  <r>
    <s v="186-43-8965"/>
    <x v="0"/>
    <s v="Yangon"/>
    <s v="Member"/>
    <s v="Female"/>
    <x v="2"/>
    <n v="47.68"/>
    <n v="2"/>
    <n v="4.7679999999999998"/>
    <n v="100.128"/>
    <s v="2/24/2019"/>
    <d v="1899-12-30T10:10:00"/>
    <s v="Credit card"/>
    <n v="95.36"/>
    <n v="4.7619047620000003"/>
    <n v="4.7679999999999998"/>
    <n v="4.0999999999999996"/>
    <d v="2019-02-24T00:00:00"/>
    <x v="2"/>
    <x v="1"/>
    <x v="5"/>
    <x v="2"/>
  </r>
  <r>
    <s v="784-21-9238"/>
    <x v="1"/>
    <s v="Naypyitaw"/>
    <s v="Member"/>
    <s v="Male"/>
    <x v="3"/>
    <n v="10.17"/>
    <n v="1"/>
    <n v="0.50849999999999995"/>
    <n v="10.6785"/>
    <d v="2019-07-02T00:00:00"/>
    <d v="1899-12-30T14:15:00"/>
    <s v="Cash"/>
    <n v="10.17"/>
    <n v="4.7619047620000003"/>
    <n v="0.50849999999999995"/>
    <n v="5.9"/>
    <d v="2019-02-07T00:00:00"/>
    <x v="2"/>
    <x v="4"/>
    <x v="11"/>
    <x v="4"/>
  </r>
  <r>
    <s v="276-75-6884"/>
    <x v="0"/>
    <s v="Yangon"/>
    <s v="Normal"/>
    <s v="Female"/>
    <x v="0"/>
    <n v="68.709999999999994"/>
    <n v="3"/>
    <n v="10.3065"/>
    <n v="216.4365"/>
    <d v="2019-04-03T00:00:00"/>
    <d v="1899-12-30T10:05:00"/>
    <s v="Cash"/>
    <n v="206.13"/>
    <n v="4.7619047620000003"/>
    <n v="10.3065"/>
    <n v="8.6999999999999993"/>
    <d v="2019-03-04T00:00:00"/>
    <x v="1"/>
    <x v="1"/>
    <x v="22"/>
    <x v="3"/>
  </r>
  <r>
    <s v="109-86-4363"/>
    <x v="2"/>
    <s v="Mandalay"/>
    <s v="Member"/>
    <s v="Female"/>
    <x v="3"/>
    <n v="60.08"/>
    <n v="7"/>
    <n v="21.027999999999999"/>
    <n v="441.58800000000002"/>
    <s v="2/14/2019"/>
    <d v="1899-12-30T11:36:00"/>
    <s v="Credit card"/>
    <n v="420.56"/>
    <n v="4.7619047620000003"/>
    <n v="21.027999999999999"/>
    <n v="4.5"/>
    <d v="2019-02-14T00:00:00"/>
    <x v="2"/>
    <x v="5"/>
    <x v="25"/>
    <x v="4"/>
  </r>
  <r>
    <s v="569-76-2760"/>
    <x v="0"/>
    <s v="Yangon"/>
    <s v="Member"/>
    <s v="Female"/>
    <x v="3"/>
    <n v="22.01"/>
    <n v="4"/>
    <n v="4.4020000000000001"/>
    <n v="92.441999999999993"/>
    <s v="1/29/2019"/>
    <d v="1899-12-30T18:15:00"/>
    <s v="Credit card"/>
    <n v="88.04"/>
    <n v="4.7619047620000003"/>
    <n v="4.4020000000000001"/>
    <n v="6.6"/>
    <d v="2019-01-29T00:00:00"/>
    <x v="0"/>
    <x v="3"/>
    <x v="12"/>
    <x v="5"/>
  </r>
  <r>
    <s v="222-42-0244"/>
    <x v="2"/>
    <s v="Mandalay"/>
    <s v="Member"/>
    <s v="Female"/>
    <x v="0"/>
    <n v="72.11"/>
    <n v="9"/>
    <n v="32.4495"/>
    <n v="681.43949999999995"/>
    <s v="1/28/2019"/>
    <d v="1899-12-30T13:53:00"/>
    <s v="Credit card"/>
    <n v="648.99"/>
    <n v="4.7619047620000003"/>
    <n v="32.4495"/>
    <n v="7.7"/>
    <d v="2019-01-28T00:00:00"/>
    <x v="0"/>
    <x v="0"/>
    <x v="19"/>
    <x v="3"/>
  </r>
  <r>
    <s v="760-53-9233"/>
    <x v="0"/>
    <s v="Yangon"/>
    <s v="Member"/>
    <s v="Male"/>
    <x v="5"/>
    <n v="41.28"/>
    <n v="3"/>
    <n v="6.1920000000000002"/>
    <n v="130.03200000000001"/>
    <s v="3/26/2019"/>
    <d v="1899-12-30T18:37:00"/>
    <s v="Credit card"/>
    <n v="123.84"/>
    <n v="4.7619047620000003"/>
    <n v="6.1920000000000002"/>
    <n v="8.5"/>
    <d v="2019-03-26T00:00:00"/>
    <x v="1"/>
    <x v="3"/>
    <x v="27"/>
    <x v="5"/>
  </r>
  <r>
    <s v="538-22-0304"/>
    <x v="1"/>
    <s v="Naypyitaw"/>
    <s v="Normal"/>
    <s v="Male"/>
    <x v="1"/>
    <n v="64.95"/>
    <n v="10"/>
    <n v="32.475000000000001"/>
    <n v="681.97500000000002"/>
    <s v="3/24/2019"/>
    <d v="1899-12-30T18:27:00"/>
    <s v="Cash"/>
    <n v="649.5"/>
    <n v="4.7619047620000003"/>
    <n v="32.475000000000001"/>
    <n v="5.2"/>
    <d v="2019-03-24T00:00:00"/>
    <x v="1"/>
    <x v="3"/>
    <x v="5"/>
    <x v="2"/>
  </r>
  <r>
    <s v="416-17-9926"/>
    <x v="0"/>
    <s v="Yangon"/>
    <s v="Member"/>
    <s v="Female"/>
    <x v="1"/>
    <n v="74.22"/>
    <n v="10"/>
    <n v="37.11"/>
    <n v="779.31"/>
    <d v="2019-01-01T00:00:00"/>
    <d v="1899-12-30T14:42:00"/>
    <s v="Credit card"/>
    <n v="742.2"/>
    <n v="4.7619047620000003"/>
    <n v="37.11"/>
    <n v="4.3"/>
    <d v="2019-01-01T00:00:00"/>
    <x v="0"/>
    <x v="4"/>
    <x v="15"/>
    <x v="5"/>
  </r>
  <r>
    <s v="237-44-6163"/>
    <x v="0"/>
    <s v="Yangon"/>
    <s v="Normal"/>
    <s v="Male"/>
    <x v="1"/>
    <n v="10.56"/>
    <n v="8"/>
    <n v="4.2240000000000002"/>
    <n v="88.703999999999994"/>
    <s v="1/24/2019"/>
    <d v="1899-12-30T17:43:00"/>
    <s v="Cash"/>
    <n v="84.48"/>
    <n v="4.7619047620000003"/>
    <n v="4.2240000000000002"/>
    <n v="7.6"/>
    <d v="2019-01-24T00:00:00"/>
    <x v="0"/>
    <x v="6"/>
    <x v="5"/>
    <x v="4"/>
  </r>
  <r>
    <s v="636-17-0325"/>
    <x v="2"/>
    <s v="Mandalay"/>
    <s v="Normal"/>
    <s v="Male"/>
    <x v="0"/>
    <n v="62.57"/>
    <n v="4"/>
    <n v="12.513999999999999"/>
    <n v="262.79399999999998"/>
    <s v="2/25/2019"/>
    <d v="1899-12-30T18:37:00"/>
    <s v="Cash"/>
    <n v="250.28"/>
    <n v="4.7619047620000003"/>
    <n v="12.513999999999999"/>
    <n v="9.5"/>
    <d v="2019-02-25T00:00:00"/>
    <x v="2"/>
    <x v="3"/>
    <x v="4"/>
    <x v="3"/>
  </r>
  <r>
    <s v="343-75-9322"/>
    <x v="2"/>
    <s v="Mandalay"/>
    <s v="Member"/>
    <s v="Female"/>
    <x v="3"/>
    <n v="11.85"/>
    <n v="8"/>
    <n v="4.74"/>
    <n v="99.54"/>
    <d v="2019-09-01T00:00:00"/>
    <d v="1899-12-30T16:34:00"/>
    <s v="Cash"/>
    <n v="94.8"/>
    <n v="4.7619047620000003"/>
    <n v="4.74"/>
    <n v="4.0999999999999996"/>
    <d v="2019-01-09T00:00:00"/>
    <x v="0"/>
    <x v="7"/>
    <x v="9"/>
    <x v="6"/>
  </r>
  <r>
    <s v="528-14-9470"/>
    <x v="0"/>
    <s v="Yangon"/>
    <s v="Member"/>
    <s v="Male"/>
    <x v="0"/>
    <n v="91.3"/>
    <n v="1"/>
    <n v="4.5650000000000004"/>
    <n v="95.864999999999995"/>
    <s v="2/14/2019"/>
    <d v="1899-12-30T14:42:00"/>
    <s v="Ewallet"/>
    <n v="91.3"/>
    <n v="4.7619047620000003"/>
    <n v="4.5650000000000004"/>
    <n v="9.1999999999999993"/>
    <d v="2019-02-14T00:00:00"/>
    <x v="2"/>
    <x v="4"/>
    <x v="25"/>
    <x v="4"/>
  </r>
  <r>
    <s v="427-45-9297"/>
    <x v="2"/>
    <s v="Mandalay"/>
    <s v="Member"/>
    <s v="Female"/>
    <x v="2"/>
    <n v="40.729999999999997"/>
    <n v="7"/>
    <n v="14.2555"/>
    <n v="299.3655"/>
    <d v="2019-12-03T00:00:00"/>
    <d v="1899-12-30T11:01:00"/>
    <s v="Ewallet"/>
    <n v="285.11"/>
    <n v="4.7619047620000003"/>
    <n v="14.2555"/>
    <n v="5.4"/>
    <d v="2019-03-12T00:00:00"/>
    <x v="1"/>
    <x v="5"/>
    <x v="10"/>
    <x v="5"/>
  </r>
  <r>
    <s v="807-34-3742"/>
    <x v="0"/>
    <s v="Yangon"/>
    <s v="Normal"/>
    <s v="Male"/>
    <x v="5"/>
    <n v="52.38"/>
    <n v="1"/>
    <n v="2.6190000000000002"/>
    <n v="54.999000000000002"/>
    <s v="3/26/2019"/>
    <d v="1899-12-30T19:44:00"/>
    <s v="Cash"/>
    <n v="52.38"/>
    <n v="4.7619047620000003"/>
    <n v="2.6190000000000002"/>
    <n v="5.8"/>
    <d v="2019-03-26T00:00:00"/>
    <x v="1"/>
    <x v="8"/>
    <x v="27"/>
    <x v="5"/>
  </r>
  <r>
    <s v="288-62-1085"/>
    <x v="0"/>
    <s v="Yangon"/>
    <s v="Member"/>
    <s v="Male"/>
    <x v="5"/>
    <n v="38.54"/>
    <n v="5"/>
    <n v="9.6349999999999998"/>
    <n v="202.33500000000001"/>
    <d v="2019-09-01T00:00:00"/>
    <d v="1899-12-30T13:34:00"/>
    <s v="Ewallet"/>
    <n v="192.7"/>
    <n v="4.7619047620000003"/>
    <n v="9.6349999999999998"/>
    <n v="5.6"/>
    <d v="2019-01-09T00:00:00"/>
    <x v="0"/>
    <x v="0"/>
    <x v="9"/>
    <x v="6"/>
  </r>
  <r>
    <s v="670-71-7306"/>
    <x v="2"/>
    <s v="Mandalay"/>
    <s v="Normal"/>
    <s v="Male"/>
    <x v="3"/>
    <n v="44.63"/>
    <n v="6"/>
    <n v="13.388999999999999"/>
    <n v="281.16899999999998"/>
    <d v="2019-02-01T00:00:00"/>
    <d v="1899-12-30T20:08:00"/>
    <s v="Credit card"/>
    <n v="267.77999999999997"/>
    <n v="4.7619047620000003"/>
    <n v="13.388999999999999"/>
    <n v="5.0999999999999996"/>
    <d v="2019-01-02T00:00:00"/>
    <x v="0"/>
    <x v="2"/>
    <x v="8"/>
    <x v="6"/>
  </r>
  <r>
    <s v="660-29-7083"/>
    <x v="1"/>
    <s v="Naypyitaw"/>
    <s v="Normal"/>
    <s v="Male"/>
    <x v="1"/>
    <n v="55.87"/>
    <n v="10"/>
    <n v="27.934999999999999"/>
    <n v="586.63499999999999"/>
    <s v="1/15/2019"/>
    <d v="1899-12-30T15:01:00"/>
    <s v="Cash"/>
    <n v="558.70000000000005"/>
    <n v="4.7619047620000003"/>
    <n v="27.934999999999999"/>
    <n v="5.8"/>
    <d v="2019-01-15T00:00:00"/>
    <x v="0"/>
    <x v="9"/>
    <x v="13"/>
    <x v="5"/>
  </r>
  <r>
    <s v="271-77-8740"/>
    <x v="1"/>
    <s v="Naypyitaw"/>
    <s v="Member"/>
    <s v="Female"/>
    <x v="3"/>
    <n v="29.22"/>
    <n v="6"/>
    <n v="8.766"/>
    <n v="184.08600000000001"/>
    <d v="2019-01-01T00:00:00"/>
    <d v="1899-12-30T11:40:00"/>
    <s v="Ewallet"/>
    <n v="175.32"/>
    <n v="4.7619047620000003"/>
    <n v="8.766"/>
    <n v="5"/>
    <d v="2019-01-01T00:00:00"/>
    <x v="0"/>
    <x v="5"/>
    <x v="15"/>
    <x v="5"/>
  </r>
  <r>
    <s v="497-36-0989"/>
    <x v="0"/>
    <s v="Yangon"/>
    <s v="Normal"/>
    <s v="Male"/>
    <x v="5"/>
    <n v="51.94"/>
    <n v="3"/>
    <n v="7.7910000000000004"/>
    <n v="163.61099999999999"/>
    <s v="2/15/2019"/>
    <d v="1899-12-30T15:21:00"/>
    <s v="Cash"/>
    <n v="155.82"/>
    <n v="4.7619047620000003"/>
    <n v="7.7910000000000004"/>
    <n v="7.9"/>
    <d v="2019-02-15T00:00:00"/>
    <x v="2"/>
    <x v="9"/>
    <x v="13"/>
    <x v="1"/>
  </r>
  <r>
    <s v="291-59-1384"/>
    <x v="2"/>
    <s v="Mandalay"/>
    <s v="Normal"/>
    <s v="Male"/>
    <x v="1"/>
    <n v="60.3"/>
    <n v="1"/>
    <n v="3.0150000000000001"/>
    <n v="63.314999999999998"/>
    <s v="2/28/2019"/>
    <d v="1899-12-30T17:38:00"/>
    <s v="Cash"/>
    <n v="60.3"/>
    <n v="4.7619047620000003"/>
    <n v="3.0150000000000001"/>
    <n v="6"/>
    <d v="2019-02-28T00:00:00"/>
    <x v="2"/>
    <x v="6"/>
    <x v="19"/>
    <x v="4"/>
  </r>
  <r>
    <s v="860-73-6466"/>
    <x v="0"/>
    <s v="Yangon"/>
    <s v="Member"/>
    <s v="Female"/>
    <x v="3"/>
    <n v="39.47"/>
    <n v="2"/>
    <n v="3.9470000000000001"/>
    <n v="82.887"/>
    <d v="2019-02-03T00:00:00"/>
    <d v="1899-12-30T16:16:00"/>
    <s v="Credit card"/>
    <n v="78.94"/>
    <n v="4.7619047620000003"/>
    <n v="3.9470000000000001"/>
    <n v="5"/>
    <d v="2019-03-02T00:00:00"/>
    <x v="1"/>
    <x v="7"/>
    <x v="8"/>
    <x v="0"/>
  </r>
  <r>
    <s v="549-23-9016"/>
    <x v="1"/>
    <s v="Naypyitaw"/>
    <s v="Member"/>
    <s v="Female"/>
    <x v="4"/>
    <n v="14.87"/>
    <n v="2"/>
    <n v="1.4870000000000001"/>
    <n v="31.227"/>
    <s v="2/13/2019"/>
    <d v="1899-12-30T18:15:00"/>
    <s v="Credit card"/>
    <n v="29.74"/>
    <n v="4.7619047620000003"/>
    <n v="1.4870000000000001"/>
    <n v="8.9"/>
    <d v="2019-02-13T00:00:00"/>
    <x v="2"/>
    <x v="3"/>
    <x v="26"/>
    <x v="6"/>
  </r>
  <r>
    <s v="896-34-0956"/>
    <x v="0"/>
    <s v="Yangon"/>
    <s v="Normal"/>
    <s v="Male"/>
    <x v="5"/>
    <n v="21.32"/>
    <n v="1"/>
    <n v="1.0660000000000001"/>
    <n v="22.385999999999999"/>
    <s v="1/26/2019"/>
    <d v="1899-12-30T12:43:00"/>
    <s v="Cash"/>
    <n v="21.32"/>
    <n v="4.7619047620000003"/>
    <n v="1.0660000000000001"/>
    <n v="5.9"/>
    <d v="2019-01-26T00:00:00"/>
    <x v="0"/>
    <x v="10"/>
    <x v="27"/>
    <x v="0"/>
  </r>
  <r>
    <s v="804-38-3935"/>
    <x v="0"/>
    <s v="Yangon"/>
    <s v="Member"/>
    <s v="Male"/>
    <x v="1"/>
    <n v="93.78"/>
    <n v="3"/>
    <n v="14.067"/>
    <n v="295.40699999999998"/>
    <s v="1/30/2019"/>
    <d v="1899-12-30T11:32:00"/>
    <s v="Credit card"/>
    <n v="281.33999999999997"/>
    <n v="4.7619047620000003"/>
    <n v="14.067"/>
    <n v="5.9"/>
    <d v="2019-01-30T00:00:00"/>
    <x v="0"/>
    <x v="5"/>
    <x v="29"/>
    <x v="6"/>
  </r>
  <r>
    <s v="585-90-0249"/>
    <x v="0"/>
    <s v="Yangon"/>
    <s v="Member"/>
    <s v="Male"/>
    <x v="1"/>
    <n v="73.260000000000005"/>
    <n v="1"/>
    <n v="3.6629999999999998"/>
    <n v="76.923000000000002"/>
    <s v="1/27/2019"/>
    <d v="1899-12-30T18:08:00"/>
    <s v="Ewallet"/>
    <n v="73.260000000000005"/>
    <n v="4.7619047620000003"/>
    <n v="3.6629999999999998"/>
    <n v="9.6999999999999993"/>
    <d v="2019-01-27T00:00:00"/>
    <x v="0"/>
    <x v="3"/>
    <x v="3"/>
    <x v="2"/>
  </r>
  <r>
    <s v="862-29-5914"/>
    <x v="1"/>
    <s v="Naypyitaw"/>
    <s v="Normal"/>
    <s v="Female"/>
    <x v="3"/>
    <n v="22.38"/>
    <n v="1"/>
    <n v="1.119"/>
    <n v="23.498999999999999"/>
    <s v="1/30/2019"/>
    <d v="1899-12-30T17:08:00"/>
    <s v="Credit card"/>
    <n v="22.38"/>
    <n v="4.7619047620000003"/>
    <n v="1.119"/>
    <n v="8.6"/>
    <d v="2019-01-30T00:00:00"/>
    <x v="0"/>
    <x v="6"/>
    <x v="29"/>
    <x v="6"/>
  </r>
  <r>
    <s v="845-94-6841"/>
    <x v="1"/>
    <s v="Naypyitaw"/>
    <s v="Member"/>
    <s v="Female"/>
    <x v="4"/>
    <n v="72.88"/>
    <n v="9"/>
    <n v="32.795999999999999"/>
    <n v="688.71600000000001"/>
    <d v="2019-08-01T00:00:00"/>
    <d v="1899-12-30T19:38:00"/>
    <s v="Cash"/>
    <n v="655.92"/>
    <n v="4.7619047620000003"/>
    <n v="32.795999999999999"/>
    <n v="4"/>
    <d v="2019-01-08T00:00:00"/>
    <x v="0"/>
    <x v="8"/>
    <x v="1"/>
    <x v="5"/>
  </r>
  <r>
    <s v="125-45-2293"/>
    <x v="0"/>
    <s v="Yangon"/>
    <s v="Normal"/>
    <s v="Female"/>
    <x v="5"/>
    <n v="99.1"/>
    <n v="6"/>
    <n v="29.73"/>
    <n v="624.33000000000004"/>
    <s v="1/19/2019"/>
    <d v="1899-12-30T13:11:00"/>
    <s v="Cash"/>
    <n v="594.6"/>
    <n v="4.7619047620000003"/>
    <n v="29.73"/>
    <n v="4.2"/>
    <d v="2019-01-19T00:00:00"/>
    <x v="0"/>
    <x v="0"/>
    <x v="24"/>
    <x v="0"/>
  </r>
  <r>
    <s v="843-73-4724"/>
    <x v="0"/>
    <s v="Yangon"/>
    <s v="Normal"/>
    <s v="Male"/>
    <x v="5"/>
    <n v="74.099999999999994"/>
    <n v="1"/>
    <n v="3.7050000000000001"/>
    <n v="77.805000000000007"/>
    <s v="1/25/2019"/>
    <d v="1899-12-30T11:05:00"/>
    <s v="Cash"/>
    <n v="74.099999999999994"/>
    <n v="4.7619047620000003"/>
    <n v="3.7050000000000001"/>
    <n v="9.1999999999999993"/>
    <d v="2019-01-25T00:00:00"/>
    <x v="0"/>
    <x v="5"/>
    <x v="4"/>
    <x v="1"/>
  </r>
  <r>
    <s v="409-33-9708"/>
    <x v="0"/>
    <s v="Yangon"/>
    <s v="Normal"/>
    <s v="Female"/>
    <x v="5"/>
    <n v="98.48"/>
    <n v="2"/>
    <n v="9.8480000000000008"/>
    <n v="206.80799999999999"/>
    <s v="2/19/2019"/>
    <d v="1899-12-30T10:12:00"/>
    <s v="Ewallet"/>
    <n v="196.96"/>
    <n v="4.7619047620000003"/>
    <n v="9.8480000000000008"/>
    <n v="9.1999999999999993"/>
    <d v="2019-02-19T00:00:00"/>
    <x v="2"/>
    <x v="1"/>
    <x v="24"/>
    <x v="5"/>
  </r>
  <r>
    <s v="658-66-3967"/>
    <x v="1"/>
    <s v="Naypyitaw"/>
    <s v="Normal"/>
    <s v="Male"/>
    <x v="0"/>
    <n v="53.19"/>
    <n v="7"/>
    <n v="18.616499999999998"/>
    <n v="390.94650000000001"/>
    <s v="1/14/2019"/>
    <d v="1899-12-30T15:42:00"/>
    <s v="Ewallet"/>
    <n v="372.33"/>
    <n v="4.7619047620000003"/>
    <n v="18.616499999999998"/>
    <n v="5"/>
    <d v="2019-01-14T00:00:00"/>
    <x v="0"/>
    <x v="9"/>
    <x v="25"/>
    <x v="3"/>
  </r>
  <r>
    <s v="866-70-2814"/>
    <x v="2"/>
    <s v="Mandalay"/>
    <s v="Normal"/>
    <s v="Female"/>
    <x v="1"/>
    <n v="52.79"/>
    <n v="10"/>
    <n v="26.395"/>
    <n v="554.29499999999996"/>
    <s v="2/25/2019"/>
    <d v="1899-12-30T11:58:00"/>
    <s v="Ewallet"/>
    <n v="527.9"/>
    <n v="4.7619047620000003"/>
    <n v="26.395"/>
    <n v="10"/>
    <d v="2019-02-25T00:00:00"/>
    <x v="2"/>
    <x v="5"/>
    <x v="4"/>
    <x v="3"/>
  </r>
  <r>
    <s v="160-22-2687"/>
    <x v="0"/>
    <s v="Yangon"/>
    <s v="Member"/>
    <s v="Female"/>
    <x v="0"/>
    <n v="95.95"/>
    <n v="5"/>
    <n v="23.987500000000001"/>
    <n v="503.73750000000001"/>
    <s v="1/23/2019"/>
    <d v="1899-12-30T14:21:00"/>
    <s v="Ewallet"/>
    <n v="479.75"/>
    <n v="4.7619047620000003"/>
    <n v="23.987500000000001"/>
    <n v="8.8000000000000007"/>
    <d v="2019-01-23T00:00:00"/>
    <x v="0"/>
    <x v="4"/>
    <x v="21"/>
    <x v="6"/>
  </r>
  <r>
    <s v="895-03-6665"/>
    <x v="2"/>
    <s v="Mandalay"/>
    <s v="Normal"/>
    <s v="Female"/>
    <x v="5"/>
    <n v="36.51"/>
    <n v="9"/>
    <n v="16.429500000000001"/>
    <n v="345.01949999999999"/>
    <s v="2/16/2019"/>
    <d v="1899-12-30T10:52:00"/>
    <s v="Cash"/>
    <n v="328.59"/>
    <n v="4.7619047620000003"/>
    <n v="16.429500000000001"/>
    <n v="4.2"/>
    <d v="2019-02-16T00:00:00"/>
    <x v="2"/>
    <x v="1"/>
    <x v="23"/>
    <x v="0"/>
  </r>
  <r>
    <s v="770-42-8960"/>
    <x v="2"/>
    <s v="Mandalay"/>
    <s v="Normal"/>
    <s v="Male"/>
    <x v="4"/>
    <n v="21.12"/>
    <n v="8"/>
    <n v="8.4480000000000004"/>
    <n v="177.40799999999999"/>
    <d v="2019-01-01T00:00:00"/>
    <d v="1899-12-30T19:31:00"/>
    <s v="Cash"/>
    <n v="168.96"/>
    <n v="4.7619047620000003"/>
    <n v="8.4480000000000004"/>
    <n v="6.3"/>
    <d v="2019-01-01T00:00:00"/>
    <x v="0"/>
    <x v="8"/>
    <x v="15"/>
    <x v="5"/>
  </r>
  <r>
    <s v="748-45-2862"/>
    <x v="0"/>
    <s v="Yangon"/>
    <s v="Member"/>
    <s v="Female"/>
    <x v="2"/>
    <n v="28.31"/>
    <n v="4"/>
    <n v="5.6619999999999999"/>
    <n v="118.902"/>
    <d v="2019-07-03T00:00:00"/>
    <d v="1899-12-30T18:35:00"/>
    <s v="Cash"/>
    <n v="113.24"/>
    <n v="4.7619047620000003"/>
    <n v="5.6619999999999999"/>
    <n v="8.1999999999999993"/>
    <d v="2019-03-07T00:00:00"/>
    <x v="1"/>
    <x v="3"/>
    <x v="11"/>
    <x v="4"/>
  </r>
  <r>
    <s v="234-36-2483"/>
    <x v="2"/>
    <s v="Mandalay"/>
    <s v="Normal"/>
    <s v="Male"/>
    <x v="0"/>
    <n v="57.59"/>
    <n v="6"/>
    <n v="17.277000000000001"/>
    <n v="362.81700000000001"/>
    <s v="2/15/2019"/>
    <d v="1899-12-30T13:51:00"/>
    <s v="Cash"/>
    <n v="345.54"/>
    <n v="4.7619047620000003"/>
    <n v="17.277000000000001"/>
    <n v="5.0999999999999996"/>
    <d v="2019-02-15T00:00:00"/>
    <x v="2"/>
    <x v="0"/>
    <x v="13"/>
    <x v="1"/>
  </r>
  <r>
    <s v="316-66-3011"/>
    <x v="0"/>
    <s v="Yangon"/>
    <s v="Member"/>
    <s v="Female"/>
    <x v="4"/>
    <n v="47.63"/>
    <n v="9"/>
    <n v="21.433499999999999"/>
    <n v="450.1035"/>
    <s v="1/23/2019"/>
    <d v="1899-12-30T12:35:00"/>
    <s v="Cash"/>
    <n v="428.67"/>
    <n v="4.7619047620000003"/>
    <n v="21.433499999999999"/>
    <n v="5"/>
    <d v="2019-01-23T00:00:00"/>
    <x v="0"/>
    <x v="10"/>
    <x v="21"/>
    <x v="6"/>
  </r>
  <r>
    <s v="848-95-6252"/>
    <x v="1"/>
    <s v="Naypyitaw"/>
    <s v="Member"/>
    <s v="Female"/>
    <x v="2"/>
    <n v="86.27"/>
    <n v="1"/>
    <n v="4.3135000000000003"/>
    <n v="90.583500000000001"/>
    <s v="2/20/2019"/>
    <d v="1899-12-30T13:24:00"/>
    <s v="Ewallet"/>
    <n v="86.27"/>
    <n v="4.7619047620000003"/>
    <n v="4.3135000000000003"/>
    <n v="7"/>
    <d v="2019-02-20T00:00:00"/>
    <x v="2"/>
    <x v="0"/>
    <x v="7"/>
    <x v="6"/>
  </r>
  <r>
    <s v="840-76-5966"/>
    <x v="0"/>
    <s v="Yangon"/>
    <s v="Member"/>
    <s v="Male"/>
    <x v="3"/>
    <n v="12.76"/>
    <n v="2"/>
    <n v="1.276"/>
    <n v="26.795999999999999"/>
    <d v="2019-08-01T00:00:00"/>
    <d v="1899-12-30T18:06:00"/>
    <s v="Ewallet"/>
    <n v="25.52"/>
    <n v="4.7619047620000003"/>
    <n v="1.276"/>
    <n v="7.8"/>
    <d v="2019-01-08T00:00:00"/>
    <x v="0"/>
    <x v="3"/>
    <x v="1"/>
    <x v="5"/>
  </r>
  <r>
    <s v="152-03-4217"/>
    <x v="2"/>
    <s v="Mandalay"/>
    <s v="Normal"/>
    <s v="Female"/>
    <x v="2"/>
    <n v="11.28"/>
    <n v="9"/>
    <n v="5.0759999999999996"/>
    <n v="106.596"/>
    <s v="3/17/2019"/>
    <d v="1899-12-30T11:55:00"/>
    <s v="Credit card"/>
    <n v="101.52"/>
    <n v="4.7619047620000003"/>
    <n v="5.0759999999999996"/>
    <n v="4.3"/>
    <d v="2019-03-17T00:00:00"/>
    <x v="1"/>
    <x v="5"/>
    <x v="17"/>
    <x v="2"/>
  </r>
  <r>
    <s v="533-66-5566"/>
    <x v="2"/>
    <s v="Mandalay"/>
    <s v="Normal"/>
    <s v="Female"/>
    <x v="2"/>
    <n v="51.07"/>
    <n v="7"/>
    <n v="17.874500000000001"/>
    <n v="375.36450000000002"/>
    <d v="2019-12-01T00:00:00"/>
    <d v="1899-12-30T11:42:00"/>
    <s v="Cash"/>
    <n v="357.49"/>
    <n v="4.7619047620000003"/>
    <n v="17.874500000000001"/>
    <n v="7"/>
    <d v="2019-01-12T00:00:00"/>
    <x v="0"/>
    <x v="5"/>
    <x v="10"/>
    <x v="0"/>
  </r>
  <r>
    <s v="124-31-1458"/>
    <x v="0"/>
    <s v="Yangon"/>
    <s v="Member"/>
    <s v="Female"/>
    <x v="1"/>
    <n v="79.59"/>
    <n v="3"/>
    <n v="11.938499999999999"/>
    <n v="250.70849999999999"/>
    <d v="2019-08-01T00:00:00"/>
    <d v="1899-12-30T14:30:00"/>
    <s v="Cash"/>
    <n v="238.77"/>
    <n v="4.7619047620000003"/>
    <n v="11.938499999999999"/>
    <n v="6.6"/>
    <d v="2019-01-08T00:00:00"/>
    <x v="0"/>
    <x v="4"/>
    <x v="1"/>
    <x v="5"/>
  </r>
  <r>
    <s v="176-78-1170"/>
    <x v="1"/>
    <s v="Naypyitaw"/>
    <s v="Member"/>
    <s v="Male"/>
    <x v="0"/>
    <n v="33.81"/>
    <n v="3"/>
    <n v="5.0715000000000003"/>
    <n v="106.50149999999999"/>
    <s v="1/26/2019"/>
    <d v="1899-12-30T15:11:00"/>
    <s v="Ewallet"/>
    <n v="101.43"/>
    <n v="4.7619047620000003"/>
    <n v="5.0715000000000003"/>
    <n v="7.3"/>
    <d v="2019-01-26T00:00:00"/>
    <x v="0"/>
    <x v="9"/>
    <x v="27"/>
    <x v="0"/>
  </r>
  <r>
    <s v="361-59-0574"/>
    <x v="2"/>
    <s v="Mandalay"/>
    <s v="Member"/>
    <s v="Male"/>
    <x v="3"/>
    <n v="90.53"/>
    <n v="8"/>
    <n v="36.212000000000003"/>
    <n v="760.452"/>
    <s v="3/15/2019"/>
    <d v="1899-12-30T14:48:00"/>
    <s v="Credit card"/>
    <n v="724.24"/>
    <n v="4.7619047620000003"/>
    <n v="36.212000000000003"/>
    <n v="6.5"/>
    <d v="2019-03-15T00:00:00"/>
    <x v="1"/>
    <x v="4"/>
    <x v="13"/>
    <x v="1"/>
  </r>
  <r>
    <s v="101-81-4070"/>
    <x v="1"/>
    <s v="Naypyitaw"/>
    <s v="Member"/>
    <s v="Female"/>
    <x v="0"/>
    <n v="62.82"/>
    <n v="2"/>
    <n v="6.282"/>
    <n v="131.922"/>
    <s v="1/17/2019"/>
    <d v="1899-12-30T12:36:00"/>
    <s v="Ewallet"/>
    <n v="125.64"/>
    <n v="4.7619047620000003"/>
    <n v="6.282"/>
    <n v="4.9000000000000004"/>
    <d v="2019-01-17T00:00:00"/>
    <x v="0"/>
    <x v="10"/>
    <x v="17"/>
    <x v="4"/>
  </r>
  <r>
    <s v="631-34-1880"/>
    <x v="1"/>
    <s v="Naypyitaw"/>
    <s v="Member"/>
    <s v="Male"/>
    <x v="4"/>
    <n v="24.31"/>
    <n v="3"/>
    <n v="3.6465000000000001"/>
    <n v="76.576499999999996"/>
    <d v="2019-08-01T00:00:00"/>
    <d v="1899-12-30T19:09:00"/>
    <s v="Credit card"/>
    <n v="72.930000000000007"/>
    <n v="4.7619047620000003"/>
    <n v="3.6465000000000001"/>
    <n v="4.3"/>
    <d v="2019-01-08T00:00:00"/>
    <x v="0"/>
    <x v="8"/>
    <x v="1"/>
    <x v="5"/>
  </r>
  <r>
    <s v="852-82-2749"/>
    <x v="0"/>
    <s v="Yangon"/>
    <s v="Normal"/>
    <s v="Male"/>
    <x v="3"/>
    <n v="64.59"/>
    <n v="4"/>
    <n v="12.917999999999999"/>
    <n v="271.27800000000002"/>
    <d v="2019-06-01T00:00:00"/>
    <d v="1899-12-30T13:35:00"/>
    <s v="Ewallet"/>
    <n v="258.36"/>
    <n v="4.7619047620000003"/>
    <n v="12.917999999999999"/>
    <n v="9.3000000000000007"/>
    <d v="2019-01-06T00:00:00"/>
    <x v="0"/>
    <x v="0"/>
    <x v="20"/>
    <x v="2"/>
  </r>
  <r>
    <s v="873-14-6353"/>
    <x v="0"/>
    <s v="Yangon"/>
    <s v="Member"/>
    <s v="Male"/>
    <x v="4"/>
    <n v="24.82"/>
    <n v="7"/>
    <n v="8.6869999999999994"/>
    <n v="182.42699999999999"/>
    <s v="2/16/2019"/>
    <d v="1899-12-30T10:33:00"/>
    <s v="Credit card"/>
    <n v="173.74"/>
    <n v="4.7619047620000003"/>
    <n v="8.6869999999999994"/>
    <n v="7.1"/>
    <d v="2019-02-16T00:00:00"/>
    <x v="2"/>
    <x v="1"/>
    <x v="23"/>
    <x v="0"/>
  </r>
  <r>
    <s v="584-66-4073"/>
    <x v="1"/>
    <s v="Naypyitaw"/>
    <s v="Normal"/>
    <s v="Male"/>
    <x v="5"/>
    <n v="56.5"/>
    <n v="1"/>
    <n v="2.8250000000000002"/>
    <n v="59.325000000000003"/>
    <s v="3/13/2019"/>
    <d v="1899-12-30T15:45:00"/>
    <s v="Ewallet"/>
    <n v="56.5"/>
    <n v="4.7619047620000003"/>
    <n v="2.8250000000000002"/>
    <n v="9.6"/>
    <d v="2019-03-13T00:00:00"/>
    <x v="1"/>
    <x v="9"/>
    <x v="26"/>
    <x v="6"/>
  </r>
  <r>
    <s v="544-55-9589"/>
    <x v="2"/>
    <s v="Mandalay"/>
    <s v="Member"/>
    <s v="Female"/>
    <x v="1"/>
    <n v="21.43"/>
    <n v="10"/>
    <n v="10.715"/>
    <n v="225.01499999999999"/>
    <s v="1/28/2019"/>
    <d v="1899-12-30T11:51:00"/>
    <s v="Cash"/>
    <n v="214.3"/>
    <n v="4.7619047620000003"/>
    <n v="10.715"/>
    <n v="6.2"/>
    <d v="2019-01-28T00:00:00"/>
    <x v="0"/>
    <x v="5"/>
    <x v="19"/>
    <x v="3"/>
  </r>
  <r>
    <s v="166-19-2553"/>
    <x v="0"/>
    <s v="Yangon"/>
    <s v="Member"/>
    <s v="Male"/>
    <x v="3"/>
    <n v="89.06"/>
    <n v="6"/>
    <n v="26.718"/>
    <n v="561.07799999999997"/>
    <s v="1/18/2019"/>
    <d v="1899-12-30T17:26:00"/>
    <s v="Cash"/>
    <n v="534.36"/>
    <n v="4.7619047620000003"/>
    <n v="26.718"/>
    <n v="9.9"/>
    <d v="2019-01-18T00:00:00"/>
    <x v="0"/>
    <x v="6"/>
    <x v="28"/>
    <x v="1"/>
  </r>
  <r>
    <s v="737-88-5876"/>
    <x v="0"/>
    <s v="Yangon"/>
    <s v="Member"/>
    <s v="Male"/>
    <x v="2"/>
    <n v="23.29"/>
    <n v="4"/>
    <n v="4.6580000000000004"/>
    <n v="97.817999999999998"/>
    <s v="3/19/2019"/>
    <d v="1899-12-30T11:52:00"/>
    <s v="Credit card"/>
    <n v="93.16"/>
    <n v="4.7619047620000003"/>
    <n v="4.6580000000000004"/>
    <n v="5.9"/>
    <d v="2019-03-19T00:00:00"/>
    <x v="1"/>
    <x v="5"/>
    <x v="24"/>
    <x v="5"/>
  </r>
  <r>
    <s v="154-87-7367"/>
    <x v="1"/>
    <s v="Naypyitaw"/>
    <s v="Normal"/>
    <s v="Male"/>
    <x v="2"/>
    <n v="65.260000000000005"/>
    <n v="8"/>
    <n v="26.103999999999999"/>
    <n v="548.18399999999997"/>
    <s v="3/15/2019"/>
    <d v="1899-12-30T14:04:00"/>
    <s v="Ewallet"/>
    <n v="522.08000000000004"/>
    <n v="4.7619047620000003"/>
    <n v="26.103999999999999"/>
    <n v="6.3"/>
    <d v="2019-03-15T00:00:00"/>
    <x v="1"/>
    <x v="4"/>
    <x v="13"/>
    <x v="1"/>
  </r>
  <r>
    <s v="885-56-0389"/>
    <x v="1"/>
    <s v="Naypyitaw"/>
    <s v="Member"/>
    <s v="Male"/>
    <x v="5"/>
    <n v="52.35"/>
    <n v="1"/>
    <n v="2.6175000000000002"/>
    <n v="54.967500000000001"/>
    <d v="2019-12-02T00:00:00"/>
    <d v="1899-12-30T17:49:00"/>
    <s v="Cash"/>
    <n v="52.35"/>
    <n v="4.7619047620000003"/>
    <n v="2.6175000000000002"/>
    <n v="4"/>
    <d v="2019-02-12T00:00:00"/>
    <x v="2"/>
    <x v="6"/>
    <x v="10"/>
    <x v="5"/>
  </r>
  <r>
    <s v="608-05-3804"/>
    <x v="2"/>
    <s v="Mandalay"/>
    <s v="Member"/>
    <s v="Male"/>
    <x v="1"/>
    <n v="39.75"/>
    <n v="1"/>
    <n v="1.9875"/>
    <n v="41.737499999999997"/>
    <s v="2/25/2019"/>
    <d v="1899-12-30T20:19:00"/>
    <s v="Cash"/>
    <n v="39.75"/>
    <n v="4.7619047620000003"/>
    <n v="1.9875"/>
    <n v="6.1"/>
    <d v="2019-02-25T00:00:00"/>
    <x v="2"/>
    <x v="2"/>
    <x v="4"/>
    <x v="3"/>
  </r>
  <r>
    <s v="448-61-3783"/>
    <x v="0"/>
    <s v="Yangon"/>
    <s v="Normal"/>
    <s v="Female"/>
    <x v="1"/>
    <n v="90.02"/>
    <n v="8"/>
    <n v="36.008000000000003"/>
    <n v="756.16800000000001"/>
    <s v="3/21/2019"/>
    <d v="1899-12-30T16:08:00"/>
    <s v="Credit card"/>
    <n v="720.16"/>
    <n v="4.7619047620000003"/>
    <n v="36.008000000000003"/>
    <n v="4.5"/>
    <d v="2019-03-21T00:00:00"/>
    <x v="1"/>
    <x v="7"/>
    <x v="16"/>
    <x v="4"/>
  </r>
  <r>
    <s v="761-49-0439"/>
    <x v="2"/>
    <s v="Mandalay"/>
    <s v="Member"/>
    <s v="Female"/>
    <x v="1"/>
    <n v="12.1"/>
    <n v="8"/>
    <n v="4.84"/>
    <n v="101.64"/>
    <s v="1/19/2019"/>
    <d v="1899-12-30T10:17:00"/>
    <s v="Ewallet"/>
    <n v="96.8"/>
    <n v="4.7619047620000003"/>
    <n v="4.84"/>
    <n v="8.6"/>
    <d v="2019-01-19T00:00:00"/>
    <x v="0"/>
    <x v="1"/>
    <x v="24"/>
    <x v="0"/>
  </r>
  <r>
    <s v="490-95-0021"/>
    <x v="2"/>
    <s v="Mandalay"/>
    <s v="Member"/>
    <s v="Female"/>
    <x v="4"/>
    <n v="33.21"/>
    <n v="10"/>
    <n v="16.605"/>
    <n v="348.70499999999998"/>
    <d v="2019-08-01T00:00:00"/>
    <d v="1899-12-30T14:25:00"/>
    <s v="Ewallet"/>
    <n v="332.1"/>
    <n v="4.7619047620000003"/>
    <n v="16.605"/>
    <n v="6"/>
    <d v="2019-01-08T00:00:00"/>
    <x v="0"/>
    <x v="4"/>
    <x v="1"/>
    <x v="5"/>
  </r>
  <r>
    <s v="115-38-7388"/>
    <x v="1"/>
    <s v="Naypyitaw"/>
    <s v="Member"/>
    <s v="Female"/>
    <x v="5"/>
    <n v="10.18"/>
    <n v="8"/>
    <n v="4.0720000000000001"/>
    <n v="85.512"/>
    <s v="3/30/2019"/>
    <d v="1899-12-30T12:51:00"/>
    <s v="Credit card"/>
    <n v="81.44"/>
    <n v="4.7619047620000003"/>
    <n v="4.0720000000000001"/>
    <n v="9.5"/>
    <d v="2019-03-30T00:00:00"/>
    <x v="1"/>
    <x v="10"/>
    <x v="29"/>
    <x v="0"/>
  </r>
  <r>
    <s v="311-13-6971"/>
    <x v="2"/>
    <s v="Mandalay"/>
    <s v="Member"/>
    <s v="Male"/>
    <x v="3"/>
    <n v="31.99"/>
    <n v="10"/>
    <n v="15.994999999999999"/>
    <n v="335.89499999999998"/>
    <s v="2/20/2019"/>
    <d v="1899-12-30T15:18:00"/>
    <s v="Credit card"/>
    <n v="319.89999999999998"/>
    <n v="4.7619047620000003"/>
    <n v="15.994999999999999"/>
    <n v="9.9"/>
    <d v="2019-02-20T00:00:00"/>
    <x v="2"/>
    <x v="9"/>
    <x v="7"/>
    <x v="6"/>
  </r>
  <r>
    <s v="291-55-6563"/>
    <x v="0"/>
    <s v="Yangon"/>
    <s v="Member"/>
    <s v="Female"/>
    <x v="2"/>
    <n v="34.42"/>
    <n v="6"/>
    <n v="10.326000000000001"/>
    <n v="216.846"/>
    <s v="3/30/2019"/>
    <d v="1899-12-30T12:45:00"/>
    <s v="Ewallet"/>
    <n v="206.52"/>
    <n v="4.7619047620000003"/>
    <n v="10.326000000000001"/>
    <n v="7.5"/>
    <d v="2019-03-30T00:00:00"/>
    <x v="1"/>
    <x v="10"/>
    <x v="29"/>
    <x v="0"/>
  </r>
  <r>
    <s v="548-48-3156"/>
    <x v="0"/>
    <s v="Yangon"/>
    <s v="Member"/>
    <s v="Female"/>
    <x v="4"/>
    <n v="83.34"/>
    <n v="2"/>
    <n v="8.3339999999999996"/>
    <n v="175.01400000000001"/>
    <s v="3/19/2019"/>
    <d v="1899-12-30T13:37:00"/>
    <s v="Cash"/>
    <n v="166.68"/>
    <n v="4.7619047620000003"/>
    <n v="8.3339999999999996"/>
    <n v="7.6"/>
    <d v="2019-03-19T00:00:00"/>
    <x v="1"/>
    <x v="0"/>
    <x v="24"/>
    <x v="5"/>
  </r>
  <r>
    <s v="460-93-5834"/>
    <x v="0"/>
    <s v="Yangon"/>
    <s v="Normal"/>
    <s v="Male"/>
    <x v="3"/>
    <n v="45.58"/>
    <n v="7"/>
    <n v="15.952999999999999"/>
    <n v="335.01299999999998"/>
    <s v="1/13/2019"/>
    <d v="1899-12-30T10:03:00"/>
    <s v="Cash"/>
    <n v="319.06"/>
    <n v="4.7619047620000003"/>
    <n v="15.952999999999999"/>
    <n v="5"/>
    <d v="2019-01-13T00:00:00"/>
    <x v="0"/>
    <x v="1"/>
    <x v="26"/>
    <x v="2"/>
  </r>
  <r>
    <s v="325-89-4209"/>
    <x v="0"/>
    <s v="Yangon"/>
    <s v="Member"/>
    <s v="Male"/>
    <x v="4"/>
    <n v="87.9"/>
    <n v="1"/>
    <n v="4.3949999999999996"/>
    <n v="92.295000000000002"/>
    <d v="2019-05-02T00:00:00"/>
    <d v="1899-12-30T19:42:00"/>
    <s v="Ewallet"/>
    <n v="87.9"/>
    <n v="4.7619047620000003"/>
    <n v="4.3949999999999996"/>
    <n v="6.7"/>
    <d v="2019-02-05T00:00:00"/>
    <x v="2"/>
    <x v="8"/>
    <x v="0"/>
    <x v="5"/>
  </r>
  <r>
    <s v="884-80-6021"/>
    <x v="0"/>
    <s v="Yangon"/>
    <s v="Member"/>
    <s v="Female"/>
    <x v="1"/>
    <n v="73.47"/>
    <n v="10"/>
    <n v="36.734999999999999"/>
    <n v="771.43499999999995"/>
    <s v="3/23/2019"/>
    <d v="1899-12-30T13:14:00"/>
    <s v="Ewallet"/>
    <n v="734.7"/>
    <n v="4.7619047620000003"/>
    <n v="36.734999999999999"/>
    <n v="9.5"/>
    <d v="2019-03-23T00:00:00"/>
    <x v="1"/>
    <x v="0"/>
    <x v="21"/>
    <x v="0"/>
  </r>
  <r>
    <s v="137-74-8729"/>
    <x v="1"/>
    <s v="Naypyitaw"/>
    <s v="Normal"/>
    <s v="Female"/>
    <x v="5"/>
    <n v="12.19"/>
    <n v="8"/>
    <n v="4.8760000000000003"/>
    <n v="102.396"/>
    <s v="3/13/2019"/>
    <d v="1899-12-30T12:47:00"/>
    <s v="Ewallet"/>
    <n v="97.52"/>
    <n v="4.7619047620000003"/>
    <n v="4.8760000000000003"/>
    <n v="6.8"/>
    <d v="2019-03-13T00:00:00"/>
    <x v="1"/>
    <x v="10"/>
    <x v="26"/>
    <x v="6"/>
  </r>
  <r>
    <s v="880-46-5796"/>
    <x v="0"/>
    <s v="Yangon"/>
    <s v="Member"/>
    <s v="Male"/>
    <x v="3"/>
    <n v="76.92"/>
    <n v="10"/>
    <n v="38.46"/>
    <n v="807.66"/>
    <s v="3/17/2019"/>
    <d v="1899-12-30T19:53:00"/>
    <s v="Ewallet"/>
    <n v="769.2"/>
    <n v="4.7619047620000003"/>
    <n v="38.46"/>
    <n v="5.6"/>
    <d v="2019-03-17T00:00:00"/>
    <x v="1"/>
    <x v="8"/>
    <x v="17"/>
    <x v="2"/>
  </r>
  <r>
    <s v="389-70-2397"/>
    <x v="1"/>
    <s v="Naypyitaw"/>
    <s v="Normal"/>
    <s v="Female"/>
    <x v="0"/>
    <n v="83.66"/>
    <n v="5"/>
    <n v="20.914999999999999"/>
    <n v="439.21499999999997"/>
    <s v="2/21/2019"/>
    <d v="1899-12-30T10:26:00"/>
    <s v="Cash"/>
    <n v="418.3"/>
    <n v="4.7619047620000003"/>
    <n v="20.914999999999999"/>
    <n v="7.2"/>
    <d v="2019-02-21T00:00:00"/>
    <x v="2"/>
    <x v="1"/>
    <x v="16"/>
    <x v="4"/>
  </r>
  <r>
    <s v="114-35-5271"/>
    <x v="2"/>
    <s v="Mandalay"/>
    <s v="Normal"/>
    <s v="Female"/>
    <x v="1"/>
    <n v="57.91"/>
    <n v="8"/>
    <n v="23.164000000000001"/>
    <n v="486.44400000000002"/>
    <d v="2019-07-02T00:00:00"/>
    <d v="1899-12-30T15:06:00"/>
    <s v="Cash"/>
    <n v="463.28"/>
    <n v="4.7619047620000003"/>
    <n v="23.164000000000001"/>
    <n v="8.1"/>
    <d v="2019-02-07T00:00:00"/>
    <x v="2"/>
    <x v="9"/>
    <x v="11"/>
    <x v="4"/>
  </r>
  <r>
    <s v="607-76-6216"/>
    <x v="1"/>
    <s v="Naypyitaw"/>
    <s v="Member"/>
    <s v="Female"/>
    <x v="5"/>
    <n v="92.49"/>
    <n v="5"/>
    <n v="23.122499999999999"/>
    <n v="485.57249999999999"/>
    <d v="2019-02-03T00:00:00"/>
    <d v="1899-12-30T16:35:00"/>
    <s v="Credit card"/>
    <n v="462.45"/>
    <n v="4.7619047620000003"/>
    <n v="23.122499999999999"/>
    <n v="8.6"/>
    <d v="2019-03-02T00:00:00"/>
    <x v="1"/>
    <x v="7"/>
    <x v="8"/>
    <x v="0"/>
  </r>
  <r>
    <s v="715-20-1673"/>
    <x v="2"/>
    <s v="Mandalay"/>
    <s v="Normal"/>
    <s v="Male"/>
    <x v="1"/>
    <n v="28.38"/>
    <n v="5"/>
    <n v="7.0949999999999998"/>
    <n v="148.995"/>
    <d v="2019-06-03T00:00:00"/>
    <d v="1899-12-30T20:57:00"/>
    <s v="Cash"/>
    <n v="141.9"/>
    <n v="4.7619047620000003"/>
    <n v="7.0949999999999998"/>
    <n v="9.4"/>
    <d v="2019-03-06T00:00:00"/>
    <x v="1"/>
    <x v="2"/>
    <x v="20"/>
    <x v="6"/>
  </r>
  <r>
    <s v="811-35-1094"/>
    <x v="2"/>
    <s v="Mandalay"/>
    <s v="Member"/>
    <s v="Male"/>
    <x v="1"/>
    <n v="50.45"/>
    <n v="6"/>
    <n v="15.135"/>
    <n v="317.83499999999998"/>
    <d v="2019-06-02T00:00:00"/>
    <d v="1899-12-30T15:16:00"/>
    <s v="Credit card"/>
    <n v="302.7"/>
    <n v="4.7619047620000003"/>
    <n v="15.135"/>
    <n v="8.9"/>
    <d v="2019-02-06T00:00:00"/>
    <x v="2"/>
    <x v="9"/>
    <x v="20"/>
    <x v="6"/>
  </r>
  <r>
    <s v="699-88-1972"/>
    <x v="2"/>
    <s v="Mandalay"/>
    <s v="Normal"/>
    <s v="Male"/>
    <x v="0"/>
    <n v="99.16"/>
    <n v="8"/>
    <n v="39.664000000000001"/>
    <n v="832.94399999999996"/>
    <s v="1/28/2019"/>
    <d v="1899-12-30T17:47:00"/>
    <s v="Credit card"/>
    <n v="793.28"/>
    <n v="4.7619047620000003"/>
    <n v="39.664000000000001"/>
    <n v="4.2"/>
    <d v="2019-01-28T00:00:00"/>
    <x v="0"/>
    <x v="6"/>
    <x v="19"/>
    <x v="3"/>
  </r>
  <r>
    <s v="781-84-8059"/>
    <x v="1"/>
    <s v="Naypyitaw"/>
    <s v="Normal"/>
    <s v="Male"/>
    <x v="5"/>
    <n v="60.74"/>
    <n v="7"/>
    <n v="21.259"/>
    <n v="446.43900000000002"/>
    <s v="1/18/2019"/>
    <d v="1899-12-30T16:23:00"/>
    <s v="Ewallet"/>
    <n v="425.18"/>
    <n v="4.7619047620000003"/>
    <n v="21.259"/>
    <n v="5"/>
    <d v="2019-01-18T00:00:00"/>
    <x v="0"/>
    <x v="7"/>
    <x v="28"/>
    <x v="1"/>
  </r>
  <r>
    <s v="409-49-6995"/>
    <x v="1"/>
    <s v="Naypyitaw"/>
    <s v="Member"/>
    <s v="Female"/>
    <x v="4"/>
    <n v="47.27"/>
    <n v="6"/>
    <n v="14.180999999999999"/>
    <n v="297.80099999999999"/>
    <d v="2019-05-02T00:00:00"/>
    <d v="1899-12-30T10:17:00"/>
    <s v="Cash"/>
    <n v="283.62"/>
    <n v="4.7619047620000003"/>
    <n v="14.180999999999999"/>
    <n v="8.8000000000000007"/>
    <d v="2019-02-05T00:00:00"/>
    <x v="2"/>
    <x v="1"/>
    <x v="0"/>
    <x v="5"/>
  </r>
  <r>
    <s v="725-54-0677"/>
    <x v="1"/>
    <s v="Naypyitaw"/>
    <s v="Member"/>
    <s v="Male"/>
    <x v="0"/>
    <n v="85.6"/>
    <n v="7"/>
    <n v="29.96"/>
    <n v="629.16"/>
    <d v="2019-02-03T00:00:00"/>
    <d v="1899-12-30T13:50:00"/>
    <s v="Cash"/>
    <n v="599.20000000000005"/>
    <n v="4.7619047620000003"/>
    <n v="29.96"/>
    <n v="5.3"/>
    <d v="2019-03-02T00:00:00"/>
    <x v="1"/>
    <x v="0"/>
    <x v="8"/>
    <x v="0"/>
  </r>
  <r>
    <s v="146-09-5432"/>
    <x v="0"/>
    <s v="Yangon"/>
    <s v="Member"/>
    <s v="Male"/>
    <x v="4"/>
    <n v="35.04"/>
    <n v="9"/>
    <n v="15.768000000000001"/>
    <n v="331.12799999999999"/>
    <d v="2019-09-02T00:00:00"/>
    <d v="1899-12-30T19:17:00"/>
    <s v="Ewallet"/>
    <n v="315.36"/>
    <n v="4.7619047620000003"/>
    <n v="15.768000000000001"/>
    <n v="4.5999999999999996"/>
    <d v="2019-02-09T00:00:00"/>
    <x v="2"/>
    <x v="8"/>
    <x v="9"/>
    <x v="0"/>
  </r>
  <r>
    <s v="377-79-7592"/>
    <x v="1"/>
    <s v="Naypyitaw"/>
    <s v="Member"/>
    <s v="Female"/>
    <x v="1"/>
    <n v="44.84"/>
    <n v="9"/>
    <n v="20.178000000000001"/>
    <n v="423.738"/>
    <s v="1/14/2019"/>
    <d v="1899-12-30T14:00:00"/>
    <s v="Credit card"/>
    <n v="403.56"/>
    <n v="4.7619047620000003"/>
    <n v="20.178000000000001"/>
    <n v="7.5"/>
    <d v="2019-01-14T00:00:00"/>
    <x v="0"/>
    <x v="4"/>
    <x v="25"/>
    <x v="3"/>
  </r>
  <r>
    <s v="509-10-0516"/>
    <x v="2"/>
    <s v="Mandalay"/>
    <s v="Normal"/>
    <s v="Male"/>
    <x v="2"/>
    <n v="45.97"/>
    <n v="4"/>
    <n v="9.1940000000000008"/>
    <n v="193.07400000000001"/>
    <d v="2019-09-02T00:00:00"/>
    <d v="1899-12-30T12:02:00"/>
    <s v="Ewallet"/>
    <n v="183.88"/>
    <n v="4.7619047620000003"/>
    <n v="9.1940000000000008"/>
    <n v="5.0999999999999996"/>
    <d v="2019-02-09T00:00:00"/>
    <x v="2"/>
    <x v="10"/>
    <x v="9"/>
    <x v="0"/>
  </r>
  <r>
    <s v="595-94-9924"/>
    <x v="0"/>
    <s v="Yangon"/>
    <s v="Member"/>
    <s v="Female"/>
    <x v="0"/>
    <n v="27.73"/>
    <n v="5"/>
    <n v="6.9325000000000001"/>
    <n v="145.58250000000001"/>
    <s v="3/26/2019"/>
    <d v="1899-12-30T20:21:00"/>
    <s v="Credit card"/>
    <n v="138.65"/>
    <n v="4.7619047620000003"/>
    <n v="6.9325000000000001"/>
    <n v="4.2"/>
    <d v="2019-03-26T00:00:00"/>
    <x v="1"/>
    <x v="2"/>
    <x v="27"/>
    <x v="5"/>
  </r>
  <r>
    <s v="865-41-9075"/>
    <x v="0"/>
    <s v="Yangon"/>
    <s v="Normal"/>
    <s v="Male"/>
    <x v="4"/>
    <n v="11.53"/>
    <n v="7"/>
    <n v="4.0354999999999999"/>
    <n v="84.745500000000007"/>
    <s v="1/28/2019"/>
    <d v="1899-12-30T17:35:00"/>
    <s v="Cash"/>
    <n v="80.709999999999994"/>
    <n v="4.7619047620000003"/>
    <n v="4.0354999999999999"/>
    <n v="8.1"/>
    <d v="2019-01-28T00:00:00"/>
    <x v="0"/>
    <x v="6"/>
    <x v="19"/>
    <x v="3"/>
  </r>
  <r>
    <s v="545-07-8534"/>
    <x v="1"/>
    <s v="Naypyitaw"/>
    <s v="Normal"/>
    <s v="Female"/>
    <x v="0"/>
    <n v="58.32"/>
    <n v="2"/>
    <n v="5.8319999999999999"/>
    <n v="122.47199999999999"/>
    <s v="2/14/2019"/>
    <d v="1899-12-30T12:42:00"/>
    <s v="Ewallet"/>
    <n v="116.64"/>
    <n v="4.7619047620000003"/>
    <n v="5.8319999999999999"/>
    <n v="6"/>
    <d v="2019-02-14T00:00:00"/>
    <x v="2"/>
    <x v="10"/>
    <x v="25"/>
    <x v="4"/>
  </r>
  <r>
    <s v="118-62-1812"/>
    <x v="1"/>
    <s v="Naypyitaw"/>
    <s v="Member"/>
    <s v="Female"/>
    <x v="2"/>
    <n v="78.38"/>
    <n v="4"/>
    <n v="15.676"/>
    <n v="329.19600000000003"/>
    <s v="3/24/2019"/>
    <d v="1899-12-30T17:56:00"/>
    <s v="Cash"/>
    <n v="313.52"/>
    <n v="4.7619047620000003"/>
    <n v="15.676"/>
    <n v="7.9"/>
    <d v="2019-03-24T00:00:00"/>
    <x v="1"/>
    <x v="6"/>
    <x v="5"/>
    <x v="2"/>
  </r>
  <r>
    <s v="450-42-3339"/>
    <x v="1"/>
    <s v="Naypyitaw"/>
    <s v="Normal"/>
    <s v="Male"/>
    <x v="0"/>
    <n v="84.61"/>
    <n v="10"/>
    <n v="42.305"/>
    <n v="888.40499999999997"/>
    <d v="2019-09-02T00:00:00"/>
    <d v="1899-12-30T18:58:00"/>
    <s v="Credit card"/>
    <n v="846.1"/>
    <n v="4.7619047620000003"/>
    <n v="42.305"/>
    <n v="8.8000000000000007"/>
    <d v="2019-02-09T00:00:00"/>
    <x v="2"/>
    <x v="3"/>
    <x v="9"/>
    <x v="0"/>
  </r>
  <r>
    <s v="851-98-3555"/>
    <x v="2"/>
    <s v="Mandalay"/>
    <s v="Normal"/>
    <s v="Female"/>
    <x v="0"/>
    <n v="82.88"/>
    <n v="5"/>
    <n v="20.72"/>
    <n v="435.12"/>
    <s v="3/24/2019"/>
    <d v="1899-12-30T14:08:00"/>
    <s v="Credit card"/>
    <n v="414.4"/>
    <n v="4.7619047620000003"/>
    <n v="20.72"/>
    <n v="6.6"/>
    <d v="2019-03-24T00:00:00"/>
    <x v="1"/>
    <x v="4"/>
    <x v="5"/>
    <x v="2"/>
  </r>
  <r>
    <s v="186-71-5196"/>
    <x v="0"/>
    <s v="Yangon"/>
    <s v="Member"/>
    <s v="Female"/>
    <x v="4"/>
    <n v="79.540000000000006"/>
    <n v="2"/>
    <n v="7.9539999999999997"/>
    <n v="167.03399999999999"/>
    <s v="3/27/2019"/>
    <d v="1899-12-30T16:30:00"/>
    <s v="Ewallet"/>
    <n v="159.08000000000001"/>
    <n v="4.7619047620000003"/>
    <n v="7.9539999999999997"/>
    <n v="6.2"/>
    <d v="2019-03-27T00:00:00"/>
    <x v="1"/>
    <x v="7"/>
    <x v="3"/>
    <x v="6"/>
  </r>
  <r>
    <s v="624-01-8356"/>
    <x v="2"/>
    <s v="Mandalay"/>
    <s v="Normal"/>
    <s v="Female"/>
    <x v="2"/>
    <n v="49.01"/>
    <n v="10"/>
    <n v="24.504999999999999"/>
    <n v="514.60500000000002"/>
    <s v="1/27/2019"/>
    <d v="1899-12-30T10:44:00"/>
    <s v="Credit card"/>
    <n v="490.1"/>
    <n v="4.7619047620000003"/>
    <n v="24.504999999999999"/>
    <n v="4.2"/>
    <d v="2019-01-27T00:00:00"/>
    <x v="0"/>
    <x v="1"/>
    <x v="3"/>
    <x v="2"/>
  </r>
  <r>
    <s v="313-66-9943"/>
    <x v="2"/>
    <s v="Mandalay"/>
    <s v="Member"/>
    <s v="Female"/>
    <x v="4"/>
    <n v="29.15"/>
    <n v="3"/>
    <n v="4.3724999999999996"/>
    <n v="91.822500000000005"/>
    <s v="3/27/2019"/>
    <d v="1899-12-30T20:29:00"/>
    <s v="Credit card"/>
    <n v="87.45"/>
    <n v="4.7619047620000003"/>
    <n v="4.3724999999999996"/>
    <n v="7.3"/>
    <d v="2019-03-27T00:00:00"/>
    <x v="1"/>
    <x v="2"/>
    <x v="3"/>
    <x v="6"/>
  </r>
  <r>
    <s v="151-27-8496"/>
    <x v="1"/>
    <s v="Naypyitaw"/>
    <s v="Normal"/>
    <s v="Female"/>
    <x v="1"/>
    <n v="56.13"/>
    <n v="4"/>
    <n v="11.226000000000001"/>
    <n v="235.74600000000001"/>
    <s v="1/19/2019"/>
    <d v="1899-12-30T11:43:00"/>
    <s v="Ewallet"/>
    <n v="224.52"/>
    <n v="4.7619047620000003"/>
    <n v="11.226000000000001"/>
    <n v="8.6"/>
    <d v="2019-01-19T00:00:00"/>
    <x v="0"/>
    <x v="5"/>
    <x v="24"/>
    <x v="0"/>
  </r>
  <r>
    <s v="453-33-6436"/>
    <x v="0"/>
    <s v="Yangon"/>
    <s v="Normal"/>
    <s v="Female"/>
    <x v="2"/>
    <n v="93.12"/>
    <n v="8"/>
    <n v="37.247999999999998"/>
    <n v="782.20799999999997"/>
    <d v="2019-07-02T00:00:00"/>
    <d v="1899-12-30T10:09:00"/>
    <s v="Cash"/>
    <n v="744.96"/>
    <n v="4.7619047620000003"/>
    <n v="37.247999999999998"/>
    <n v="6.8"/>
    <d v="2019-02-07T00:00:00"/>
    <x v="2"/>
    <x v="1"/>
    <x v="11"/>
    <x v="4"/>
  </r>
  <r>
    <s v="522-57-8364"/>
    <x v="0"/>
    <s v="Yangon"/>
    <s v="Member"/>
    <s v="Male"/>
    <x v="5"/>
    <n v="51.34"/>
    <n v="8"/>
    <n v="20.536000000000001"/>
    <n v="431.25599999999997"/>
    <s v="1/31/2019"/>
    <d v="1899-12-30T10:00:00"/>
    <s v="Ewallet"/>
    <n v="410.72"/>
    <n v="4.7619047620000003"/>
    <n v="20.536000000000001"/>
    <n v="7.6"/>
    <d v="2019-01-31T00:00:00"/>
    <x v="0"/>
    <x v="1"/>
    <x v="30"/>
    <x v="4"/>
  </r>
  <r>
    <s v="459-45-2396"/>
    <x v="0"/>
    <s v="Yangon"/>
    <s v="Member"/>
    <s v="Female"/>
    <x v="4"/>
    <n v="99.6"/>
    <n v="3"/>
    <n v="14.94"/>
    <n v="313.74"/>
    <s v="2/25/2019"/>
    <d v="1899-12-30T18:45:00"/>
    <s v="Cash"/>
    <n v="298.8"/>
    <n v="4.7619047620000003"/>
    <n v="14.94"/>
    <n v="5.8"/>
    <d v="2019-02-25T00:00:00"/>
    <x v="2"/>
    <x v="3"/>
    <x v="4"/>
    <x v="3"/>
  </r>
  <r>
    <s v="717-96-4189"/>
    <x v="1"/>
    <s v="Naypyitaw"/>
    <s v="Normal"/>
    <s v="Female"/>
    <x v="1"/>
    <n v="35.49"/>
    <n v="6"/>
    <n v="10.647"/>
    <n v="223.58699999999999"/>
    <d v="2019-02-02T00:00:00"/>
    <d v="1899-12-30T12:40:00"/>
    <s v="Cash"/>
    <n v="212.94"/>
    <n v="4.7619047620000003"/>
    <n v="10.647"/>
    <n v="4.0999999999999996"/>
    <d v="2019-02-02T00:00:00"/>
    <x v="2"/>
    <x v="10"/>
    <x v="8"/>
    <x v="0"/>
  </r>
  <r>
    <s v="722-13-2115"/>
    <x v="1"/>
    <s v="Naypyitaw"/>
    <s v="Member"/>
    <s v="Male"/>
    <x v="3"/>
    <n v="42.85"/>
    <n v="1"/>
    <n v="2.1425000000000001"/>
    <n v="44.9925"/>
    <s v="3/14/2019"/>
    <d v="1899-12-30T15:36:00"/>
    <s v="Credit card"/>
    <n v="42.85"/>
    <n v="4.7619047620000003"/>
    <n v="2.1425000000000001"/>
    <n v="9.3000000000000007"/>
    <d v="2019-03-14T00:00:00"/>
    <x v="1"/>
    <x v="9"/>
    <x v="25"/>
    <x v="4"/>
  </r>
  <r>
    <s v="749-81-8133"/>
    <x v="0"/>
    <s v="Yangon"/>
    <s v="Normal"/>
    <s v="Female"/>
    <x v="5"/>
    <n v="94.67"/>
    <n v="4"/>
    <n v="18.934000000000001"/>
    <n v="397.61399999999998"/>
    <d v="2019-11-03T00:00:00"/>
    <d v="1899-12-30T12:04:00"/>
    <s v="Cash"/>
    <n v="378.68"/>
    <n v="4.7619047620000003"/>
    <n v="18.934000000000001"/>
    <n v="6.8"/>
    <d v="2019-03-11T00:00:00"/>
    <x v="1"/>
    <x v="10"/>
    <x v="14"/>
    <x v="3"/>
  </r>
  <r>
    <s v="777-67-2495"/>
    <x v="2"/>
    <s v="Mandalay"/>
    <s v="Normal"/>
    <s v="Male"/>
    <x v="2"/>
    <n v="68.97"/>
    <n v="3"/>
    <n v="10.345499999999999"/>
    <n v="217.25550000000001"/>
    <s v="2/22/2019"/>
    <d v="1899-12-30T11:26:00"/>
    <s v="Ewallet"/>
    <n v="206.91"/>
    <n v="4.7619047620000003"/>
    <n v="10.345499999999999"/>
    <n v="8.6999999999999993"/>
    <d v="2019-02-22T00:00:00"/>
    <x v="2"/>
    <x v="5"/>
    <x v="18"/>
    <x v="1"/>
  </r>
  <r>
    <s v="636-98-3364"/>
    <x v="2"/>
    <s v="Mandalay"/>
    <s v="Member"/>
    <s v="Female"/>
    <x v="1"/>
    <n v="26.26"/>
    <n v="3"/>
    <n v="3.9390000000000001"/>
    <n v="82.718999999999994"/>
    <d v="2019-02-03T00:00:00"/>
    <d v="1899-12-30T12:36:00"/>
    <s v="Ewallet"/>
    <n v="78.78"/>
    <n v="4.7619047620000003"/>
    <n v="3.9390000000000001"/>
    <n v="6.3"/>
    <d v="2019-03-02T00:00:00"/>
    <x v="1"/>
    <x v="10"/>
    <x v="8"/>
    <x v="0"/>
  </r>
  <r>
    <s v="246-55-6923"/>
    <x v="1"/>
    <s v="Naypyitaw"/>
    <s v="Member"/>
    <s v="Female"/>
    <x v="2"/>
    <n v="35.79"/>
    <n v="9"/>
    <n v="16.105499999999999"/>
    <n v="338.21550000000002"/>
    <d v="2019-10-03T00:00:00"/>
    <d v="1899-12-30T15:06:00"/>
    <s v="Credit card"/>
    <n v="322.11"/>
    <n v="4.7619047620000003"/>
    <n v="16.105499999999999"/>
    <n v="5.0999999999999996"/>
    <d v="2019-03-10T00:00:00"/>
    <x v="1"/>
    <x v="9"/>
    <x v="6"/>
    <x v="2"/>
  </r>
  <r>
    <s v="181-82-6255"/>
    <x v="2"/>
    <s v="Mandalay"/>
    <s v="Normal"/>
    <s v="Female"/>
    <x v="2"/>
    <n v="16.37"/>
    <n v="6"/>
    <n v="4.9109999999999996"/>
    <n v="103.131"/>
    <d v="2019-08-02T00:00:00"/>
    <d v="1899-12-30T10:58:00"/>
    <s v="Cash"/>
    <n v="98.22"/>
    <n v="4.7619047620000003"/>
    <n v="4.9109999999999996"/>
    <n v="7"/>
    <d v="2019-02-08T00:00:00"/>
    <x v="2"/>
    <x v="1"/>
    <x v="1"/>
    <x v="1"/>
  </r>
  <r>
    <s v="838-02-1821"/>
    <x v="1"/>
    <s v="Naypyitaw"/>
    <s v="Member"/>
    <s v="Female"/>
    <x v="2"/>
    <n v="12.73"/>
    <n v="2"/>
    <n v="1.2729999999999999"/>
    <n v="26.733000000000001"/>
    <s v="2/22/2019"/>
    <d v="1899-12-30T12:10:00"/>
    <s v="Credit card"/>
    <n v="25.46"/>
    <n v="4.7619047620000003"/>
    <n v="1.2729999999999999"/>
    <n v="5.2"/>
    <d v="2019-02-22T00:00:00"/>
    <x v="2"/>
    <x v="10"/>
    <x v="18"/>
    <x v="1"/>
  </r>
  <r>
    <s v="887-42-0517"/>
    <x v="1"/>
    <s v="Naypyitaw"/>
    <s v="Normal"/>
    <s v="Female"/>
    <x v="3"/>
    <n v="83.14"/>
    <n v="7"/>
    <n v="29.099"/>
    <n v="611.07899999999995"/>
    <d v="2019-10-01T00:00:00"/>
    <d v="1899-12-30T10:31:00"/>
    <s v="Credit card"/>
    <n v="581.98"/>
    <n v="4.7619047620000003"/>
    <n v="29.099"/>
    <n v="6.6"/>
    <d v="2019-01-10T00:00:00"/>
    <x v="0"/>
    <x v="1"/>
    <x v="6"/>
    <x v="4"/>
  </r>
  <r>
    <s v="457-12-0244"/>
    <x v="1"/>
    <s v="Naypyitaw"/>
    <s v="Member"/>
    <s v="Female"/>
    <x v="3"/>
    <n v="35.22"/>
    <n v="6"/>
    <n v="10.566000000000001"/>
    <n v="221.886"/>
    <s v="3/14/2019"/>
    <d v="1899-12-30T13:49:00"/>
    <s v="Ewallet"/>
    <n v="211.32"/>
    <n v="4.7619047620000003"/>
    <n v="10.566000000000001"/>
    <n v="6.5"/>
    <d v="2019-03-14T00:00:00"/>
    <x v="1"/>
    <x v="0"/>
    <x v="25"/>
    <x v="4"/>
  </r>
  <r>
    <s v="226-34-0034"/>
    <x v="2"/>
    <s v="Mandalay"/>
    <s v="Normal"/>
    <s v="Female"/>
    <x v="1"/>
    <n v="13.78"/>
    <n v="4"/>
    <n v="2.7559999999999998"/>
    <n v="57.875999999999998"/>
    <d v="2019-10-01T00:00:00"/>
    <d v="1899-12-30T11:10:00"/>
    <s v="Ewallet"/>
    <n v="55.12"/>
    <n v="4.7619047620000003"/>
    <n v="2.7559999999999998"/>
    <n v="9"/>
    <d v="2019-01-10T00:00:00"/>
    <x v="0"/>
    <x v="5"/>
    <x v="6"/>
    <x v="4"/>
  </r>
  <r>
    <s v="321-49-7382"/>
    <x v="2"/>
    <s v="Mandalay"/>
    <s v="Member"/>
    <s v="Male"/>
    <x v="3"/>
    <n v="88.31"/>
    <n v="1"/>
    <n v="4.4154999999999998"/>
    <n v="92.725499999999997"/>
    <s v="2/15/2019"/>
    <d v="1899-12-30T17:38:00"/>
    <s v="Credit card"/>
    <n v="88.31"/>
    <n v="4.7619047620000003"/>
    <n v="4.4154999999999998"/>
    <n v="5.2"/>
    <d v="2019-02-15T00:00:00"/>
    <x v="2"/>
    <x v="6"/>
    <x v="13"/>
    <x v="1"/>
  </r>
  <r>
    <s v="397-25-8725"/>
    <x v="0"/>
    <s v="Yangon"/>
    <s v="Member"/>
    <s v="Female"/>
    <x v="0"/>
    <n v="39.619999999999997"/>
    <n v="9"/>
    <n v="17.829000000000001"/>
    <n v="374.40899999999999"/>
    <s v="1/13/2019"/>
    <d v="1899-12-30T17:54:00"/>
    <s v="Credit card"/>
    <n v="356.58"/>
    <n v="4.7619047620000003"/>
    <n v="17.829000000000001"/>
    <n v="6.8"/>
    <d v="2019-01-13T00:00:00"/>
    <x v="0"/>
    <x v="6"/>
    <x v="26"/>
    <x v="2"/>
  </r>
  <r>
    <s v="431-66-2305"/>
    <x v="2"/>
    <s v="Mandalay"/>
    <s v="Normal"/>
    <s v="Female"/>
    <x v="1"/>
    <n v="88.25"/>
    <n v="9"/>
    <n v="39.712499999999999"/>
    <n v="833.96249999999998"/>
    <s v="2/15/2019"/>
    <d v="1899-12-30T20:51:00"/>
    <s v="Credit card"/>
    <n v="794.25"/>
    <n v="4.7619047620000003"/>
    <n v="39.712499999999999"/>
    <n v="7.6"/>
    <d v="2019-02-15T00:00:00"/>
    <x v="2"/>
    <x v="2"/>
    <x v="13"/>
    <x v="1"/>
  </r>
  <r>
    <s v="825-94-5922"/>
    <x v="2"/>
    <s v="Mandalay"/>
    <s v="Normal"/>
    <s v="Male"/>
    <x v="3"/>
    <n v="25.31"/>
    <n v="2"/>
    <n v="2.5310000000000001"/>
    <n v="53.151000000000003"/>
    <d v="2019-02-03T00:00:00"/>
    <d v="1899-12-30T19:26:00"/>
    <s v="Ewallet"/>
    <n v="50.62"/>
    <n v="4.7619047620000003"/>
    <n v="2.5310000000000001"/>
    <n v="7.2"/>
    <d v="2019-03-02T00:00:00"/>
    <x v="1"/>
    <x v="8"/>
    <x v="8"/>
    <x v="0"/>
  </r>
  <r>
    <s v="641-62-7288"/>
    <x v="2"/>
    <s v="Mandalay"/>
    <s v="Normal"/>
    <s v="Male"/>
    <x v="2"/>
    <n v="99.92"/>
    <n v="6"/>
    <n v="29.975999999999999"/>
    <n v="629.49599999999998"/>
    <s v="3/24/2019"/>
    <d v="1899-12-30T13:33:00"/>
    <s v="Ewallet"/>
    <n v="599.52"/>
    <n v="4.7619047620000003"/>
    <n v="29.975999999999999"/>
    <n v="7.1"/>
    <d v="2019-03-24T00:00:00"/>
    <x v="1"/>
    <x v="0"/>
    <x v="5"/>
    <x v="2"/>
  </r>
  <r>
    <s v="756-93-1854"/>
    <x v="1"/>
    <s v="Naypyitaw"/>
    <s v="Member"/>
    <s v="Female"/>
    <x v="5"/>
    <n v="83.35"/>
    <n v="2"/>
    <n v="8.3350000000000009"/>
    <n v="175.035"/>
    <d v="2019-02-02T00:00:00"/>
    <d v="1899-12-30T14:05:00"/>
    <s v="Credit card"/>
    <n v="166.7"/>
    <n v="4.7619047620000003"/>
    <n v="8.3350000000000009"/>
    <n v="9.5"/>
    <d v="2019-02-02T00:00:00"/>
    <x v="2"/>
    <x v="4"/>
    <x v="8"/>
    <x v="0"/>
  </r>
  <r>
    <s v="243-55-8457"/>
    <x v="0"/>
    <s v="Yangon"/>
    <s v="Normal"/>
    <s v="Female"/>
    <x v="4"/>
    <n v="74.44"/>
    <n v="10"/>
    <n v="37.22"/>
    <n v="781.62"/>
    <s v="2/27/2019"/>
    <d v="1899-12-30T11:40:00"/>
    <s v="Ewallet"/>
    <n v="744.4"/>
    <n v="4.7619047620000003"/>
    <n v="37.22"/>
    <n v="5.0999999999999996"/>
    <d v="2019-02-27T00:00:00"/>
    <x v="2"/>
    <x v="5"/>
    <x v="3"/>
    <x v="6"/>
  </r>
  <r>
    <s v="458-10-8612"/>
    <x v="1"/>
    <s v="Naypyitaw"/>
    <s v="Normal"/>
    <s v="Male"/>
    <x v="0"/>
    <n v="64.08"/>
    <n v="7"/>
    <n v="22.428000000000001"/>
    <n v="470.988"/>
    <s v="1/20/2019"/>
    <d v="1899-12-30T12:27:00"/>
    <s v="Ewallet"/>
    <n v="448.56"/>
    <n v="4.7619047620000003"/>
    <n v="22.428000000000001"/>
    <n v="7.6"/>
    <d v="2019-01-20T00:00:00"/>
    <x v="0"/>
    <x v="10"/>
    <x v="7"/>
    <x v="2"/>
  </r>
  <r>
    <s v="501-61-1753"/>
    <x v="2"/>
    <s v="Mandalay"/>
    <s v="Normal"/>
    <s v="Female"/>
    <x v="2"/>
    <n v="63.15"/>
    <n v="6"/>
    <n v="18.945"/>
    <n v="397.84500000000003"/>
    <d v="2019-03-01T00:00:00"/>
    <d v="1899-12-30T20:24:00"/>
    <s v="Ewallet"/>
    <n v="378.9"/>
    <n v="4.7619047620000003"/>
    <n v="18.945"/>
    <n v="9.8000000000000007"/>
    <d v="2019-01-03T00:00:00"/>
    <x v="0"/>
    <x v="2"/>
    <x v="2"/>
    <x v="4"/>
  </r>
  <r>
    <s v="235-06-8510"/>
    <x v="1"/>
    <s v="Naypyitaw"/>
    <s v="Member"/>
    <s v="Male"/>
    <x v="2"/>
    <n v="85.72"/>
    <n v="3"/>
    <n v="12.858000000000001"/>
    <n v="270.01799999999997"/>
    <s v="1/24/2019"/>
    <d v="1899-12-30T20:59:00"/>
    <s v="Ewallet"/>
    <n v="257.16000000000003"/>
    <n v="4.7619047620000003"/>
    <n v="12.858000000000001"/>
    <n v="5.0999999999999996"/>
    <d v="2019-01-24T00:00:00"/>
    <x v="0"/>
    <x v="2"/>
    <x v="5"/>
    <x v="4"/>
  </r>
  <r>
    <s v="433-08-7822"/>
    <x v="1"/>
    <s v="Naypyitaw"/>
    <s v="Normal"/>
    <s v="Female"/>
    <x v="0"/>
    <n v="78.89"/>
    <n v="7"/>
    <n v="27.611499999999999"/>
    <n v="579.8415"/>
    <d v="2019-05-01T00:00:00"/>
    <d v="1899-12-30T19:48:00"/>
    <s v="Ewallet"/>
    <n v="552.23"/>
    <n v="4.7619047620000003"/>
    <n v="27.611499999999999"/>
    <n v="7.5"/>
    <d v="2019-01-05T00:00:00"/>
    <x v="0"/>
    <x v="8"/>
    <x v="0"/>
    <x v="0"/>
  </r>
  <r>
    <s v="361-85-2571"/>
    <x v="0"/>
    <s v="Yangon"/>
    <s v="Normal"/>
    <s v="Female"/>
    <x v="3"/>
    <n v="89.48"/>
    <n v="5"/>
    <n v="22.37"/>
    <n v="469.77"/>
    <s v="3/30/2019"/>
    <d v="1899-12-30T10:18:00"/>
    <s v="Cash"/>
    <n v="447.4"/>
    <n v="4.7619047620000003"/>
    <n v="22.37"/>
    <n v="7.4"/>
    <d v="2019-03-30T00:00:00"/>
    <x v="1"/>
    <x v="1"/>
    <x v="29"/>
    <x v="0"/>
  </r>
  <r>
    <s v="131-70-8179"/>
    <x v="0"/>
    <s v="Yangon"/>
    <s v="Member"/>
    <s v="Female"/>
    <x v="0"/>
    <n v="92.09"/>
    <n v="3"/>
    <n v="13.813499999999999"/>
    <n v="290.08350000000002"/>
    <s v="2/17/2019"/>
    <d v="1899-12-30T16:27:00"/>
    <s v="Cash"/>
    <n v="276.27"/>
    <n v="4.7619047620000003"/>
    <n v="13.813499999999999"/>
    <n v="4.2"/>
    <d v="2019-02-17T00:00:00"/>
    <x v="2"/>
    <x v="7"/>
    <x v="17"/>
    <x v="2"/>
  </r>
  <r>
    <s v="500-02-2261"/>
    <x v="1"/>
    <s v="Naypyitaw"/>
    <s v="Normal"/>
    <s v="Female"/>
    <x v="4"/>
    <n v="57.29"/>
    <n v="6"/>
    <n v="17.187000000000001"/>
    <n v="360.92700000000002"/>
    <s v="3/21/2019"/>
    <d v="1899-12-30T17:04:00"/>
    <s v="Ewallet"/>
    <n v="343.74"/>
    <n v="4.7619047620000003"/>
    <n v="17.187000000000001"/>
    <n v="5.9"/>
    <d v="2019-03-21T00:00:00"/>
    <x v="1"/>
    <x v="6"/>
    <x v="16"/>
    <x v="4"/>
  </r>
  <r>
    <s v="720-72-2436"/>
    <x v="0"/>
    <s v="Yangon"/>
    <s v="Normal"/>
    <s v="Male"/>
    <x v="4"/>
    <n v="66.52"/>
    <n v="4"/>
    <n v="13.304"/>
    <n v="279.38400000000001"/>
    <d v="2019-02-03T00:00:00"/>
    <d v="1899-12-30T18:14:00"/>
    <s v="Ewallet"/>
    <n v="266.08"/>
    <n v="4.7619047620000003"/>
    <n v="13.304"/>
    <n v="6.9"/>
    <d v="2019-03-02T00:00:00"/>
    <x v="1"/>
    <x v="3"/>
    <x v="8"/>
    <x v="0"/>
  </r>
  <r>
    <s v="702-83-5291"/>
    <x v="1"/>
    <s v="Naypyitaw"/>
    <s v="Member"/>
    <s v="Male"/>
    <x v="5"/>
    <n v="99.82"/>
    <n v="9"/>
    <n v="44.918999999999997"/>
    <n v="943.29899999999998"/>
    <s v="3/27/2019"/>
    <d v="1899-12-30T10:43:00"/>
    <s v="Cash"/>
    <n v="898.38"/>
    <n v="4.7619047620000003"/>
    <n v="44.918999999999997"/>
    <n v="6.6"/>
    <d v="2019-03-27T00:00:00"/>
    <x v="1"/>
    <x v="1"/>
    <x v="3"/>
    <x v="6"/>
  </r>
  <r>
    <s v="809-69-9497"/>
    <x v="0"/>
    <s v="Yangon"/>
    <s v="Normal"/>
    <s v="Female"/>
    <x v="2"/>
    <n v="45.68"/>
    <n v="10"/>
    <n v="22.84"/>
    <n v="479.64"/>
    <s v="1/19/2019"/>
    <d v="1899-12-30T19:30:00"/>
    <s v="Ewallet"/>
    <n v="456.8"/>
    <n v="4.7619047620000003"/>
    <n v="22.84"/>
    <n v="5.7"/>
    <d v="2019-01-19T00:00:00"/>
    <x v="0"/>
    <x v="8"/>
    <x v="24"/>
    <x v="0"/>
  </r>
  <r>
    <s v="449-16-6770"/>
    <x v="0"/>
    <s v="Yangon"/>
    <s v="Normal"/>
    <s v="Male"/>
    <x v="0"/>
    <n v="50.79"/>
    <n v="5"/>
    <n v="12.6975"/>
    <n v="266.64749999999998"/>
    <s v="2/19/2019"/>
    <d v="1899-12-30T14:53:00"/>
    <s v="Credit card"/>
    <n v="253.95"/>
    <n v="4.7619047620000003"/>
    <n v="12.6975"/>
    <n v="5.3"/>
    <d v="2019-02-19T00:00:00"/>
    <x v="2"/>
    <x v="4"/>
    <x v="24"/>
    <x v="5"/>
  </r>
  <r>
    <s v="333-23-2632"/>
    <x v="0"/>
    <s v="Yangon"/>
    <s v="Member"/>
    <s v="Male"/>
    <x v="0"/>
    <n v="10.08"/>
    <n v="7"/>
    <n v="3.528"/>
    <n v="74.087999999999994"/>
    <s v="3/28/2019"/>
    <d v="1899-12-30T20:14:00"/>
    <s v="Cash"/>
    <n v="70.56"/>
    <n v="4.7619047620000003"/>
    <n v="3.528"/>
    <n v="4.2"/>
    <d v="2019-03-28T00:00:00"/>
    <x v="1"/>
    <x v="2"/>
    <x v="19"/>
    <x v="4"/>
  </r>
  <r>
    <s v="489-82-1237"/>
    <x v="0"/>
    <s v="Yangon"/>
    <s v="Normal"/>
    <s v="Female"/>
    <x v="1"/>
    <n v="93.88"/>
    <n v="7"/>
    <n v="32.857999999999997"/>
    <n v="690.01800000000003"/>
    <d v="2019-05-01T00:00:00"/>
    <d v="1899-12-30T11:51:00"/>
    <s v="Credit card"/>
    <n v="657.16"/>
    <n v="4.7619047620000003"/>
    <n v="32.857999999999997"/>
    <n v="7.3"/>
    <d v="2019-01-05T00:00:00"/>
    <x v="0"/>
    <x v="5"/>
    <x v="0"/>
    <x v="0"/>
  </r>
  <r>
    <s v="859-97-6048"/>
    <x v="1"/>
    <s v="Naypyitaw"/>
    <s v="Member"/>
    <s v="Male"/>
    <x v="1"/>
    <n v="84.25"/>
    <n v="2"/>
    <n v="8.4250000000000007"/>
    <n v="176.92500000000001"/>
    <s v="3/26/2019"/>
    <d v="1899-12-30T14:13:00"/>
    <s v="Credit card"/>
    <n v="168.5"/>
    <n v="4.7619047620000003"/>
    <n v="8.4250000000000007"/>
    <n v="5.3"/>
    <d v="2019-03-26T00:00:00"/>
    <x v="1"/>
    <x v="4"/>
    <x v="27"/>
    <x v="5"/>
  </r>
  <r>
    <s v="676-10-2200"/>
    <x v="2"/>
    <s v="Mandalay"/>
    <s v="Member"/>
    <s v="Male"/>
    <x v="5"/>
    <n v="53.78"/>
    <n v="1"/>
    <n v="2.6890000000000001"/>
    <n v="56.469000000000001"/>
    <d v="2019-03-02T00:00:00"/>
    <d v="1899-12-30T20:13:00"/>
    <s v="Ewallet"/>
    <n v="53.78"/>
    <n v="4.7619047620000003"/>
    <n v="2.6890000000000001"/>
    <n v="4.7"/>
    <d v="2019-02-03T00:00:00"/>
    <x v="2"/>
    <x v="2"/>
    <x v="2"/>
    <x v="2"/>
  </r>
  <r>
    <s v="373-88-1424"/>
    <x v="1"/>
    <s v="Naypyitaw"/>
    <s v="Member"/>
    <s v="Male"/>
    <x v="2"/>
    <n v="35.81"/>
    <n v="5"/>
    <n v="8.9525000000000006"/>
    <n v="188.0025"/>
    <d v="2019-06-02T00:00:00"/>
    <d v="1899-12-30T18:44:00"/>
    <s v="Ewallet"/>
    <n v="179.05"/>
    <n v="4.7619047620000003"/>
    <n v="8.9525000000000006"/>
    <n v="7.9"/>
    <d v="2019-02-06T00:00:00"/>
    <x v="2"/>
    <x v="3"/>
    <x v="20"/>
    <x v="6"/>
  </r>
  <r>
    <s v="365-16-4334"/>
    <x v="2"/>
    <s v="Mandalay"/>
    <s v="Normal"/>
    <s v="Female"/>
    <x v="4"/>
    <n v="26.43"/>
    <n v="8"/>
    <n v="10.571999999999999"/>
    <n v="222.012"/>
    <s v="2/24/2019"/>
    <d v="1899-12-30T14:26:00"/>
    <s v="Ewallet"/>
    <n v="211.44"/>
    <n v="4.7619047620000003"/>
    <n v="10.571999999999999"/>
    <n v="8.9"/>
    <d v="2019-02-24T00:00:00"/>
    <x v="2"/>
    <x v="4"/>
    <x v="5"/>
    <x v="2"/>
  </r>
  <r>
    <s v="503-21-4385"/>
    <x v="2"/>
    <s v="Mandalay"/>
    <s v="Member"/>
    <s v="Male"/>
    <x v="0"/>
    <n v="39.909999999999997"/>
    <n v="3"/>
    <n v="5.9865000000000004"/>
    <n v="125.7165"/>
    <s v="2/21/2019"/>
    <d v="1899-12-30T12:40:00"/>
    <s v="Ewallet"/>
    <n v="119.73"/>
    <n v="4.7619047620000003"/>
    <n v="5.9865000000000004"/>
    <n v="9.3000000000000007"/>
    <d v="2019-02-21T00:00:00"/>
    <x v="2"/>
    <x v="10"/>
    <x v="16"/>
    <x v="4"/>
  </r>
  <r>
    <s v="305-89-2768"/>
    <x v="2"/>
    <s v="Mandalay"/>
    <s v="Member"/>
    <s v="Female"/>
    <x v="2"/>
    <n v="21.9"/>
    <n v="3"/>
    <n v="3.2850000000000001"/>
    <n v="68.984999999999999"/>
    <d v="2019-09-01T00:00:00"/>
    <d v="1899-12-30T18:43:00"/>
    <s v="Ewallet"/>
    <n v="65.7"/>
    <n v="4.7619047620000003"/>
    <n v="3.2850000000000001"/>
    <n v="4.7"/>
    <d v="2019-01-09T00:00:00"/>
    <x v="0"/>
    <x v="3"/>
    <x v="9"/>
    <x v="6"/>
  </r>
  <r>
    <s v="574-80-1489"/>
    <x v="2"/>
    <s v="Mandalay"/>
    <s v="Member"/>
    <s v="Female"/>
    <x v="4"/>
    <n v="62.85"/>
    <n v="4"/>
    <n v="12.57"/>
    <n v="263.97000000000003"/>
    <s v="2/25/2019"/>
    <d v="1899-12-30T13:22:00"/>
    <s v="Ewallet"/>
    <n v="251.4"/>
    <n v="4.7619047620000003"/>
    <n v="12.57"/>
    <n v="8.6999999999999993"/>
    <d v="2019-02-25T00:00:00"/>
    <x v="2"/>
    <x v="0"/>
    <x v="4"/>
    <x v="3"/>
  </r>
  <r>
    <s v="784-08-0310"/>
    <x v="1"/>
    <s v="Naypyitaw"/>
    <s v="Member"/>
    <s v="Female"/>
    <x v="4"/>
    <n v="21.04"/>
    <n v="4"/>
    <n v="4.2080000000000002"/>
    <n v="88.367999999999995"/>
    <s v="1/13/2019"/>
    <d v="1899-12-30T13:58:00"/>
    <s v="Cash"/>
    <n v="84.16"/>
    <n v="4.7619047620000003"/>
    <n v="4.2080000000000002"/>
    <n v="7.6"/>
    <d v="2019-01-13T00:00:00"/>
    <x v="0"/>
    <x v="0"/>
    <x v="26"/>
    <x v="2"/>
  </r>
  <r>
    <s v="200-40-6154"/>
    <x v="2"/>
    <s v="Mandalay"/>
    <s v="Member"/>
    <s v="Male"/>
    <x v="2"/>
    <n v="65.91"/>
    <n v="6"/>
    <n v="19.773"/>
    <n v="415.233"/>
    <d v="2019-09-02T00:00:00"/>
    <d v="1899-12-30T11:45:00"/>
    <s v="Cash"/>
    <n v="395.46"/>
    <n v="4.7619047620000003"/>
    <n v="19.773"/>
    <n v="5.7"/>
    <d v="2019-02-09T00:00:00"/>
    <x v="2"/>
    <x v="5"/>
    <x v="9"/>
    <x v="0"/>
  </r>
  <r>
    <s v="846-10-0341"/>
    <x v="0"/>
    <s v="Yangon"/>
    <s v="Normal"/>
    <s v="Female"/>
    <x v="5"/>
    <n v="42.57"/>
    <n v="7"/>
    <n v="14.8995"/>
    <n v="312.8895"/>
    <d v="2019-06-01T00:00:00"/>
    <d v="1899-12-30T11:51:00"/>
    <s v="Cash"/>
    <n v="297.99"/>
    <n v="4.7619047620000003"/>
    <n v="14.8995"/>
    <n v="6.8"/>
    <d v="2019-01-06T00:00:00"/>
    <x v="0"/>
    <x v="5"/>
    <x v="20"/>
    <x v="2"/>
  </r>
  <r>
    <s v="577-34-7579"/>
    <x v="1"/>
    <s v="Naypyitaw"/>
    <s v="Member"/>
    <s v="Male"/>
    <x v="4"/>
    <n v="50.49"/>
    <n v="9"/>
    <n v="22.720500000000001"/>
    <n v="477.13049999999998"/>
    <d v="2019-10-01T00:00:00"/>
    <d v="1899-12-30T17:16:00"/>
    <s v="Cash"/>
    <n v="454.41"/>
    <n v="4.7619047620000003"/>
    <n v="22.720500000000001"/>
    <n v="5.4"/>
    <d v="2019-01-10T00:00:00"/>
    <x v="0"/>
    <x v="6"/>
    <x v="6"/>
    <x v="4"/>
  </r>
  <r>
    <s v="430-02-3888"/>
    <x v="2"/>
    <s v="Mandalay"/>
    <s v="Normal"/>
    <s v="Male"/>
    <x v="1"/>
    <n v="46.02"/>
    <n v="6"/>
    <n v="13.805999999999999"/>
    <n v="289.92599999999999"/>
    <d v="2019-07-02T00:00:00"/>
    <d v="1899-12-30T15:55:00"/>
    <s v="Cash"/>
    <n v="276.12"/>
    <n v="4.7619047620000003"/>
    <n v="13.805999999999999"/>
    <n v="7.1"/>
    <d v="2019-02-07T00:00:00"/>
    <x v="2"/>
    <x v="9"/>
    <x v="11"/>
    <x v="4"/>
  </r>
  <r>
    <s v="867-47-1948"/>
    <x v="1"/>
    <s v="Naypyitaw"/>
    <s v="Normal"/>
    <s v="Female"/>
    <x v="2"/>
    <n v="15.8"/>
    <n v="10"/>
    <n v="7.9"/>
    <n v="165.9"/>
    <d v="2019-09-01T00:00:00"/>
    <d v="1899-12-30T12:07:00"/>
    <s v="Cash"/>
    <n v="158"/>
    <n v="4.7619047620000003"/>
    <n v="7.9"/>
    <n v="7.8"/>
    <d v="2019-01-09T00:00:00"/>
    <x v="0"/>
    <x v="10"/>
    <x v="9"/>
    <x v="6"/>
  </r>
  <r>
    <s v="384-59-6655"/>
    <x v="0"/>
    <s v="Yangon"/>
    <s v="Member"/>
    <s v="Female"/>
    <x v="4"/>
    <n v="98.66"/>
    <n v="9"/>
    <n v="44.396999999999998"/>
    <n v="932.33699999999999"/>
    <s v="2/19/2019"/>
    <d v="1899-12-30T15:07:00"/>
    <s v="Cash"/>
    <n v="887.94"/>
    <n v="4.7619047620000003"/>
    <n v="44.396999999999998"/>
    <n v="8.4"/>
    <d v="2019-02-19T00:00:00"/>
    <x v="2"/>
    <x v="9"/>
    <x v="24"/>
    <x v="5"/>
  </r>
  <r>
    <s v="256-58-3609"/>
    <x v="1"/>
    <s v="Naypyitaw"/>
    <s v="Member"/>
    <s v="Male"/>
    <x v="5"/>
    <n v="91.98"/>
    <n v="1"/>
    <n v="4.5990000000000002"/>
    <n v="96.578999999999994"/>
    <s v="3/18/2019"/>
    <d v="1899-12-30T15:29:00"/>
    <s v="Cash"/>
    <n v="91.98"/>
    <n v="4.7619047620000003"/>
    <n v="4.5990000000000002"/>
    <n v="9.8000000000000007"/>
    <d v="2019-03-18T00:00:00"/>
    <x v="1"/>
    <x v="9"/>
    <x v="28"/>
    <x v="3"/>
  </r>
  <r>
    <s v="324-92-3863"/>
    <x v="0"/>
    <s v="Yangon"/>
    <s v="Member"/>
    <s v="Male"/>
    <x v="1"/>
    <n v="20.89"/>
    <n v="2"/>
    <n v="2.089"/>
    <n v="43.869"/>
    <d v="2019-05-02T00:00:00"/>
    <d v="1899-12-30T18:45:00"/>
    <s v="Cash"/>
    <n v="41.78"/>
    <n v="4.7619047620000003"/>
    <n v="2.089"/>
    <n v="9.8000000000000007"/>
    <d v="2019-02-05T00:00:00"/>
    <x v="2"/>
    <x v="3"/>
    <x v="0"/>
    <x v="5"/>
  </r>
  <r>
    <s v="593-08-5916"/>
    <x v="0"/>
    <s v="Yangon"/>
    <s v="Normal"/>
    <s v="Female"/>
    <x v="5"/>
    <n v="15.5"/>
    <n v="1"/>
    <n v="0.77500000000000002"/>
    <n v="16.274999999999999"/>
    <s v="3/19/2019"/>
    <d v="1899-12-30T15:23:00"/>
    <s v="Credit card"/>
    <n v="15.5"/>
    <n v="4.7619047620000003"/>
    <n v="0.77500000000000002"/>
    <n v="7.4"/>
    <d v="2019-03-19T00:00:00"/>
    <x v="1"/>
    <x v="9"/>
    <x v="24"/>
    <x v="5"/>
  </r>
  <r>
    <s v="364-34-2972"/>
    <x v="1"/>
    <s v="Naypyitaw"/>
    <s v="Member"/>
    <s v="Male"/>
    <x v="1"/>
    <n v="96.82"/>
    <n v="3"/>
    <n v="14.523"/>
    <n v="304.983"/>
    <s v="3/30/2019"/>
    <d v="1899-12-30T20:37:00"/>
    <s v="Cash"/>
    <n v="290.45999999999998"/>
    <n v="4.7619047620000003"/>
    <n v="14.523"/>
    <n v="6.7"/>
    <d v="2019-03-30T00:00:00"/>
    <x v="1"/>
    <x v="2"/>
    <x v="29"/>
    <x v="0"/>
  </r>
  <r>
    <s v="794-42-3736"/>
    <x v="2"/>
    <s v="Mandalay"/>
    <s v="Normal"/>
    <s v="Male"/>
    <x v="4"/>
    <n v="33.33"/>
    <n v="2"/>
    <n v="3.3330000000000002"/>
    <n v="69.992999999999995"/>
    <s v="1/26/2019"/>
    <d v="1899-12-30T14:41:00"/>
    <s v="Credit card"/>
    <n v="66.66"/>
    <n v="4.7619047620000003"/>
    <n v="3.3330000000000002"/>
    <n v="6.4"/>
    <d v="2019-01-26T00:00:00"/>
    <x v="0"/>
    <x v="4"/>
    <x v="27"/>
    <x v="0"/>
  </r>
  <r>
    <s v="172-42-8274"/>
    <x v="2"/>
    <s v="Mandalay"/>
    <s v="Normal"/>
    <s v="Female"/>
    <x v="1"/>
    <n v="38.270000000000003"/>
    <n v="2"/>
    <n v="3.827"/>
    <n v="80.367000000000004"/>
    <d v="2019-02-03T00:00:00"/>
    <d v="1899-12-30T18:18:00"/>
    <s v="Credit card"/>
    <n v="76.540000000000006"/>
    <n v="4.7619047620000003"/>
    <n v="3.827"/>
    <n v="5.8"/>
    <d v="2019-03-02T00:00:00"/>
    <x v="1"/>
    <x v="3"/>
    <x v="8"/>
    <x v="0"/>
  </r>
  <r>
    <s v="558-60-5016"/>
    <x v="0"/>
    <s v="Yangon"/>
    <s v="Normal"/>
    <s v="Female"/>
    <x v="2"/>
    <n v="33.299999999999997"/>
    <n v="9"/>
    <n v="14.984999999999999"/>
    <n v="314.685"/>
    <d v="2019-04-03T00:00:00"/>
    <d v="1899-12-30T15:27:00"/>
    <s v="Ewallet"/>
    <n v="299.7"/>
    <n v="4.7619047620000003"/>
    <n v="14.984999999999999"/>
    <n v="7.2"/>
    <d v="2019-03-04T00:00:00"/>
    <x v="1"/>
    <x v="9"/>
    <x v="22"/>
    <x v="3"/>
  </r>
  <r>
    <s v="195-06-0432"/>
    <x v="0"/>
    <s v="Yangon"/>
    <s v="Member"/>
    <s v="Male"/>
    <x v="2"/>
    <n v="81.010000000000005"/>
    <n v="3"/>
    <n v="12.1515"/>
    <n v="255.1815"/>
    <s v="1/13/2019"/>
    <d v="1899-12-30T12:55:00"/>
    <s v="Credit card"/>
    <n v="243.03"/>
    <n v="4.7619047620000003"/>
    <n v="12.1515"/>
    <n v="9.3000000000000007"/>
    <d v="2019-01-13T00:00:00"/>
    <x v="0"/>
    <x v="10"/>
    <x v="26"/>
    <x v="2"/>
  </r>
  <r>
    <s v="605-03-2706"/>
    <x v="0"/>
    <s v="Yangon"/>
    <s v="Normal"/>
    <s v="Female"/>
    <x v="0"/>
    <n v="15.8"/>
    <n v="3"/>
    <n v="2.37"/>
    <n v="49.77"/>
    <s v="3/25/2019"/>
    <d v="1899-12-30T18:02:00"/>
    <s v="Cash"/>
    <n v="47.4"/>
    <n v="4.7619047620000003"/>
    <n v="2.37"/>
    <n v="9.5"/>
    <d v="2019-03-25T00:00:00"/>
    <x v="1"/>
    <x v="3"/>
    <x v="4"/>
    <x v="3"/>
  </r>
  <r>
    <s v="214-30-2776"/>
    <x v="2"/>
    <s v="Mandalay"/>
    <s v="Member"/>
    <s v="Female"/>
    <x v="1"/>
    <n v="34.49"/>
    <n v="5"/>
    <n v="8.6225000000000005"/>
    <n v="181.07249999999999"/>
    <d v="2019-11-03T00:00:00"/>
    <d v="1899-12-30T19:44:00"/>
    <s v="Credit card"/>
    <n v="172.45"/>
    <n v="4.7619047620000003"/>
    <n v="8.6225000000000005"/>
    <n v="9"/>
    <d v="2019-03-11T00:00:00"/>
    <x v="1"/>
    <x v="8"/>
    <x v="14"/>
    <x v="3"/>
  </r>
  <r>
    <s v="746-04-1077"/>
    <x v="2"/>
    <s v="Mandalay"/>
    <s v="Member"/>
    <s v="Female"/>
    <x v="4"/>
    <n v="84.63"/>
    <n v="10"/>
    <n v="42.314999999999998"/>
    <n v="888.61500000000001"/>
    <d v="2019-01-01T00:00:00"/>
    <d v="1899-12-30T11:36:00"/>
    <s v="Credit card"/>
    <n v="846.3"/>
    <n v="4.7619047620000003"/>
    <n v="42.314999999999998"/>
    <n v="9"/>
    <d v="2019-01-01T00:00:00"/>
    <x v="0"/>
    <x v="5"/>
    <x v="15"/>
    <x v="5"/>
  </r>
  <r>
    <s v="448-34-8700"/>
    <x v="2"/>
    <s v="Mandalay"/>
    <s v="Member"/>
    <s v="Male"/>
    <x v="2"/>
    <n v="36.909999999999997"/>
    <n v="7"/>
    <n v="12.9185"/>
    <n v="271.2885"/>
    <d v="2019-10-02T00:00:00"/>
    <d v="1899-12-30T13:51:00"/>
    <s v="Ewallet"/>
    <n v="258.37"/>
    <n v="4.7619047620000003"/>
    <n v="12.9185"/>
    <n v="6.7"/>
    <d v="2019-02-10T00:00:00"/>
    <x v="2"/>
    <x v="0"/>
    <x v="6"/>
    <x v="2"/>
  </r>
  <r>
    <s v="452-04-8808"/>
    <x v="2"/>
    <s v="Mandalay"/>
    <s v="Normal"/>
    <s v="Male"/>
    <x v="1"/>
    <n v="87.08"/>
    <n v="7"/>
    <n v="30.478000000000002"/>
    <n v="640.03800000000001"/>
    <s v="1/26/2019"/>
    <d v="1899-12-30T15:17:00"/>
    <s v="Cash"/>
    <n v="609.55999999999995"/>
    <n v="4.7619047620000003"/>
    <n v="30.478000000000002"/>
    <n v="5.5"/>
    <d v="2019-01-26T00:00:00"/>
    <x v="0"/>
    <x v="9"/>
    <x v="27"/>
    <x v="0"/>
  </r>
  <r>
    <s v="531-56-4728"/>
    <x v="0"/>
    <s v="Yangon"/>
    <s v="Normal"/>
    <s v="Male"/>
    <x v="2"/>
    <n v="80.08"/>
    <n v="3"/>
    <n v="12.012"/>
    <n v="252.25200000000001"/>
    <d v="2019-11-02T00:00:00"/>
    <d v="1899-12-30T15:29:00"/>
    <s v="Cash"/>
    <n v="240.24"/>
    <n v="4.7619047620000003"/>
    <n v="12.012"/>
    <n v="5.4"/>
    <d v="2019-02-11T00:00:00"/>
    <x v="2"/>
    <x v="9"/>
    <x v="14"/>
    <x v="3"/>
  </r>
  <r>
    <s v="744-82-9138"/>
    <x v="1"/>
    <s v="Naypyitaw"/>
    <s v="Normal"/>
    <s v="Male"/>
    <x v="5"/>
    <n v="86.13"/>
    <n v="2"/>
    <n v="8.6129999999999995"/>
    <n v="180.87299999999999"/>
    <d v="2019-07-02T00:00:00"/>
    <d v="1899-12-30T17:59:00"/>
    <s v="Cash"/>
    <n v="172.26"/>
    <n v="4.7619047620000003"/>
    <n v="8.6129999999999995"/>
    <n v="8.1999999999999993"/>
    <d v="2019-02-07T00:00:00"/>
    <x v="2"/>
    <x v="6"/>
    <x v="11"/>
    <x v="4"/>
  </r>
  <r>
    <s v="883-69-1285"/>
    <x v="2"/>
    <s v="Mandalay"/>
    <s v="Member"/>
    <s v="Male"/>
    <x v="5"/>
    <n v="49.92"/>
    <n v="2"/>
    <n v="4.992"/>
    <n v="104.83199999999999"/>
    <d v="2019-06-03T00:00:00"/>
    <d v="1899-12-30T11:55:00"/>
    <s v="Credit card"/>
    <n v="99.84"/>
    <n v="4.7619047620000003"/>
    <n v="4.992"/>
    <n v="7"/>
    <d v="2019-03-06T00:00:00"/>
    <x v="1"/>
    <x v="5"/>
    <x v="20"/>
    <x v="6"/>
  </r>
  <r>
    <s v="221-25-5073"/>
    <x v="0"/>
    <s v="Yangon"/>
    <s v="Normal"/>
    <s v="Female"/>
    <x v="4"/>
    <n v="74.66"/>
    <n v="4"/>
    <n v="14.932"/>
    <n v="313.572"/>
    <d v="2019-04-03T00:00:00"/>
    <d v="1899-12-30T10:39:00"/>
    <s v="Cash"/>
    <n v="298.64"/>
    <n v="4.7619047620000003"/>
    <n v="14.932"/>
    <n v="8.5"/>
    <d v="2019-03-04T00:00:00"/>
    <x v="1"/>
    <x v="1"/>
    <x v="22"/>
    <x v="3"/>
  </r>
  <r>
    <s v="518-71-6847"/>
    <x v="2"/>
    <s v="Mandalay"/>
    <s v="Member"/>
    <s v="Male"/>
    <x v="4"/>
    <n v="26.6"/>
    <n v="6"/>
    <n v="7.98"/>
    <n v="167.58"/>
    <s v="2/26/2019"/>
    <d v="1899-12-30T15:10:00"/>
    <s v="Ewallet"/>
    <n v="159.6"/>
    <n v="4.7619047620000003"/>
    <n v="7.98"/>
    <n v="4.9000000000000004"/>
    <d v="2019-02-26T00:00:00"/>
    <x v="2"/>
    <x v="9"/>
    <x v="27"/>
    <x v="5"/>
  </r>
  <r>
    <s v="156-20-0370"/>
    <x v="2"/>
    <s v="Mandalay"/>
    <s v="Normal"/>
    <s v="Female"/>
    <x v="1"/>
    <n v="25.45"/>
    <n v="1"/>
    <n v="1.2725"/>
    <n v="26.7225"/>
    <d v="2019-10-03T00:00:00"/>
    <d v="1899-12-30T18:10:00"/>
    <s v="Credit card"/>
    <n v="25.45"/>
    <n v="4.7619047620000003"/>
    <n v="1.2725"/>
    <n v="5.0999999999999996"/>
    <d v="2019-03-10T00:00:00"/>
    <x v="1"/>
    <x v="3"/>
    <x v="6"/>
    <x v="2"/>
  </r>
  <r>
    <s v="151-33-7434"/>
    <x v="2"/>
    <s v="Mandalay"/>
    <s v="Normal"/>
    <s v="Female"/>
    <x v="4"/>
    <n v="67.77"/>
    <n v="1"/>
    <n v="3.3885000000000001"/>
    <n v="71.158500000000004"/>
    <d v="2019-04-02T00:00:00"/>
    <d v="1899-12-30T20:43:00"/>
    <s v="Credit card"/>
    <n v="67.77"/>
    <n v="4.7619047620000003"/>
    <n v="3.3885000000000001"/>
    <n v="6.5"/>
    <d v="2019-02-04T00:00:00"/>
    <x v="2"/>
    <x v="2"/>
    <x v="22"/>
    <x v="3"/>
  </r>
  <r>
    <s v="728-47-9078"/>
    <x v="1"/>
    <s v="Naypyitaw"/>
    <s v="Member"/>
    <s v="Male"/>
    <x v="4"/>
    <n v="59.59"/>
    <n v="4"/>
    <n v="11.917999999999999"/>
    <n v="250.27799999999999"/>
    <s v="1/19/2019"/>
    <d v="1899-12-30T12:46:00"/>
    <s v="Cash"/>
    <n v="238.36"/>
    <n v="4.7619047620000003"/>
    <n v="11.917999999999999"/>
    <n v="9.8000000000000007"/>
    <d v="2019-01-19T00:00:00"/>
    <x v="0"/>
    <x v="10"/>
    <x v="24"/>
    <x v="0"/>
  </r>
  <r>
    <s v="809-46-1866"/>
    <x v="0"/>
    <s v="Yangon"/>
    <s v="Normal"/>
    <s v="Male"/>
    <x v="0"/>
    <n v="58.15"/>
    <n v="4"/>
    <n v="11.63"/>
    <n v="244.23"/>
    <s v="1/23/2019"/>
    <d v="1899-12-30T17:44:00"/>
    <s v="Cash"/>
    <n v="232.6"/>
    <n v="4.7619047620000003"/>
    <n v="11.63"/>
    <n v="8.4"/>
    <d v="2019-01-23T00:00:00"/>
    <x v="0"/>
    <x v="6"/>
    <x v="21"/>
    <x v="6"/>
  </r>
  <r>
    <s v="139-32-4183"/>
    <x v="0"/>
    <s v="Yangon"/>
    <s v="Member"/>
    <s v="Female"/>
    <x v="3"/>
    <n v="97.48"/>
    <n v="9"/>
    <n v="43.866"/>
    <n v="921.18600000000004"/>
    <s v="3/14/2019"/>
    <d v="1899-12-30T14:19:00"/>
    <s v="Ewallet"/>
    <n v="877.32"/>
    <n v="4.7619047620000003"/>
    <n v="43.866"/>
    <n v="7.4"/>
    <d v="2019-03-14T00:00:00"/>
    <x v="1"/>
    <x v="4"/>
    <x v="25"/>
    <x v="4"/>
  </r>
  <r>
    <s v="148-41-7930"/>
    <x v="1"/>
    <s v="Naypyitaw"/>
    <s v="Normal"/>
    <s v="Male"/>
    <x v="0"/>
    <n v="99.96"/>
    <n v="7"/>
    <n v="34.985999999999997"/>
    <n v="734.70600000000002"/>
    <s v="1/23/2019"/>
    <d v="1899-12-30T10:33:00"/>
    <s v="Cash"/>
    <n v="699.72"/>
    <n v="4.7619047620000003"/>
    <n v="34.985999999999997"/>
    <n v="6.1"/>
    <d v="2019-01-23T00:00:00"/>
    <x v="0"/>
    <x v="1"/>
    <x v="21"/>
    <x v="6"/>
  </r>
  <r>
    <s v="189-40-5216"/>
    <x v="1"/>
    <s v="Naypyitaw"/>
    <s v="Normal"/>
    <s v="Male"/>
    <x v="1"/>
    <n v="96.37"/>
    <n v="7"/>
    <n v="33.729500000000002"/>
    <n v="708.31949999999995"/>
    <d v="2019-09-01T00:00:00"/>
    <d v="1899-12-30T11:40:00"/>
    <s v="Cash"/>
    <n v="674.59"/>
    <n v="4.7619047620000003"/>
    <n v="33.729500000000002"/>
    <n v="6"/>
    <d v="2019-01-09T00:00:00"/>
    <x v="0"/>
    <x v="5"/>
    <x v="9"/>
    <x v="6"/>
  </r>
  <r>
    <s v="374-38-5555"/>
    <x v="2"/>
    <s v="Mandalay"/>
    <s v="Normal"/>
    <s v="Female"/>
    <x v="5"/>
    <n v="63.71"/>
    <n v="5"/>
    <n v="15.9275"/>
    <n v="334.47750000000002"/>
    <d v="2019-07-02T00:00:00"/>
    <d v="1899-12-30T19:30:00"/>
    <s v="Ewallet"/>
    <n v="318.55"/>
    <n v="4.7619047620000003"/>
    <n v="15.9275"/>
    <n v="8.5"/>
    <d v="2019-02-07T00:00:00"/>
    <x v="2"/>
    <x v="8"/>
    <x v="11"/>
    <x v="4"/>
  </r>
  <r>
    <s v="764-44-8999"/>
    <x v="2"/>
    <s v="Mandalay"/>
    <s v="Normal"/>
    <s v="Female"/>
    <x v="0"/>
    <n v="14.76"/>
    <n v="2"/>
    <n v="1.476"/>
    <n v="30.995999999999999"/>
    <s v="2/18/2019"/>
    <d v="1899-12-30T14:42:00"/>
    <s v="Ewallet"/>
    <n v="29.52"/>
    <n v="4.7619047620000003"/>
    <n v="1.476"/>
    <n v="4.3"/>
    <d v="2019-02-18T00:00:00"/>
    <x v="2"/>
    <x v="4"/>
    <x v="28"/>
    <x v="3"/>
  </r>
  <r>
    <s v="552-44-5977"/>
    <x v="2"/>
    <s v="Mandalay"/>
    <s v="Member"/>
    <s v="Male"/>
    <x v="0"/>
    <n v="62"/>
    <n v="8"/>
    <n v="24.8"/>
    <n v="520.79999999999995"/>
    <d v="2019-03-01T00:00:00"/>
    <d v="1899-12-30T19:08:00"/>
    <s v="Credit card"/>
    <n v="496"/>
    <n v="4.7619047620000003"/>
    <n v="24.8"/>
    <n v="6.2"/>
    <d v="2019-01-03T00:00:00"/>
    <x v="0"/>
    <x v="8"/>
    <x v="2"/>
    <x v="4"/>
  </r>
  <r>
    <s v="267-62-7380"/>
    <x v="1"/>
    <s v="Naypyitaw"/>
    <s v="Member"/>
    <s v="Male"/>
    <x v="1"/>
    <n v="82.34"/>
    <n v="10"/>
    <n v="41.17"/>
    <n v="864.57"/>
    <s v="3/29/2019"/>
    <d v="1899-12-30T19:12:00"/>
    <s v="Ewallet"/>
    <n v="823.4"/>
    <n v="4.7619047620000003"/>
    <n v="41.17"/>
    <n v="4.3"/>
    <d v="2019-03-29T00:00:00"/>
    <x v="1"/>
    <x v="8"/>
    <x v="12"/>
    <x v="1"/>
  </r>
  <r>
    <s v="430-53-4718"/>
    <x v="2"/>
    <s v="Mandalay"/>
    <s v="Member"/>
    <s v="Male"/>
    <x v="0"/>
    <n v="75.37"/>
    <n v="8"/>
    <n v="30.148"/>
    <n v="633.10799999999995"/>
    <s v="1/28/2019"/>
    <d v="1899-12-30T15:46:00"/>
    <s v="Credit card"/>
    <n v="602.96"/>
    <n v="4.7619047620000003"/>
    <n v="30.148"/>
    <n v="8.4"/>
    <d v="2019-01-28T00:00:00"/>
    <x v="0"/>
    <x v="9"/>
    <x v="19"/>
    <x v="3"/>
  </r>
  <r>
    <s v="886-18-2897"/>
    <x v="0"/>
    <s v="Yangon"/>
    <s v="Normal"/>
    <s v="Female"/>
    <x v="4"/>
    <n v="56.56"/>
    <n v="5"/>
    <n v="14.14"/>
    <n v="296.94"/>
    <s v="3/22/2019"/>
    <d v="1899-12-30T19:06:00"/>
    <s v="Credit card"/>
    <n v="282.8"/>
    <n v="4.7619047620000003"/>
    <n v="14.14"/>
    <n v="4.5"/>
    <d v="2019-03-22T00:00:00"/>
    <x v="1"/>
    <x v="8"/>
    <x v="18"/>
    <x v="1"/>
  </r>
  <r>
    <s v="602-16-6955"/>
    <x v="2"/>
    <s v="Mandalay"/>
    <s v="Normal"/>
    <s v="Female"/>
    <x v="3"/>
    <n v="76.599999999999994"/>
    <n v="10"/>
    <n v="38.299999999999997"/>
    <n v="804.3"/>
    <s v="1/24/2019"/>
    <d v="1899-12-30T18:10:00"/>
    <s v="Ewallet"/>
    <n v="766"/>
    <n v="4.7619047620000003"/>
    <n v="38.299999999999997"/>
    <n v="6"/>
    <d v="2019-01-24T00:00:00"/>
    <x v="0"/>
    <x v="3"/>
    <x v="5"/>
    <x v="4"/>
  </r>
  <r>
    <s v="745-74-0715"/>
    <x v="0"/>
    <s v="Yangon"/>
    <s v="Normal"/>
    <s v="Male"/>
    <x v="1"/>
    <n v="58.03"/>
    <n v="2"/>
    <n v="5.8029999999999999"/>
    <n v="121.863"/>
    <d v="2019-10-03T00:00:00"/>
    <d v="1899-12-30T20:46:00"/>
    <s v="Ewallet"/>
    <n v="116.06"/>
    <n v="4.7619047620000003"/>
    <n v="5.8029999999999999"/>
    <n v="8.8000000000000007"/>
    <d v="2019-03-10T00:00:00"/>
    <x v="1"/>
    <x v="2"/>
    <x v="6"/>
    <x v="2"/>
  </r>
  <r>
    <s v="690-01-6631"/>
    <x v="2"/>
    <s v="Mandalay"/>
    <s v="Normal"/>
    <s v="Male"/>
    <x v="5"/>
    <n v="17.489999999999998"/>
    <n v="10"/>
    <n v="8.7449999999999992"/>
    <n v="183.64500000000001"/>
    <s v="2/22/2019"/>
    <d v="1899-12-30T18:35:00"/>
    <s v="Ewallet"/>
    <n v="174.9"/>
    <n v="4.7619047620000003"/>
    <n v="8.7449999999999992"/>
    <n v="6.6"/>
    <d v="2019-02-22T00:00:00"/>
    <x v="2"/>
    <x v="3"/>
    <x v="18"/>
    <x v="1"/>
  </r>
  <r>
    <s v="652-49-6720"/>
    <x v="1"/>
    <s v="Naypyitaw"/>
    <s v="Member"/>
    <s v="Female"/>
    <x v="1"/>
    <n v="60.95"/>
    <n v="1"/>
    <n v="3.0474999999999999"/>
    <n v="63.997500000000002"/>
    <d v="2019-02-18T00:00:00"/>
    <d v="1899-12-30T11:40:00"/>
    <s v="Ewallet"/>
    <n v="60.95"/>
    <n v="4.7619047620000003"/>
    <n v="3.0474999999999999"/>
    <n v="5.9"/>
    <d v="2019-02-18T00:00:00"/>
    <x v="2"/>
    <x v="5"/>
    <x v="28"/>
    <x v="3"/>
  </r>
  <r>
    <s v="233-67-5758"/>
    <x v="1"/>
    <s v="Naypyitaw"/>
    <s v="Normal"/>
    <s v="Male"/>
    <x v="0"/>
    <n v="40.35"/>
    <n v="1"/>
    <n v="2.0175000000000001"/>
    <n v="42.3675"/>
    <d v="2019-01-29T00:00:00"/>
    <d v="1899-12-30T13:46:00"/>
    <s v="Ewallet"/>
    <n v="40.35"/>
    <n v="4.7619047620000003"/>
    <n v="2.0175000000000001"/>
    <n v="6.2"/>
    <d v="2019-01-29T00:00:00"/>
    <x v="0"/>
    <x v="0"/>
    <x v="12"/>
    <x v="5"/>
  </r>
  <r>
    <s v="303-96-2227"/>
    <x v="2"/>
    <s v="Mandalay"/>
    <s v="Normal"/>
    <s v="Female"/>
    <x v="2"/>
    <n v="97.38"/>
    <n v="10"/>
    <n v="48.69"/>
    <n v="1022.49"/>
    <d v="2019-02-03T00:00:00"/>
    <d v="1899-12-30T17:16:00"/>
    <s v="Ewallet"/>
    <n v="973.8"/>
    <n v="4.7619047620000003"/>
    <n v="48.69"/>
    <n v="4.4000000000000004"/>
    <d v="2019-03-02T00:00:00"/>
    <x v="1"/>
    <x v="6"/>
    <x v="8"/>
    <x v="0"/>
  </r>
  <r>
    <s v="727-02-1313"/>
    <x v="0"/>
    <s v="Yangon"/>
    <s v="Member"/>
    <s v="Male"/>
    <x v="4"/>
    <n v="31.84"/>
    <n v="1"/>
    <n v="1.5920000000000001"/>
    <n v="33.432000000000002"/>
    <d v="2019-09-02T00:00:00"/>
    <d v="1899-12-30T13:22:00"/>
    <s v="Cash"/>
    <n v="31.84"/>
    <n v="4.7619047620000003"/>
    <n v="1.5920000000000001"/>
    <n v="7.7"/>
    <d v="2019-02-09T00:00:00"/>
    <x v="2"/>
    <x v="0"/>
    <x v="9"/>
    <x v="0"/>
  </r>
  <r>
    <s v="347-56-2442"/>
    <x v="0"/>
    <s v="Yangon"/>
    <s v="Normal"/>
    <s v="Male"/>
    <x v="2"/>
    <n v="65.819999999999993"/>
    <n v="1"/>
    <n v="3.2909999999999999"/>
    <n v="69.111000000000004"/>
    <d v="2019-02-22T00:00:00"/>
    <d v="1899-12-30T15:33:00"/>
    <s v="Cash"/>
    <n v="65.819999999999993"/>
    <n v="4.7619047620000003"/>
    <n v="3.2909999999999999"/>
    <n v="4.0999999999999996"/>
    <d v="2019-02-22T00:00:00"/>
    <x v="2"/>
    <x v="9"/>
    <x v="18"/>
    <x v="1"/>
  </r>
  <r>
    <s v="849-09-3807"/>
    <x v="0"/>
    <s v="Yangon"/>
    <s v="Member"/>
    <s v="Female"/>
    <x v="5"/>
    <n v="88.34"/>
    <n v="7"/>
    <n v="30.919"/>
    <n v="649.29899999999998"/>
    <d v="2019-02-18T00:00:00"/>
    <d v="1899-12-30T13:28:00"/>
    <s v="Cash"/>
    <n v="618.38"/>
    <n v="4.7619047620000003"/>
    <n v="30.919"/>
    <n v="6.6"/>
    <d v="2019-02-18T00:00:00"/>
    <x v="2"/>
    <x v="0"/>
    <x v="2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1579F-7315-4F1B-ACDC-160661F4247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20:B24" firstHeaderRow="1" firstDataRow="1" firstDataCol="1"/>
  <pivotFields count="20"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992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x="9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B1C1C-CAD5-4FAD-A07D-1BD9CA41468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7" firstHeaderRow="1" firstDataRow="1" firstDataCol="1"/>
  <pivotFields count="20"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992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x="9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0763D-3538-4C40-BA2C-2AB90BBC2E3F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68:E76" firstHeaderRow="1" firstDataRow="2" firstDataCol="1"/>
  <pivotFields count="21"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dataField="1"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Quantity" fld="7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5C2F76-543C-47B9-A81E-0F2B6AE53B7D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52:B56" firstHeaderRow="1" firstDataRow="1" firstDataCol="1"/>
  <pivotFields count="20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dataField="1" showAll="0"/>
    <pivotField numFmtId="166"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" fld="16" subtotal="average" baseField="1" baseItem="0" numFmtId="2"/>
  </dataFields>
  <formats count="3">
    <format dxfId="14">
      <pivotArea collapsedLevelsAreSubtotals="1" fieldPosition="0">
        <references count="1">
          <reference field="1" count="0"/>
        </references>
      </pivotArea>
    </format>
    <format dxfId="13">
      <pivotArea outline="0" collapsedLevelsAreSubtotals="1" fieldPosition="0"/>
    </format>
    <format dxfId="12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8DFDC3-AF26-49FF-8838-3B76323D6A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7:B41" firstHeaderRow="1" firstDataRow="1" firstDataCol="1"/>
  <pivotFields count="20">
    <pivotField dataField="1"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992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x="9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oice 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4CA89-053A-47BD-8CC0-FB6EB2B927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4" firstHeaderRow="0" firstDataRow="1" firstDataCol="0"/>
  <pivotFields count="20"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>
      <items count="992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x="9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unt of Invoice ID" fld="0" subtotal="count" baseField="0" baseItem="0"/>
    <dataField name="Sum of Total" fld="9" baseField="0" baseItem="0"/>
    <dataField name="Sum of Quantity" fld="7" baseField="0" baseItem="0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B6F67-384A-46A8-BF66-E5E33528EEB8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A3:B10" firstHeaderRow="1" firstDataRow="1" firstDataCol="1"/>
  <pivotFields count="20">
    <pivotField showAll="0"/>
    <pivotField showAll="0"/>
    <pivotField showAll="0"/>
    <pivotField showAll="0"/>
    <pivotField showAll="0"/>
    <pivotField axis="axisRow" showAll="0" sortType="a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dataField="1" showAll="0"/>
    <pivotField numFmtId="166" showAll="0"/>
    <pivotField showAll="0"/>
    <pivotField showAll="0">
      <items count="12">
        <item x="1"/>
        <item x="5"/>
        <item x="10"/>
        <item x="0"/>
        <item x="4"/>
        <item x="9"/>
        <item x="7"/>
        <item x="6"/>
        <item x="3"/>
        <item x="8"/>
        <item x="2"/>
        <item t="default"/>
      </items>
    </pivotField>
  </pivotFields>
  <rowFields count="1">
    <field x="5"/>
  </rowFields>
  <rowItems count="7">
    <i>
      <x v="4"/>
    </i>
    <i>
      <x v="5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Average of Rating" fld="16" subtotal="average" baseField="5" baseItem="0"/>
  </dataFields>
  <formats count="1">
    <format dxfId="10">
      <pivotArea collapsedLevelsAreSubtotals="1" fieldPosition="0">
        <references count="1">
          <reference field="5" count="0"/>
        </references>
      </pivotArea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8A189-6D04-4F8A-91B9-810B286AB34E}" name="PivotTable2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19:B26" firstHeaderRow="1" firstDataRow="1" firstDataCol="1"/>
  <pivotFields count="21">
    <pivotField showAll="0"/>
    <pivotField showAll="0"/>
    <pivotField showAll="0"/>
    <pivotField showAll="0"/>
    <pivotField showAll="0"/>
    <pivotField axis="axisRow" showAll="0" sortType="a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dataField="1" numFmtId="2" showAll="0"/>
    <pivotField showAll="0"/>
    <pivotField numFmtId="166" showAll="0"/>
    <pivotField showAll="0"/>
    <pivotField showAll="0"/>
    <pivotField showAll="0"/>
  </pivotFields>
  <rowFields count="1">
    <field x="5"/>
  </rowFields>
  <rowItems count="7">
    <i>
      <x v="3"/>
    </i>
    <i>
      <x v="4"/>
    </i>
    <i>
      <x v="1"/>
    </i>
    <i>
      <x/>
    </i>
    <i>
      <x v="5"/>
    </i>
    <i>
      <x v="2"/>
    </i>
    <i t="grand">
      <x/>
    </i>
  </rowItems>
  <colItems count="1">
    <i/>
  </colItems>
  <dataFields count="1">
    <dataField name="Sum of gross income" fld="15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20A7F-9A15-436D-ABB6-AFB2296EE853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37:E43" firstHeaderRow="1" firstDataRow="2" firstDataCol="1"/>
  <pivotFields count="20"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axis="axisRow" showAll="0">
      <items count="5">
        <item x="0"/>
        <item x="2"/>
        <item x="1"/>
        <item x="3"/>
        <item t="default"/>
      </items>
    </pivotField>
    <pivotField showAll="0">
      <items count="12">
        <item x="1"/>
        <item x="5"/>
        <item x="10"/>
        <item x="0"/>
        <item x="4"/>
        <item x="9"/>
        <item x="7"/>
        <item x="6"/>
        <item x="3"/>
        <item x="8"/>
        <item x="2"/>
        <item t="default"/>
      </items>
    </pivotField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Invoice ID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4CFBBC-CCD8-4EA3-B2C4-7743FB33515B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19:E32" firstHeaderRow="1" firstDataRow="2" firstDataCol="1"/>
  <pivotFields count="20"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axis="axisRow" showAll="0">
      <items count="12">
        <item x="1"/>
        <item x="5"/>
        <item x="10"/>
        <item x="0"/>
        <item x="4"/>
        <item x="9"/>
        <item x="7"/>
        <item x="6"/>
        <item x="3"/>
        <item x="8"/>
        <item x="2"/>
        <item t="default"/>
      </items>
    </pivotField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Invoice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F3C7A-25A3-4646-89BE-B2C68489E217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3:B15" firstHeaderRow="1" firstDataRow="1" firstDataCol="1"/>
  <pivotFields count="20">
    <pivotField dataField="1"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axis="axisRow" showAll="0">
      <items count="12">
        <item x="1"/>
        <item x="5"/>
        <item x="10"/>
        <item x="0"/>
        <item x="4"/>
        <item x="9"/>
        <item x="7"/>
        <item x="6"/>
        <item x="3"/>
        <item x="8"/>
        <item x="2"/>
        <item t="default"/>
      </items>
    </pivotField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Invoic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7467C-BEC9-4EA4-823B-C335592EF2D3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46:E79" firstHeaderRow="1" firstDataRow="2" firstDataCol="1"/>
  <pivotFields count="21"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showAll="0"/>
    <pivotField axis="axisRow" showAll="0">
      <items count="32">
        <item x="15"/>
        <item x="8"/>
        <item x="2"/>
        <item x="22"/>
        <item x="0"/>
        <item x="20"/>
        <item x="11"/>
        <item x="1"/>
        <item x="9"/>
        <item x="6"/>
        <item x="14"/>
        <item x="10"/>
        <item x="26"/>
        <item x="25"/>
        <item x="13"/>
        <item x="23"/>
        <item x="17"/>
        <item x="28"/>
        <item x="24"/>
        <item x="7"/>
        <item x="16"/>
        <item x="18"/>
        <item x="21"/>
        <item x="5"/>
        <item x="4"/>
        <item x="27"/>
        <item x="3"/>
        <item x="19"/>
        <item x="12"/>
        <item x="29"/>
        <item x="30"/>
        <item t="default"/>
      </items>
    </pivotField>
  </pivotFields>
  <rowFields count="1">
    <field x="2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Invoice 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3772D-2303-4361-A1CB-40C834B0A984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6" firstHeaderRow="1" firstDataRow="1" firstDataCol="1"/>
  <pivotFields count="20">
    <pivotField dataField="1"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Invoice ID" fld="0" subtotal="count" baseField="0" baseItem="0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5D339-DC83-46DB-B84B-BCBA3F33EC2A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18:C21" firstHeaderRow="0" firstDataRow="1" firstDataCol="1"/>
  <pivotFields count="20">
    <pivotField showAll="0"/>
    <pivotField showAll="0">
      <items count="4">
        <item x="0"/>
        <item x="2"/>
        <item x="1"/>
        <item t="default"/>
      </items>
    </pivotField>
    <pivotField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dataField="1" showAll="0"/>
    <pivotField numFmtId="2" showAll="0"/>
    <pivotField dataField="1"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Total" fld="9" baseField="0" baseItem="0" numFmtId="2"/>
  </dataFields>
  <formats count="2">
    <format dxfId="9">
      <pivotArea outline="0" collapsedLevelsAreSubtotals="1" fieldPosition="0"/>
    </format>
    <format dxfId="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345AAD-ADD2-4998-9833-CEA10862BAD0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6:B39" firstHeaderRow="1" firstDataRow="1" firstDataCol="1"/>
  <pivotFields count="21"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2" showAll="0"/>
    <pivotField showAll="0"/>
    <pivotField numFmtId="2" showAll="0"/>
    <pivotField dataField="1"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B9175-FDEB-414D-AF5B-6F6EA2F4FC16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29:B32" firstHeaderRow="1" firstDataRow="1" firstDataCol="1"/>
  <pivotFields count="21"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2" showAll="0"/>
    <pivotField dataField="1"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Quantity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81E92-2527-4681-8822-E737618EC7FB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17:B20" firstHeaderRow="1" firstDataRow="1" firstDataCol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dataField="1"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Quantity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A0686-5757-4D62-8744-19870A7335CA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6" firstHeaderRow="1" firstDataRow="1" firstDataCol="1"/>
  <pivotFields count="21"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showAll="0"/>
    <pivotField numFmtId="2" showAll="0"/>
    <pivotField dataField="1"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 numFmtId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F540A-70E6-4DE2-8C96-8C25A6685BB3}" name="PivotTable2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52:D60" firstHeaderRow="1" firstDataRow="2" firstDataCol="1"/>
  <pivotFields count="21">
    <pivotField showAll="0"/>
    <pivotField showAll="0"/>
    <pivotField showAll="0"/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dataField="1"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6"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Quantity" fld="7" baseField="0" baseItem="0"/>
  </dataFields>
  <chartFormats count="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0B7F2-E6DA-4024-AC26-0A07F756D909}" name="PivotTable2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22:C26" firstHeaderRow="0" firstDataRow="1" firstDataCol="1"/>
  <pivotFields count="21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>
      <items count="4">
        <item x="1"/>
        <item x="2"/>
        <item x="0"/>
        <item t="default"/>
      </items>
    </pivotField>
    <pivotField numFmtId="2" showAll="0"/>
    <pivotField numFmtId="2" showAll="0"/>
    <pivotField dataField="1" numFmtId="2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dataField="1" showAll="0"/>
    <pivotField numFmtId="166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income" fld="15" baseField="0" baseItem="0" numFmtId="2"/>
    <dataField name="Average of Rating" fld="16" subtotal="average" baseField="1" baseItem="0" numFmtId="2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55D58-3504-44A2-B0EB-7C2C0F67B7BB}" name="PivotTable2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E8" firstHeaderRow="1" firstDataRow="2" firstDataCol="1"/>
  <pivotFields count="21">
    <pivotField dataField="1"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numFmtId="2" showAll="0"/>
    <pivotField numFmtId="2" showAll="0"/>
    <pivotField numFmtId="2" showAll="0"/>
    <pivotField showAll="0"/>
    <pivotField numFmtId="166"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Invoice ID" fld="0" subtotal="count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0101C-AC89-4807-9CE8-DE1D8CBF1273}" name="PivotTable2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">
  <location ref="A37:C41" firstHeaderRow="0" firstDataRow="1" firstDataCol="1"/>
  <pivotFields count="21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>
      <items count="4">
        <item x="1"/>
        <item x="2"/>
        <item x="0"/>
        <item t="default"/>
      </items>
    </pivotField>
    <pivotField numFmtId="2" showAll="0"/>
    <pivotField dataField="1" numFmtId="2" showAll="0"/>
    <pivotField dataField="1" numFmtId="2" showAll="0">
      <items count="991">
        <item x="815"/>
        <item x="625"/>
        <item x="221"/>
        <item x="440"/>
        <item x="399"/>
        <item x="280"/>
        <item x="53"/>
        <item x="952"/>
        <item x="421"/>
        <item x="801"/>
        <item x="213"/>
        <item x="69"/>
        <item x="442"/>
        <item x="726"/>
        <item x="837"/>
        <item x="465"/>
        <item x="840"/>
        <item x="460"/>
        <item x="485"/>
        <item x="271"/>
        <item x="450"/>
        <item x="196"/>
        <item x="968"/>
        <item x="914"/>
        <item x="854"/>
        <item x="445"/>
        <item x="250"/>
        <item x="606"/>
        <item x="976"/>
        <item x="836"/>
        <item x="352"/>
        <item x="142"/>
        <item x="604"/>
        <item x="775"/>
        <item x="44"/>
        <item x="644"/>
        <item x="229"/>
        <item x="987"/>
        <item x="498"/>
        <item x="54"/>
        <item x="109"/>
        <item x="26"/>
        <item x="643"/>
        <item x="676"/>
        <item x="711"/>
        <item x="456"/>
        <item x="279"/>
        <item x="739"/>
        <item x="476"/>
        <item x="299"/>
        <item x="446"/>
        <item x="319"/>
        <item x="675"/>
        <item x="870"/>
        <item x="985"/>
        <item x="951"/>
        <item x="269"/>
        <item x="87"/>
        <item x="908"/>
        <item x="678"/>
        <item x="408"/>
        <item x="592"/>
        <item x="589"/>
        <item x="633"/>
        <item x="783"/>
        <item x="331"/>
        <item x="651"/>
        <item x="958"/>
        <item x="431"/>
        <item x="300"/>
        <item x="99"/>
        <item x="921"/>
        <item x="777"/>
        <item x="116"/>
        <item x="512"/>
        <item x="869"/>
        <item x="828"/>
        <item x="766"/>
        <item x="741"/>
        <item x="378"/>
        <item x="756"/>
        <item x="728"/>
        <item x="938"/>
        <item x="184"/>
        <item x="788"/>
        <item x="262"/>
        <item x="780"/>
        <item x="917"/>
        <item x="655"/>
        <item x="864"/>
        <item x="10"/>
        <item x="220"/>
        <item x="640"/>
        <item x="834"/>
        <item x="789"/>
        <item x="984"/>
        <item x="290"/>
        <item x="424"/>
        <item x="314"/>
        <item x="160"/>
        <item x="597"/>
        <item x="942"/>
        <item x="259"/>
        <item x="988"/>
        <item x="236"/>
        <item x="254"/>
        <item x="22"/>
        <item x="954"/>
        <item x="66"/>
        <item x="969"/>
        <item x="35"/>
        <item x="435"/>
        <item x="762"/>
        <item x="403"/>
        <item x="702"/>
        <item x="487"/>
        <item x="515"/>
        <item x="935"/>
        <item x="569"/>
        <item x="310"/>
        <item x="541"/>
        <item x="52"/>
        <item x="663"/>
        <item x="344"/>
        <item x="155"/>
        <item x="580"/>
        <item x="8"/>
        <item x="291"/>
        <item x="861"/>
        <item x="586"/>
        <item x="839"/>
        <item x="332"/>
        <item x="533"/>
        <item x="497"/>
        <item x="187"/>
        <item x="843"/>
        <item x="60"/>
        <item x="194"/>
        <item x="96"/>
        <item x="284"/>
        <item x="357"/>
        <item x="737"/>
        <item x="382"/>
        <item x="538"/>
        <item x="1"/>
        <item x="955"/>
        <item x="389"/>
        <item x="704"/>
        <item x="410"/>
        <item x="911"/>
        <item x="835"/>
        <item x="306"/>
        <item x="391"/>
        <item x="19"/>
        <item x="895"/>
        <item x="539"/>
        <item x="609"/>
        <item x="114"/>
        <item x="665"/>
        <item x="874"/>
        <item x="414"/>
        <item x="577"/>
        <item x="760"/>
        <item x="356"/>
        <item x="451"/>
        <item x="943"/>
        <item x="823"/>
        <item x="735"/>
        <item x="803"/>
        <item x="853"/>
        <item x="183"/>
        <item x="222"/>
        <item x="428"/>
        <item x="40"/>
        <item x="234"/>
        <item x="437"/>
        <item x="195"/>
        <item x="902"/>
        <item x="878"/>
        <item x="818"/>
        <item x="634"/>
        <item x="918"/>
        <item x="501"/>
        <item x="297"/>
        <item x="56"/>
        <item x="203"/>
        <item x="724"/>
        <item x="237"/>
        <item x="245"/>
        <item x="93"/>
        <item x="207"/>
        <item x="826"/>
        <item x="620"/>
        <item x="320"/>
        <item x="617"/>
        <item x="950"/>
        <item x="537"/>
        <item x="791"/>
        <item x="867"/>
        <item x="787"/>
        <item x="718"/>
        <item x="770"/>
        <item x="376"/>
        <item x="825"/>
        <item x="251"/>
        <item x="806"/>
        <item x="814"/>
        <item x="506"/>
        <item x="412"/>
        <item x="872"/>
        <item x="696"/>
        <item x="94"/>
        <item x="880"/>
        <item x="534"/>
        <item x="495"/>
        <item x="680"/>
        <item x="913"/>
        <item x="329"/>
        <item x="466"/>
        <item x="152"/>
        <item x="652"/>
        <item x="965"/>
        <item x="858"/>
        <item x="855"/>
        <item x="78"/>
        <item x="11"/>
        <item x="192"/>
        <item x="409"/>
        <item x="713"/>
        <item x="118"/>
        <item x="691"/>
        <item x="117"/>
        <item x="115"/>
        <item x="742"/>
        <item x="638"/>
        <item x="41"/>
        <item x="552"/>
        <item x="540"/>
        <item x="850"/>
        <item x="48"/>
        <item x="415"/>
        <item x="199"/>
        <item x="294"/>
        <item x="605"/>
        <item x="417"/>
        <item x="982"/>
        <item x="896"/>
        <item x="532"/>
        <item x="406"/>
        <item x="239"/>
        <item x="302"/>
        <item x="524"/>
        <item x="941"/>
        <item x="657"/>
        <item x="490"/>
        <item x="622"/>
        <item x="368"/>
        <item x="394"/>
        <item x="820"/>
        <item x="214"/>
        <item x="708"/>
        <item x="703"/>
        <item x="860"/>
        <item x="520"/>
        <item x="771"/>
        <item x="493"/>
        <item x="601"/>
        <item x="574"/>
        <item x="386"/>
        <item x="656"/>
        <item x="256"/>
        <item x="322"/>
        <item x="681"/>
        <item x="253"/>
        <item x="767"/>
        <item x="135"/>
        <item x="448"/>
        <item x="716"/>
        <item x="550"/>
        <item x="441"/>
        <item x="342"/>
        <item x="347"/>
        <item x="551"/>
        <item x="712"/>
        <item x="744"/>
        <item x="517"/>
        <item x="444"/>
        <item x="793"/>
        <item x="427"/>
        <item x="679"/>
        <item x="894"/>
        <item x="309"/>
        <item x="499"/>
        <item x="576"/>
        <item x="212"/>
        <item x="131"/>
        <item x="654"/>
        <item x="311"/>
        <item x="596"/>
        <item x="429"/>
        <item x="531"/>
        <item x="264"/>
        <item x="885"/>
        <item x="333"/>
        <item x="336"/>
        <item x="736"/>
        <item x="365"/>
        <item x="553"/>
        <item x="338"/>
        <item x="768"/>
        <item x="570"/>
        <item x="327"/>
        <item x="503"/>
        <item x="72"/>
        <item x="683"/>
        <item x="530"/>
        <item x="190"/>
        <item x="452"/>
        <item x="225"/>
        <item x="484"/>
        <item x="527"/>
        <item x="162"/>
        <item x="260"/>
        <item x="91"/>
        <item x="81"/>
        <item x="181"/>
        <item x="542"/>
        <item x="255"/>
        <item x="833"/>
        <item x="593"/>
        <item x="523"/>
        <item x="583"/>
        <item x="635"/>
        <item x="176"/>
        <item x="621"/>
        <item x="948"/>
        <item x="63"/>
        <item x="97"/>
        <item x="173"/>
        <item x="65"/>
        <item x="900"/>
        <item x="967"/>
        <item x="624"/>
        <item x="468"/>
        <item x="125"/>
        <item x="228"/>
        <item x="193"/>
        <item x="307"/>
        <item x="18"/>
        <item x="105"/>
        <item x="9"/>
        <item x="362"/>
        <item x="197"/>
        <item x="473"/>
        <item x="876"/>
        <item x="923"/>
        <item x="720"/>
        <item x="171"/>
        <item x="628"/>
        <item x="725"/>
        <item x="937"/>
        <item x="849"/>
        <item x="588"/>
        <item x="547"/>
        <item x="701"/>
        <item x="217"/>
        <item x="964"/>
        <item x="959"/>
        <item x="23"/>
        <item x="396"/>
        <item x="662"/>
        <item x="863"/>
        <item x="745"/>
        <item x="641"/>
        <item x="223"/>
        <item x="773"/>
        <item x="983"/>
        <item x="832"/>
        <item x="27"/>
        <item x="317"/>
        <item x="416"/>
        <item x="175"/>
        <item x="709"/>
        <item x="714"/>
        <item x="939"/>
        <item x="47"/>
        <item x="292"/>
        <item x="781"/>
        <item x="413"/>
        <item x="346"/>
        <item x="59"/>
        <item x="367"/>
        <item x="893"/>
        <item x="595"/>
        <item x="398"/>
        <item x="479"/>
        <item x="186"/>
        <item x="579"/>
        <item x="233"/>
        <item x="799"/>
        <item x="240"/>
        <item x="500"/>
        <item x="667"/>
        <item x="751"/>
        <item x="581"/>
        <item x="89"/>
        <item x="282"/>
        <item x="829"/>
        <item x="33"/>
        <item x="502"/>
        <item x="366"/>
        <item x="270"/>
        <item x="557"/>
        <item x="661"/>
        <item x="289"/>
        <item x="472"/>
        <item x="488"/>
        <item x="514"/>
        <item x="844"/>
        <item x="660"/>
        <item x="697"/>
        <item x="482"/>
        <item x="328"/>
        <item x="561"/>
        <item x="313"/>
        <item x="400"/>
        <item x="603"/>
        <item x="360"/>
        <item x="298"/>
        <item x="491"/>
        <item x="800"/>
        <item x="684"/>
        <item x="489"/>
        <item x="457"/>
        <item x="632"/>
        <item x="420"/>
        <item x="434"/>
        <item x="326"/>
        <item x="381"/>
        <item x="301"/>
        <item x="816"/>
        <item x="318"/>
        <item x="136"/>
        <item x="582"/>
        <item x="910"/>
        <item x="204"/>
        <item x="101"/>
        <item x="316"/>
        <item x="916"/>
        <item x="940"/>
        <item x="813"/>
        <item x="103"/>
        <item x="907"/>
        <item x="285"/>
        <item x="865"/>
        <item x="508"/>
        <item x="616"/>
        <item x="584"/>
        <item x="556"/>
        <item x="274"/>
        <item x="668"/>
        <item x="235"/>
        <item x="752"/>
        <item x="757"/>
        <item x="464"/>
        <item x="261"/>
        <item x="51"/>
        <item x="29"/>
        <item x="238"/>
        <item x="903"/>
        <item x="519"/>
        <item x="590"/>
        <item x="405"/>
        <item x="719"/>
        <item x="759"/>
        <item x="529"/>
        <item x="200"/>
        <item x="189"/>
        <item x="971"/>
        <item x="12"/>
        <item x="627"/>
        <item x="812"/>
        <item x="209"/>
        <item x="397"/>
        <item x="970"/>
        <item x="857"/>
        <item x="630"/>
        <item x="296"/>
        <item x="963"/>
        <item x="650"/>
        <item x="39"/>
        <item x="573"/>
        <item x="387"/>
        <item x="794"/>
        <item x="150"/>
        <item x="351"/>
        <item x="957"/>
        <item x="244"/>
        <item x="83"/>
        <item x="790"/>
        <item x="395"/>
        <item x="645"/>
        <item x="692"/>
        <item x="555"/>
        <item x="824"/>
        <item x="241"/>
        <item x="156"/>
        <item x="418"/>
        <item x="370"/>
        <item x="738"/>
        <item x="934"/>
        <item x="747"/>
        <item x="461"/>
        <item x="575"/>
        <item x="926"/>
        <item x="717"/>
        <item x="545"/>
        <item x="862"/>
        <item x="961"/>
        <item x="202"/>
        <item x="293"/>
        <item x="148"/>
        <item x="463"/>
        <item x="178"/>
        <item x="615"/>
        <item x="257"/>
        <item x="21"/>
        <item x="653"/>
        <item x="146"/>
        <item x="24"/>
        <item x="931"/>
        <item x="568"/>
        <item x="830"/>
        <item x="402"/>
        <item x="669"/>
        <item x="134"/>
        <item x="810"/>
        <item x="393"/>
        <item x="218"/>
        <item x="784"/>
        <item x="513"/>
        <item x="182"/>
        <item x="404"/>
        <item x="947"/>
        <item x="929"/>
        <item x="443"/>
        <item x="129"/>
        <item x="144"/>
        <item x="587"/>
        <item x="188"/>
        <item x="608"/>
        <item x="383"/>
        <item x="838"/>
        <item x="304"/>
        <item x="980"/>
        <item x="266"/>
        <item x="889"/>
        <item x="215"/>
        <item x="827"/>
        <item x="206"/>
        <item x="126"/>
        <item x="749"/>
        <item x="664"/>
        <item x="80"/>
        <item x="591"/>
        <item x="953"/>
        <item x="674"/>
        <item x="535"/>
        <item x="672"/>
        <item x="543"/>
        <item x="110"/>
        <item x="231"/>
        <item x="459"/>
        <item x="677"/>
        <item x="636"/>
        <item x="945"/>
        <item x="966"/>
        <item x="906"/>
        <item x="629"/>
        <item x="380"/>
        <item x="956"/>
        <item x="145"/>
        <item x="706"/>
        <item x="886"/>
        <item x="64"/>
        <item x="174"/>
        <item x="107"/>
        <item x="505"/>
        <item x="167"/>
        <item x="180"/>
        <item x="321"/>
        <item x="798"/>
        <item x="578"/>
        <item x="246"/>
        <item x="36"/>
        <item x="897"/>
        <item x="891"/>
        <item x="172"/>
        <item x="449"/>
        <item x="809"/>
        <item x="373"/>
        <item x="975"/>
        <item x="877"/>
        <item x="875"/>
        <item x="161"/>
        <item x="82"/>
        <item x="912"/>
        <item x="471"/>
        <item x="384"/>
        <item x="2"/>
        <item x="805"/>
        <item x="363"/>
        <item x="436"/>
        <item x="599"/>
        <item x="478"/>
        <item x="848"/>
        <item x="377"/>
        <item x="433"/>
        <item x="873"/>
        <item x="283"/>
        <item x="61"/>
        <item x="647"/>
        <item x="371"/>
        <item x="273"/>
        <item x="649"/>
        <item x="474"/>
        <item x="425"/>
        <item x="268"/>
        <item x="559"/>
        <item x="286"/>
        <item x="164"/>
        <item x="407"/>
        <item x="475"/>
        <item x="930"/>
        <item x="159"/>
        <item x="851"/>
        <item x="86"/>
        <item x="335"/>
        <item x="611"/>
        <item x="102"/>
        <item x="169"/>
        <item x="249"/>
        <item x="776"/>
        <item x="658"/>
        <item x="267"/>
        <item x="353"/>
        <item x="919"/>
        <item x="198"/>
        <item x="856"/>
        <item x="516"/>
        <item x="349"/>
        <item x="600"/>
        <item x="723"/>
        <item x="422"/>
        <item x="149"/>
        <item x="746"/>
        <item x="481"/>
        <item x="423"/>
        <item x="845"/>
        <item x="106"/>
        <item x="315"/>
        <item x="354"/>
        <item x="602"/>
        <item x="45"/>
        <item x="325"/>
        <item x="646"/>
        <item x="909"/>
        <item x="925"/>
        <item x="774"/>
        <item x="388"/>
        <item x="509"/>
        <item x="243"/>
        <item x="275"/>
        <item x="763"/>
        <item x="761"/>
        <item x="85"/>
        <item x="350"/>
        <item x="811"/>
        <item x="330"/>
        <item x="686"/>
        <item x="337"/>
        <item x="392"/>
        <item x="375"/>
        <item x="807"/>
        <item x="722"/>
        <item x="734"/>
        <item x="323"/>
        <item x="339"/>
        <item x="944"/>
        <item x="546"/>
        <item x="34"/>
        <item x="163"/>
        <item x="120"/>
        <item x="170"/>
        <item x="804"/>
        <item x="288"/>
        <item x="892"/>
        <item x="411"/>
        <item x="511"/>
        <item x="567"/>
        <item x="905"/>
        <item x="483"/>
        <item x="496"/>
        <item x="782"/>
        <item x="6"/>
        <item x="899"/>
        <item x="42"/>
        <item x="75"/>
        <item x="882"/>
        <item x="248"/>
        <item x="594"/>
        <item x="817"/>
        <item x="369"/>
        <item x="25"/>
        <item x="642"/>
        <item x="888"/>
        <item x="808"/>
        <item x="852"/>
        <item x="571"/>
        <item x="201"/>
        <item x="20"/>
        <item x="469"/>
        <item x="13"/>
        <item x="792"/>
        <item x="219"/>
        <item x="612"/>
        <item x="17"/>
        <item x="690"/>
        <item x="361"/>
        <item x="38"/>
        <item x="613"/>
        <item x="277"/>
        <item x="796"/>
        <item x="76"/>
        <item x="28"/>
        <item x="177"/>
        <item x="560"/>
        <item x="928"/>
        <item x="447"/>
        <item x="671"/>
        <item x="90"/>
        <item x="179"/>
        <item x="123"/>
        <item x="946"/>
        <item x="670"/>
        <item x="73"/>
        <item x="933"/>
        <item x="522"/>
        <item x="769"/>
        <item x="154"/>
        <item x="211"/>
        <item x="364"/>
        <item x="88"/>
        <item x="884"/>
        <item x="883"/>
        <item x="455"/>
        <item x="3"/>
        <item x="143"/>
        <item x="295"/>
        <item x="30"/>
        <item x="252"/>
        <item x="795"/>
        <item x="689"/>
        <item x="765"/>
        <item x="308"/>
        <item x="847"/>
        <item x="16"/>
        <item x="695"/>
        <item x="372"/>
        <item x="705"/>
        <item x="341"/>
        <item x="687"/>
        <item x="385"/>
        <item x="168"/>
        <item x="133"/>
        <item x="548"/>
        <item x="901"/>
        <item x="521"/>
        <item x="563"/>
        <item x="62"/>
        <item x="977"/>
        <item x="98"/>
        <item x="379"/>
        <item x="324"/>
        <item x="518"/>
        <item x="710"/>
        <item x="700"/>
        <item x="467"/>
        <item x="504"/>
        <item x="303"/>
        <item x="227"/>
        <item x="111"/>
        <item x="46"/>
        <item x="755"/>
        <item x="122"/>
        <item x="247"/>
        <item x="688"/>
        <item x="566"/>
        <item x="137"/>
        <item x="232"/>
        <item x="778"/>
        <item x="868"/>
        <item x="390"/>
        <item x="112"/>
        <item x="0"/>
        <item x="549"/>
        <item x="132"/>
        <item x="536"/>
        <item x="477"/>
        <item x="846"/>
        <item x="727"/>
        <item x="866"/>
        <item x="340"/>
        <item x="494"/>
        <item x="525"/>
        <item x="226"/>
        <item x="462"/>
        <item x="37"/>
        <item x="127"/>
        <item x="544"/>
        <item x="927"/>
        <item x="130"/>
        <item x="831"/>
        <item x="565"/>
        <item x="278"/>
        <item x="158"/>
        <item x="666"/>
        <item x="15"/>
        <item x="730"/>
        <item x="743"/>
        <item x="572"/>
        <item x="147"/>
        <item x="779"/>
        <item x="750"/>
        <item x="92"/>
        <item x="138"/>
        <item x="639"/>
        <item x="470"/>
        <item x="84"/>
        <item x="915"/>
        <item x="67"/>
        <item x="731"/>
        <item x="673"/>
        <item x="614"/>
        <item x="564"/>
        <item x="842"/>
        <item x="79"/>
        <item x="585"/>
        <item x="5"/>
        <item x="272"/>
        <item x="281"/>
        <item x="890"/>
        <item x="922"/>
        <item x="205"/>
        <item x="764"/>
        <item x="979"/>
        <item x="480"/>
        <item x="4"/>
        <item x="492"/>
        <item x="962"/>
        <item x="989"/>
        <item x="71"/>
        <item x="802"/>
        <item x="224"/>
        <item x="693"/>
        <item x="685"/>
        <item x="507"/>
        <item x="682"/>
        <item x="50"/>
        <item x="626"/>
        <item x="358"/>
        <item x="153"/>
        <item x="786"/>
        <item x="819"/>
        <item x="821"/>
        <item x="740"/>
        <item x="124"/>
        <item x="841"/>
        <item x="936"/>
        <item x="618"/>
        <item x="287"/>
        <item x="631"/>
        <item x="374"/>
        <item x="430"/>
        <item x="32"/>
        <item x="74"/>
        <item x="610"/>
        <item x="974"/>
        <item x="258"/>
        <item x="797"/>
        <item x="401"/>
        <item x="141"/>
        <item x="334"/>
        <item x="55"/>
        <item x="263"/>
        <item x="528"/>
        <item x="453"/>
        <item x="510"/>
        <item x="721"/>
        <item x="707"/>
        <item x="486"/>
        <item x="973"/>
        <item x="343"/>
        <item x="31"/>
        <item x="100"/>
        <item x="438"/>
        <item x="637"/>
        <item x="276"/>
        <item x="305"/>
        <item x="14"/>
        <item x="345"/>
        <item x="57"/>
        <item x="871"/>
        <item x="754"/>
        <item x="58"/>
        <item x="698"/>
        <item x="859"/>
        <item x="113"/>
        <item x="648"/>
        <item x="458"/>
        <item x="732"/>
        <item x="879"/>
        <item x="7"/>
        <item x="822"/>
        <item x="924"/>
        <item x="904"/>
        <item x="265"/>
        <item x="151"/>
        <item x="242"/>
        <item x="359"/>
        <item x="185"/>
        <item x="230"/>
        <item x="216"/>
        <item x="758"/>
        <item x="981"/>
        <item x="881"/>
        <item x="753"/>
        <item x="598"/>
        <item x="748"/>
        <item x="312"/>
        <item x="77"/>
        <item x="68"/>
        <item x="43"/>
        <item x="191"/>
        <item x="772"/>
        <item x="887"/>
        <item x="454"/>
        <item x="920"/>
        <item x="699"/>
        <item x="119"/>
        <item x="439"/>
        <item x="562"/>
        <item x="128"/>
        <item x="715"/>
        <item x="729"/>
        <item x="108"/>
        <item x="978"/>
        <item x="623"/>
        <item x="49"/>
        <item x="619"/>
        <item x="210"/>
        <item x="733"/>
        <item x="898"/>
        <item x="960"/>
        <item x="659"/>
        <item x="157"/>
        <item x="972"/>
        <item x="95"/>
        <item x="526"/>
        <item x="104"/>
        <item x="949"/>
        <item x="607"/>
        <item x="558"/>
        <item x="432"/>
        <item x="70"/>
        <item x="208"/>
        <item x="139"/>
        <item x="932"/>
        <item x="121"/>
        <item x="140"/>
        <item x="426"/>
        <item x="355"/>
        <item x="165"/>
        <item x="419"/>
        <item x="785"/>
        <item x="986"/>
        <item x="694"/>
        <item x="554"/>
        <item x="166"/>
        <item x="348"/>
        <item t="default"/>
      </items>
    </pivotField>
    <pivotField showAll="0"/>
    <pivotField numFmtId="166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income" fld="15" baseField="0" baseItem="0" numFmtId="2"/>
    <dataField name="Sum of gross margin percentage" fld="14" baseField="0" baseItem="0" numFmtId="2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F36F6B-A353-43CD-A1DB-4E41CEE637D1}" name="PivotTable2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3:B10" firstHeaderRow="1" firstDataRow="1" firstDataCol="1"/>
  <pivotFields count="21">
    <pivotField showAll="0"/>
    <pivotField showAll="0"/>
    <pivotField showAll="0"/>
    <pivotField showAll="0"/>
    <pivotField showAll="0"/>
    <pivotField axis="axisRow" showAll="0" sortType="a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dataField="1" numFmtId="2" showAll="0"/>
    <pivotField showAll="0"/>
    <pivotField numFmtId="166" showAll="0"/>
    <pivotField showAll="0"/>
    <pivotField showAll="0"/>
    <pivotField showAll="0"/>
  </pivotFields>
  <rowFields count="1">
    <field x="5"/>
  </rowFields>
  <rowItems count="7">
    <i>
      <x v="3"/>
    </i>
    <i>
      <x v="4"/>
    </i>
    <i>
      <x v="1"/>
    </i>
    <i>
      <x/>
    </i>
    <i>
      <x v="5"/>
    </i>
    <i>
      <x v="2"/>
    </i>
    <i t="grand">
      <x/>
    </i>
  </rowItems>
  <colItems count="1">
    <i/>
  </colItems>
  <dataFields count="1">
    <dataField name="Sum of gross income" fld="15" baseField="0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429D6-A92B-44C8-B3E1-E760CBC6CF31}" name="PivotTable2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3:C10" firstHeaderRow="0" firstDataRow="1" firstDataCol="1"/>
  <pivotFields count="21">
    <pivotField showAll="0"/>
    <pivotField showAll="0"/>
    <pivotField showAll="0"/>
    <pivotField showAll="0"/>
    <pivotField showAll="0"/>
    <pivotField axis="axisRow" showAll="0" sortType="ascending">
      <items count="7">
        <item x="1"/>
        <item x="5"/>
        <item x="4"/>
        <item x="0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dataField="1" numFmtId="2" showAll="0"/>
    <pivotField dataField="1" showAll="0"/>
    <pivotField numFmtId="166" showAll="0"/>
    <pivotField showAll="0"/>
    <pivotField showAll="0"/>
    <pivotField showAll="0"/>
  </pivotFields>
  <rowFields count="1">
    <field x="5"/>
  </rowFields>
  <rowItems count="7">
    <i>
      <x v="3"/>
    </i>
    <i>
      <x v="4"/>
    </i>
    <i>
      <x v="1"/>
    </i>
    <i>
      <x/>
    </i>
    <i>
      <x v="5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ating" fld="16" subtotal="average" baseField="5" baseItem="0" numFmtId="2"/>
    <dataField name="Sum of gross income" fld="15" baseField="0" baseItem="0" numFmtId="2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48A611-0319-4656-8102-87FFC0DC99FB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">
  <location ref="A3:B11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7" showAll="0"/>
    <pivotField showAll="0"/>
    <pivotField showAll="0"/>
    <pivotField showAll="0"/>
    <pivotField axis="axisRow" showAll="0" sortType="ascending">
      <items count="8">
        <item x="2"/>
        <item x="3"/>
        <item x="5"/>
        <item x="6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1"/>
  </rowFields>
  <rowItems count="8">
    <i>
      <x v="1"/>
    </i>
    <i>
      <x/>
    </i>
    <i>
      <x v="4"/>
    </i>
    <i>
      <x v="5"/>
    </i>
    <i>
      <x v="3"/>
    </i>
    <i>
      <x v="2"/>
    </i>
    <i>
      <x v="6"/>
    </i>
    <i t="grand">
      <x/>
    </i>
  </rowItems>
  <colItems count="1">
    <i/>
  </colItems>
  <dataFields count="1">
    <dataField name="Count of Invoic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0E53F-98F0-4466-8B35-471E7D41593E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56:D64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numFmtId="2" showAll="0"/>
    <pivotField dataField="1" showAll="0"/>
    <pivotField numFmtId="2" showAll="0"/>
    <pivotField dataField="1" numFmtId="2" showAll="0"/>
    <pivotField showAll="0"/>
    <pivotField numFmtId="164" showAll="0"/>
    <pivotField showAll="0"/>
    <pivotField numFmtId="2" showAll="0"/>
    <pivotField numFmtId="2" showAll="0"/>
    <pivotField dataField="1" numFmtId="2" showAll="0"/>
    <pivotField showAll="0"/>
    <pivotField numFmtId="167" showAll="0"/>
    <pivotField showAll="0"/>
    <pivotField showAll="0">
      <items count="12">
        <item x="1"/>
        <item x="5"/>
        <item x="10"/>
        <item x="0"/>
        <item x="4"/>
        <item x="9"/>
        <item x="7"/>
        <item x="6"/>
        <item x="3"/>
        <item x="8"/>
        <item x="2"/>
        <item t="default"/>
      </items>
    </pivotField>
    <pivotField showAll="0">
      <items count="32">
        <item x="15"/>
        <item x="8"/>
        <item x="2"/>
        <item x="22"/>
        <item x="0"/>
        <item x="20"/>
        <item x="11"/>
        <item x="1"/>
        <item x="9"/>
        <item x="6"/>
        <item x="14"/>
        <item x="10"/>
        <item x="26"/>
        <item x="25"/>
        <item x="13"/>
        <item x="23"/>
        <item x="17"/>
        <item x="28"/>
        <item x="24"/>
        <item x="7"/>
        <item x="16"/>
        <item x="18"/>
        <item x="21"/>
        <item x="5"/>
        <item x="4"/>
        <item x="27"/>
        <item x="3"/>
        <item x="19"/>
        <item x="12"/>
        <item x="29"/>
        <item x="30"/>
        <item t="default"/>
      </items>
    </pivotField>
    <pivotField axis="axisRow" showAll="0" sortType="ascending">
      <items count="8">
        <item x="2"/>
        <item x="3"/>
        <item x="5"/>
        <item x="6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1"/>
  </rowFields>
  <rowItems count="8">
    <i>
      <x v="1"/>
    </i>
    <i>
      <x v="3"/>
    </i>
    <i>
      <x v="5"/>
    </i>
    <i>
      <x/>
    </i>
    <i>
      <x v="4"/>
    </i>
    <i>
      <x v="2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" fld="9" baseField="0" baseItem="0" numFmtId="2"/>
    <dataField name="Sum of Quantity" fld="7" baseField="0" baseItem="0"/>
    <dataField name="Sum of gross income" fld="15" baseField="0" baseItem="0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9A6F45-3C53-4F66-9A3E-B58929CB63A7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39:B4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dataField="1" showAll="0"/>
    <pivotField numFmtId="167" showAll="0"/>
    <pivotField showAll="0"/>
    <pivotField showAll="0">
      <items count="12">
        <item x="1"/>
        <item x="5"/>
        <item x="10"/>
        <item x="0"/>
        <item x="4"/>
        <item x="9"/>
        <item x="7"/>
        <item x="6"/>
        <item x="3"/>
        <item x="8"/>
        <item x="2"/>
        <item t="default"/>
      </items>
    </pivotField>
    <pivotField showAll="0">
      <items count="32">
        <item x="15"/>
        <item x="8"/>
        <item x="2"/>
        <item x="22"/>
        <item x="0"/>
        <item x="20"/>
        <item x="11"/>
        <item x="1"/>
        <item x="9"/>
        <item x="6"/>
        <item x="14"/>
        <item x="10"/>
        <item x="26"/>
        <item x="25"/>
        <item x="13"/>
        <item x="23"/>
        <item x="17"/>
        <item x="28"/>
        <item x="24"/>
        <item x="7"/>
        <item x="16"/>
        <item x="18"/>
        <item x="21"/>
        <item x="5"/>
        <item x="4"/>
        <item x="27"/>
        <item x="3"/>
        <item x="19"/>
        <item x="12"/>
        <item x="29"/>
        <item x="30"/>
        <item t="default"/>
      </items>
    </pivotField>
    <pivotField axis="axisRow" showAll="0" sortType="ascending">
      <items count="8">
        <item x="2"/>
        <item x="3"/>
        <item x="5"/>
        <item x="6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1"/>
  </rowFields>
  <rowItems count="8">
    <i>
      <x v="3"/>
    </i>
    <i>
      <x v="4"/>
    </i>
    <i>
      <x v="6"/>
    </i>
    <i>
      <x/>
    </i>
    <i>
      <x v="2"/>
    </i>
    <i>
      <x v="5"/>
    </i>
    <i>
      <x v="1"/>
    </i>
    <i t="grand">
      <x/>
    </i>
  </rowItems>
  <colItems count="1">
    <i/>
  </colItems>
  <dataFields count="1">
    <dataField name="Average of Rating" fld="16" subtotal="average" baseField="20" baseItem="0" numFmtId="2"/>
  </dataFields>
  <formats count="2">
    <format dxfId="3">
      <pivotArea outline="0" collapsedLevelsAreSubtotals="1" fieldPosition="0"/>
    </format>
    <format dxfId="2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14E9E-C29F-4446-9794-24131AEC5C3A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22:B34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numFmtId="2" showAll="0"/>
    <pivotField showAll="0"/>
    <pivotField numFmtId="167" showAll="0"/>
    <pivotField showAll="0"/>
    <pivotField axis="axisRow" showAll="0" sortType="ascending">
      <items count="12">
        <item x="1"/>
        <item x="5"/>
        <item x="10"/>
        <item x="0"/>
        <item x="4"/>
        <item x="9"/>
        <item x="7"/>
        <item x="6"/>
        <item x="3"/>
        <item x="8"/>
        <item x="2"/>
        <item t="default"/>
      </items>
    </pivotField>
    <pivotField showAll="0"/>
    <pivotField showAll="0" sortType="ascending">
      <items count="8">
        <item x="2"/>
        <item x="3"/>
        <item x="5"/>
        <item x="6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Invoice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6DBBC9-D065-4C44-8C87-0F9724B39ADD}" name="PivotTable1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21:H30" firstHeaderRow="1" firstDataRow="2" firstDataCol="1"/>
  <pivotFields count="22">
    <pivotField showAll="0"/>
    <pivotField showAll="0"/>
    <pivotField showAll="0"/>
    <pivotField showAll="0"/>
    <pivotField showAll="0"/>
    <pivotField axis="axisCol"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dataField="1" numFmtId="2" showAll="0"/>
    <pivotField showAll="0"/>
    <pivotField numFmtId="167" showAll="0"/>
    <pivotField showAll="0"/>
    <pivotField showAll="0"/>
    <pivotField showAll="0"/>
    <pivotField axis="axisRow" showAll="0" sortType="ascending">
      <items count="8">
        <item x="2"/>
        <item x="3"/>
        <item x="5"/>
        <item x="6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1"/>
  </rowFields>
  <rowItems count="8">
    <i>
      <x v="1"/>
    </i>
    <i>
      <x v="3"/>
    </i>
    <i>
      <x v="5"/>
    </i>
    <i>
      <x/>
    </i>
    <i>
      <x v="4"/>
    </i>
    <i>
      <x v="2"/>
    </i>
    <i>
      <x v="6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gross income" fld="15" baseField="0" baseItem="0" numFmtId="2"/>
  </dataFields>
  <chartFormats count="5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1" count="1" selected="0">
            <x v="3"/>
          </reference>
        </references>
      </pivotArea>
    </chartFormat>
    <chartFormat chart="6" format="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1" count="1" selected="0">
            <x v="3"/>
          </reference>
        </references>
      </pivotArea>
    </chartFormat>
    <chartFormat chart="6" format="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1" count="1" selected="0">
            <x v="3"/>
          </reference>
        </references>
      </pivotArea>
    </chartFormat>
    <chartFormat chart="6" format="1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1" count="1" selected="0">
            <x v="3"/>
          </reference>
        </references>
      </pivotArea>
    </chartFormat>
    <chartFormat chart="6" format="1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1" count="1" selected="0">
            <x v="3"/>
          </reference>
        </references>
      </pivotArea>
    </chartFormat>
    <chartFormat chart="6" format="1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1" count="1" selected="0">
            <x v="5"/>
          </reference>
        </references>
      </pivotArea>
    </chartFormat>
    <chartFormat chart="6" format="1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1" count="1" selected="0">
            <x v="5"/>
          </reference>
        </references>
      </pivotArea>
    </chartFormat>
    <chartFormat chart="6" format="1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1" count="1" selected="0">
            <x v="5"/>
          </reference>
        </references>
      </pivotArea>
    </chartFormat>
    <chartFormat chart="6" format="1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1" count="1" selected="0">
            <x v="5"/>
          </reference>
        </references>
      </pivotArea>
    </chartFormat>
    <chartFormat chart="6" format="1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1" count="1" selected="0">
            <x v="5"/>
          </reference>
        </references>
      </pivotArea>
    </chartFormat>
    <chartFormat chart="6" format="1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1" count="1" selected="0">
            <x v="5"/>
          </reference>
        </references>
      </pivotArea>
    </chartFormat>
    <chartFormat chart="6" format="1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1" count="1" selected="0">
            <x v="0"/>
          </reference>
        </references>
      </pivotArea>
    </chartFormat>
    <chartFormat chart="6" format="1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1" count="1" selected="0">
            <x v="0"/>
          </reference>
        </references>
      </pivotArea>
    </chartFormat>
    <chartFormat chart="6" format="2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1" count="1" selected="0">
            <x v="0"/>
          </reference>
        </references>
      </pivotArea>
    </chartFormat>
    <chartFormat chart="6" format="2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1" count="1" selected="0">
            <x v="0"/>
          </reference>
        </references>
      </pivotArea>
    </chartFormat>
    <chartFormat chart="6" format="2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1" count="1" selected="0">
            <x v="0"/>
          </reference>
        </references>
      </pivotArea>
    </chartFormat>
    <chartFormat chart="6" format="2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1" count="1" selected="0">
            <x v="0"/>
          </reference>
        </references>
      </pivotArea>
    </chartFormat>
    <chartFormat chart="6" format="2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1" count="1" selected="0">
            <x v="4"/>
          </reference>
        </references>
      </pivotArea>
    </chartFormat>
    <chartFormat chart="6" format="2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1" count="1" selected="0">
            <x v="4"/>
          </reference>
        </references>
      </pivotArea>
    </chartFormat>
    <chartFormat chart="6" format="2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1" count="1" selected="0">
            <x v="4"/>
          </reference>
        </references>
      </pivotArea>
    </chartFormat>
    <chartFormat chart="6" format="2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1" count="1" selected="0">
            <x v="4"/>
          </reference>
        </references>
      </pivotArea>
    </chartFormat>
    <chartFormat chart="6" format="2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1" count="1" selected="0">
            <x v="4"/>
          </reference>
        </references>
      </pivotArea>
    </chartFormat>
    <chartFormat chart="6" format="2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1" count="1" selected="0">
            <x v="4"/>
          </reference>
        </references>
      </pivotArea>
    </chartFormat>
    <chartFormat chart="6" format="3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1" count="1" selected="0">
            <x v="2"/>
          </reference>
        </references>
      </pivotArea>
    </chartFormat>
    <chartFormat chart="6" format="3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1" count="1" selected="0">
            <x v="2"/>
          </reference>
        </references>
      </pivotArea>
    </chartFormat>
    <chartFormat chart="6" format="3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1" count="1" selected="0">
            <x v="2"/>
          </reference>
        </references>
      </pivotArea>
    </chartFormat>
    <chartFormat chart="6" format="3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1" count="1" selected="0">
            <x v="2"/>
          </reference>
        </references>
      </pivotArea>
    </chartFormat>
    <chartFormat chart="6" format="3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1" count="1" selected="0">
            <x v="2"/>
          </reference>
        </references>
      </pivotArea>
    </chartFormat>
    <chartFormat chart="6" format="3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1" count="1" selected="0">
            <x v="2"/>
          </reference>
        </references>
      </pivotArea>
    </chartFormat>
    <chartFormat chart="6" format="3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21" count="1" selected="0">
            <x v="6"/>
          </reference>
        </references>
      </pivotArea>
    </chartFormat>
    <chartFormat chart="6" format="3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21" count="1" selected="0">
            <x v="6"/>
          </reference>
        </references>
      </pivotArea>
    </chartFormat>
    <chartFormat chart="6" format="3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21" count="1" selected="0">
            <x v="6"/>
          </reference>
        </references>
      </pivotArea>
    </chartFormat>
    <chartFormat chart="6" format="3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1" count="1" selected="0">
            <x v="6"/>
          </reference>
        </references>
      </pivotArea>
    </chartFormat>
    <chartFormat chart="6" format="4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21" count="1" selected="0">
            <x v="6"/>
          </reference>
        </references>
      </pivotArea>
    </chartFormat>
    <chartFormat chart="6" format="4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21" count="1" selected="0">
            <x v="6"/>
          </reference>
        </references>
      </pivotArea>
    </chartFormat>
    <chartFormat chart="6" format="4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4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4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4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4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4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E88E1-92D5-4500-9A2D-2FBAA2332314}" name="PivotTable1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3:B11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dataField="1" numFmtId="2" showAll="0"/>
    <pivotField showAll="0"/>
    <pivotField numFmtId="167" showAll="0"/>
    <pivotField showAll="0"/>
    <pivotField showAll="0"/>
    <pivotField showAll="0"/>
    <pivotField axis="axisRow" showAll="0" sortType="ascending">
      <items count="8">
        <item x="2"/>
        <item x="3"/>
        <item x="5"/>
        <item x="6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1"/>
  </rowFields>
  <rowItems count="8">
    <i>
      <x v="1"/>
    </i>
    <i>
      <x v="3"/>
    </i>
    <i>
      <x v="5"/>
    </i>
    <i>
      <x/>
    </i>
    <i>
      <x v="4"/>
    </i>
    <i>
      <x v="2"/>
    </i>
    <i>
      <x v="6"/>
    </i>
    <i t="grand">
      <x/>
    </i>
  </rowItems>
  <colItems count="1">
    <i/>
  </colItems>
  <dataFields count="1">
    <dataField name="Sum of gross income" fld="15" baseField="0" baseItem="0" numFmtId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DB833-8E5A-4824-9B20-2FA21C3D414A}" name="PivotTable1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3:B10" firstHeaderRow="1" firstDataRow="1" firstDataCol="1"/>
  <pivotFields count="22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dataField="1" numFmtId="2" showAll="0"/>
    <pivotField showAll="0"/>
    <pivotField numFmtId="167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gross income" fld="15" baseField="0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7FF1E-56FF-4927-9604-96EB2CE77906}" name="PivotTable2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3:B7" firstHeaderRow="1" firstDataRow="1" firstDataCol="1"/>
  <pivotFields count="22">
    <pivotField showAll="0"/>
    <pivotField axis="axisRow" showAll="0" sortType="a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dataField="1" numFmtId="2" showAll="0"/>
    <pivotField showAll="0"/>
    <pivotField numFmtId="167" showAll="0"/>
    <pivotField showAll="0"/>
    <pivotField showAll="0"/>
    <pivotField showAll="0"/>
    <pivotField showAll="0"/>
  </pivotFields>
  <rowFields count="1">
    <field x="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Jumlah Pengunjung" fld="15" baseField="0" baseItem="0" numFmtId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6EC63-5310-46EE-ADA4-8C046D7801AE}" name="PivotTable2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4" firstHeaderRow="1" firstDataRow="1" firstDataCol="0"/>
  <pivotFields count="22">
    <pivotField showAll="0"/>
    <pivotField showAll="0"/>
    <pivotField showAll="0"/>
    <pivotField showAll="0"/>
    <pivotField showAll="0"/>
    <pivotField showAll="0"/>
    <pivotField numFmtId="2" showAll="0"/>
    <pivotField showAll="0"/>
    <pivotField numFmtId="2" showAll="0"/>
    <pivotField numFmtId="2" showAll="0"/>
    <pivotField showAll="0"/>
    <pivotField numFmtId="164" showAll="0"/>
    <pivotField showAll="0"/>
    <pivotField numFmtId="2" showAll="0"/>
    <pivotField numFmtId="2" showAll="0"/>
    <pivotField dataField="1" numFmtId="2" showAll="0"/>
    <pivotField showAll="0"/>
    <pivotField numFmtId="167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gross income" fld="1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drawing" Target="../drawings/drawing5.xml"/><Relationship Id="rId5" Type="http://schemas.openxmlformats.org/officeDocument/2006/relationships/pivotTable" Target="../pivotTables/pivotTable19.xml"/><Relationship Id="rId4" Type="http://schemas.openxmlformats.org/officeDocument/2006/relationships/pivotTable" Target="../pivotTables/pivotTable1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4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2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7.xml"/><Relationship Id="rId2" Type="http://schemas.openxmlformats.org/officeDocument/2006/relationships/pivotTable" Target="../pivotTables/pivotTable26.xml"/><Relationship Id="rId1" Type="http://schemas.openxmlformats.org/officeDocument/2006/relationships/pivotTable" Target="../pivotTables/pivotTable25.xml"/><Relationship Id="rId5" Type="http://schemas.openxmlformats.org/officeDocument/2006/relationships/drawing" Target="../drawings/drawing9.xml"/><Relationship Id="rId4" Type="http://schemas.openxmlformats.org/officeDocument/2006/relationships/pivotTable" Target="../pivotTables/pivotTable2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30.xml"/><Relationship Id="rId1" Type="http://schemas.openxmlformats.org/officeDocument/2006/relationships/pivotTable" Target="../pivotTables/pivotTable2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3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3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82E25-2746-439C-AE42-C19665FE1E9E}">
  <dimension ref="A3:E76"/>
  <sheetViews>
    <sheetView topLeftCell="A61" zoomScaleNormal="120" workbookViewId="0">
      <selection activeCell="P78" sqref="P78"/>
    </sheetView>
  </sheetViews>
  <sheetFormatPr defaultRowHeight="15" x14ac:dyDescent="0.25"/>
  <cols>
    <col min="1" max="1" width="13.140625" bestFit="1" customWidth="1"/>
    <col min="2" max="3" width="18" bestFit="1" customWidth="1"/>
    <col min="5" max="5" width="12" customWidth="1"/>
  </cols>
  <sheetData>
    <row r="3" spans="1:2" x14ac:dyDescent="0.25">
      <c r="A3" s="10" t="s">
        <v>1093</v>
      </c>
      <c r="B3" t="s">
        <v>1095</v>
      </c>
    </row>
    <row r="4" spans="1:2" x14ac:dyDescent="0.25">
      <c r="A4" s="11" t="s">
        <v>18</v>
      </c>
      <c r="B4">
        <v>106200.37050000011</v>
      </c>
    </row>
    <row r="5" spans="1:2" x14ac:dyDescent="0.25">
      <c r="A5" s="11" t="s">
        <v>46</v>
      </c>
      <c r="B5">
        <v>106197.67199999996</v>
      </c>
    </row>
    <row r="6" spans="1:2" x14ac:dyDescent="0.25">
      <c r="A6" s="11" t="s">
        <v>25</v>
      </c>
      <c r="B6">
        <v>110568.70649999994</v>
      </c>
    </row>
    <row r="7" spans="1:2" x14ac:dyDescent="0.25">
      <c r="A7" s="11" t="s">
        <v>1094</v>
      </c>
      <c r="B7">
        <v>322966.74900000001</v>
      </c>
    </row>
    <row r="20" spans="1:2" x14ac:dyDescent="0.25">
      <c r="A20" s="10" t="s">
        <v>1093</v>
      </c>
      <c r="B20" t="s">
        <v>1096</v>
      </c>
    </row>
    <row r="21" spans="1:2" x14ac:dyDescent="0.25">
      <c r="A21" s="11" t="s">
        <v>18</v>
      </c>
      <c r="B21">
        <v>1859</v>
      </c>
    </row>
    <row r="22" spans="1:2" x14ac:dyDescent="0.25">
      <c r="A22" s="11" t="s">
        <v>46</v>
      </c>
      <c r="B22">
        <v>1820</v>
      </c>
    </row>
    <row r="23" spans="1:2" x14ac:dyDescent="0.25">
      <c r="A23" s="11" t="s">
        <v>25</v>
      </c>
      <c r="B23">
        <v>1831</v>
      </c>
    </row>
    <row r="24" spans="1:2" x14ac:dyDescent="0.25">
      <c r="A24" s="11" t="s">
        <v>1094</v>
      </c>
      <c r="B24">
        <v>5510</v>
      </c>
    </row>
    <row r="37" spans="1:2" x14ac:dyDescent="0.25">
      <c r="A37" s="10" t="s">
        <v>1093</v>
      </c>
      <c r="B37" t="s">
        <v>1092</v>
      </c>
    </row>
    <row r="38" spans="1:2" x14ac:dyDescent="0.25">
      <c r="A38" s="11" t="s">
        <v>18</v>
      </c>
      <c r="B38">
        <v>340</v>
      </c>
    </row>
    <row r="39" spans="1:2" x14ac:dyDescent="0.25">
      <c r="A39" s="11" t="s">
        <v>46</v>
      </c>
      <c r="B39">
        <v>332</v>
      </c>
    </row>
    <row r="40" spans="1:2" x14ac:dyDescent="0.25">
      <c r="A40" s="11" t="s">
        <v>25</v>
      </c>
      <c r="B40">
        <v>328</v>
      </c>
    </row>
    <row r="41" spans="1:2" x14ac:dyDescent="0.25">
      <c r="A41" s="11" t="s">
        <v>1094</v>
      </c>
      <c r="B41">
        <v>1000</v>
      </c>
    </row>
    <row r="52" spans="1:2" x14ac:dyDescent="0.25">
      <c r="A52" s="10" t="s">
        <v>1093</v>
      </c>
      <c r="B52" s="1" t="s">
        <v>1097</v>
      </c>
    </row>
    <row r="53" spans="1:2" x14ac:dyDescent="0.25">
      <c r="A53" s="11" t="s">
        <v>18</v>
      </c>
      <c r="B53" s="1">
        <v>7.0270588235294129</v>
      </c>
    </row>
    <row r="54" spans="1:2" x14ac:dyDescent="0.25">
      <c r="A54" s="11" t="s">
        <v>46</v>
      </c>
      <c r="B54" s="1">
        <v>6.8180722891566266</v>
      </c>
    </row>
    <row r="55" spans="1:2" x14ac:dyDescent="0.25">
      <c r="A55" s="11" t="s">
        <v>25</v>
      </c>
      <c r="B55" s="1">
        <v>7.0728658536585378</v>
      </c>
    </row>
    <row r="56" spans="1:2" x14ac:dyDescent="0.25">
      <c r="A56" s="11" t="s">
        <v>1094</v>
      </c>
      <c r="B56" s="1">
        <v>6.9726999999999997</v>
      </c>
    </row>
    <row r="68" spans="1:5" x14ac:dyDescent="0.25">
      <c r="A68" s="10" t="s">
        <v>1096</v>
      </c>
      <c r="B68" s="10" t="s">
        <v>1098</v>
      </c>
    </row>
    <row r="69" spans="1:5" x14ac:dyDescent="0.25">
      <c r="A69" s="10" t="s">
        <v>1093</v>
      </c>
      <c r="B69" t="s">
        <v>18</v>
      </c>
      <c r="C69" t="s">
        <v>46</v>
      </c>
      <c r="D69" t="s">
        <v>25</v>
      </c>
      <c r="E69" t="s">
        <v>1094</v>
      </c>
    </row>
    <row r="70" spans="1:5" x14ac:dyDescent="0.25">
      <c r="A70" s="11" t="s">
        <v>28</v>
      </c>
      <c r="B70">
        <v>322</v>
      </c>
      <c r="C70">
        <v>316</v>
      </c>
      <c r="D70">
        <v>333</v>
      </c>
      <c r="E70">
        <v>971</v>
      </c>
    </row>
    <row r="71" spans="1:5" x14ac:dyDescent="0.25">
      <c r="A71" s="11" t="s">
        <v>51</v>
      </c>
      <c r="B71">
        <v>263</v>
      </c>
      <c r="C71">
        <v>297</v>
      </c>
      <c r="D71">
        <v>342</v>
      </c>
      <c r="E71">
        <v>902</v>
      </c>
    </row>
    <row r="72" spans="1:5" x14ac:dyDescent="0.25">
      <c r="A72" s="11" t="s">
        <v>48</v>
      </c>
      <c r="B72">
        <v>313</v>
      </c>
      <c r="C72">
        <v>270</v>
      </c>
      <c r="D72">
        <v>369</v>
      </c>
      <c r="E72">
        <v>952</v>
      </c>
    </row>
    <row r="73" spans="1:5" x14ac:dyDescent="0.25">
      <c r="A73" s="11" t="s">
        <v>22</v>
      </c>
      <c r="B73">
        <v>257</v>
      </c>
      <c r="C73">
        <v>320</v>
      </c>
      <c r="D73">
        <v>277</v>
      </c>
      <c r="E73">
        <v>854</v>
      </c>
    </row>
    <row r="74" spans="1:5" x14ac:dyDescent="0.25">
      <c r="A74" s="11" t="s">
        <v>32</v>
      </c>
      <c r="B74">
        <v>371</v>
      </c>
      <c r="C74">
        <v>295</v>
      </c>
      <c r="D74">
        <v>245</v>
      </c>
      <c r="E74">
        <v>911</v>
      </c>
    </row>
    <row r="75" spans="1:5" x14ac:dyDescent="0.25">
      <c r="A75" s="11" t="s">
        <v>37</v>
      </c>
      <c r="B75">
        <v>333</v>
      </c>
      <c r="C75">
        <v>322</v>
      </c>
      <c r="D75">
        <v>265</v>
      </c>
      <c r="E75">
        <v>920</v>
      </c>
    </row>
    <row r="76" spans="1:5" x14ac:dyDescent="0.25">
      <c r="A76" s="11" t="s">
        <v>1094</v>
      </c>
      <c r="B76">
        <v>1859</v>
      </c>
      <c r="C76">
        <v>1820</v>
      </c>
      <c r="D76">
        <v>1831</v>
      </c>
      <c r="E76">
        <v>5510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E20B-6EF1-441B-9513-3E6069E8DB34}">
  <dimension ref="A3:C4"/>
  <sheetViews>
    <sheetView workbookViewId="0">
      <selection activeCell="B4" sqref="B4"/>
    </sheetView>
  </sheetViews>
  <sheetFormatPr defaultRowHeight="15" x14ac:dyDescent="0.25"/>
  <cols>
    <col min="1" max="1" width="18" bestFit="1" customWidth="1"/>
    <col min="2" max="2" width="12" bestFit="1" customWidth="1"/>
    <col min="3" max="3" width="15.42578125" bestFit="1" customWidth="1"/>
  </cols>
  <sheetData>
    <row r="3" spans="1:3" x14ac:dyDescent="0.25">
      <c r="A3" t="s">
        <v>1092</v>
      </c>
      <c r="B3" t="s">
        <v>1095</v>
      </c>
      <c r="C3" t="s">
        <v>1096</v>
      </c>
    </row>
    <row r="4" spans="1:3" x14ac:dyDescent="0.25">
      <c r="A4" s="1">
        <v>1000</v>
      </c>
      <c r="B4" s="1">
        <v>322966.74900000007</v>
      </c>
      <c r="C4" s="1">
        <v>5510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EC45-02EA-4240-B836-CE817617E312}">
  <dimension ref="A3:B26"/>
  <sheetViews>
    <sheetView topLeftCell="A10" zoomScale="120" zoomScaleNormal="120" workbookViewId="0">
      <selection activeCell="B19" sqref="B19"/>
    </sheetView>
  </sheetViews>
  <sheetFormatPr defaultRowHeight="15" x14ac:dyDescent="0.25"/>
  <cols>
    <col min="1" max="1" width="20.42578125" bestFit="1" customWidth="1"/>
    <col min="2" max="2" width="16.7109375" bestFit="1" customWidth="1"/>
    <col min="3" max="3" width="13.28515625" bestFit="1" customWidth="1"/>
  </cols>
  <sheetData>
    <row r="3" spans="1:2" x14ac:dyDescent="0.25">
      <c r="A3" s="10" t="s">
        <v>1093</v>
      </c>
      <c r="B3" t="s">
        <v>1097</v>
      </c>
    </row>
    <row r="4" spans="1:2" x14ac:dyDescent="0.25">
      <c r="A4" s="11" t="s">
        <v>32</v>
      </c>
      <c r="B4" s="1">
        <v>6.8375000000000004</v>
      </c>
    </row>
    <row r="5" spans="1:2" x14ac:dyDescent="0.25">
      <c r="A5" s="11" t="s">
        <v>37</v>
      </c>
      <c r="B5" s="1">
        <v>6.9162650602409643</v>
      </c>
    </row>
    <row r="6" spans="1:2" x14ac:dyDescent="0.25">
      <c r="A6" s="11" t="s">
        <v>28</v>
      </c>
      <c r="B6" s="1">
        <v>6.9247058823529404</v>
      </c>
    </row>
    <row r="7" spans="1:2" x14ac:dyDescent="0.25">
      <c r="A7" s="11" t="s">
        <v>22</v>
      </c>
      <c r="B7" s="1">
        <v>7.0032894736842124</v>
      </c>
    </row>
    <row r="8" spans="1:2" x14ac:dyDescent="0.25">
      <c r="A8" s="11" t="s">
        <v>51</v>
      </c>
      <c r="B8" s="1">
        <v>7.0292134831460666</v>
      </c>
    </row>
    <row r="9" spans="1:2" x14ac:dyDescent="0.25">
      <c r="A9" s="11" t="s">
        <v>48</v>
      </c>
      <c r="B9" s="1">
        <v>7.1132183908045983</v>
      </c>
    </row>
    <row r="10" spans="1:2" x14ac:dyDescent="0.25">
      <c r="A10" s="11" t="s">
        <v>1094</v>
      </c>
      <c r="B10">
        <v>6.972699999999997</v>
      </c>
    </row>
    <row r="19" spans="1:2" x14ac:dyDescent="0.25">
      <c r="A19" s="10" t="s">
        <v>1093</v>
      </c>
      <c r="B19" t="s">
        <v>1100</v>
      </c>
    </row>
    <row r="20" spans="1:2" x14ac:dyDescent="0.25">
      <c r="A20" s="11" t="s">
        <v>22</v>
      </c>
      <c r="B20" s="1">
        <v>2342.5589999999993</v>
      </c>
    </row>
    <row r="21" spans="1:2" x14ac:dyDescent="0.25">
      <c r="A21" s="11" t="s">
        <v>32</v>
      </c>
      <c r="B21" s="1">
        <v>2564.8530000000019</v>
      </c>
    </row>
    <row r="22" spans="1:2" x14ac:dyDescent="0.25">
      <c r="A22" s="11" t="s">
        <v>51</v>
      </c>
      <c r="B22" s="1">
        <v>2585.9949999999999</v>
      </c>
    </row>
    <row r="23" spans="1:2" x14ac:dyDescent="0.25">
      <c r="A23" s="11" t="s">
        <v>28</v>
      </c>
      <c r="B23" s="1">
        <v>2587.5015000000017</v>
      </c>
    </row>
    <row r="24" spans="1:2" x14ac:dyDescent="0.25">
      <c r="A24" s="11" t="s">
        <v>37</v>
      </c>
      <c r="B24" s="1">
        <v>2624.8964999999994</v>
      </c>
    </row>
    <row r="25" spans="1:2" x14ac:dyDescent="0.25">
      <c r="A25" s="11" t="s">
        <v>48</v>
      </c>
      <c r="B25" s="1">
        <v>2673.5639999999994</v>
      </c>
    </row>
    <row r="26" spans="1:2" x14ac:dyDescent="0.25">
      <c r="A26" s="11" t="s">
        <v>1094</v>
      </c>
      <c r="B26" s="1">
        <v>15379.369000000002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59244-908A-4076-B270-3208DC801CEF}">
  <dimension ref="A3:E79"/>
  <sheetViews>
    <sheetView topLeftCell="A82" workbookViewId="0">
      <selection activeCell="N10" sqref="N10:N11"/>
    </sheetView>
  </sheetViews>
  <sheetFormatPr defaultRowHeight="15" x14ac:dyDescent="0.25"/>
  <cols>
    <col min="1" max="1" width="18" bestFit="1" customWidth="1"/>
    <col min="2" max="2" width="16.28515625" bestFit="1" customWidth="1"/>
    <col min="3" max="4" width="4" bestFit="1" customWidth="1"/>
    <col min="5" max="5" width="11.28515625" bestFit="1" customWidth="1"/>
  </cols>
  <sheetData>
    <row r="3" spans="1:2" x14ac:dyDescent="0.25">
      <c r="A3" s="10" t="s">
        <v>1093</v>
      </c>
      <c r="B3" t="s">
        <v>1092</v>
      </c>
    </row>
    <row r="4" spans="1:2" x14ac:dyDescent="0.25">
      <c r="A4" s="11">
        <v>10</v>
      </c>
      <c r="B4">
        <v>101</v>
      </c>
    </row>
    <row r="5" spans="1:2" x14ac:dyDescent="0.25">
      <c r="A5" s="11">
        <v>11</v>
      </c>
      <c r="B5">
        <v>90</v>
      </c>
    </row>
    <row r="6" spans="1:2" x14ac:dyDescent="0.25">
      <c r="A6" s="11">
        <v>12</v>
      </c>
      <c r="B6">
        <v>89</v>
      </c>
    </row>
    <row r="7" spans="1:2" x14ac:dyDescent="0.25">
      <c r="A7" s="11">
        <v>13</v>
      </c>
      <c r="B7">
        <v>103</v>
      </c>
    </row>
    <row r="8" spans="1:2" x14ac:dyDescent="0.25">
      <c r="A8" s="11">
        <v>14</v>
      </c>
      <c r="B8">
        <v>83</v>
      </c>
    </row>
    <row r="9" spans="1:2" x14ac:dyDescent="0.25">
      <c r="A9" s="11">
        <v>15</v>
      </c>
      <c r="B9">
        <v>102</v>
      </c>
    </row>
    <row r="10" spans="1:2" x14ac:dyDescent="0.25">
      <c r="A10" s="11">
        <v>16</v>
      </c>
      <c r="B10">
        <v>77</v>
      </c>
    </row>
    <row r="11" spans="1:2" x14ac:dyDescent="0.25">
      <c r="A11" s="11">
        <v>17</v>
      </c>
      <c r="B11">
        <v>74</v>
      </c>
    </row>
    <row r="12" spans="1:2" x14ac:dyDescent="0.25">
      <c r="A12" s="11">
        <v>18</v>
      </c>
      <c r="B12">
        <v>93</v>
      </c>
    </row>
    <row r="13" spans="1:2" x14ac:dyDescent="0.25">
      <c r="A13" s="11">
        <v>19</v>
      </c>
      <c r="B13">
        <v>113</v>
      </c>
    </row>
    <row r="14" spans="1:2" x14ac:dyDescent="0.25">
      <c r="A14" s="11">
        <v>20</v>
      </c>
      <c r="B14">
        <v>75</v>
      </c>
    </row>
    <row r="15" spans="1:2" x14ac:dyDescent="0.25">
      <c r="A15" s="11" t="s">
        <v>1094</v>
      </c>
      <c r="B15">
        <v>1000</v>
      </c>
    </row>
    <row r="19" spans="1:5" x14ac:dyDescent="0.25">
      <c r="A19" s="10" t="s">
        <v>1092</v>
      </c>
      <c r="B19" s="10" t="s">
        <v>1098</v>
      </c>
    </row>
    <row r="20" spans="1:5" x14ac:dyDescent="0.25">
      <c r="A20" s="10" t="s">
        <v>1093</v>
      </c>
      <c r="B20" t="s">
        <v>18</v>
      </c>
      <c r="C20" t="s">
        <v>46</v>
      </c>
      <c r="D20" t="s">
        <v>25</v>
      </c>
      <c r="E20" t="s">
        <v>1094</v>
      </c>
    </row>
    <row r="21" spans="1:5" x14ac:dyDescent="0.25">
      <c r="A21" s="11">
        <v>10</v>
      </c>
      <c r="B21">
        <v>38</v>
      </c>
      <c r="C21">
        <v>26</v>
      </c>
      <c r="D21">
        <v>37</v>
      </c>
      <c r="E21">
        <v>101</v>
      </c>
    </row>
    <row r="22" spans="1:5" x14ac:dyDescent="0.25">
      <c r="A22" s="11">
        <v>11</v>
      </c>
      <c r="B22">
        <v>35</v>
      </c>
      <c r="C22">
        <v>33</v>
      </c>
      <c r="D22">
        <v>22</v>
      </c>
      <c r="E22">
        <v>90</v>
      </c>
    </row>
    <row r="23" spans="1:5" x14ac:dyDescent="0.25">
      <c r="A23" s="11">
        <v>12</v>
      </c>
      <c r="B23">
        <v>33</v>
      </c>
      <c r="C23">
        <v>25</v>
      </c>
      <c r="D23">
        <v>31</v>
      </c>
      <c r="E23">
        <v>89</v>
      </c>
    </row>
    <row r="24" spans="1:5" x14ac:dyDescent="0.25">
      <c r="A24" s="11">
        <v>13</v>
      </c>
      <c r="B24">
        <v>31</v>
      </c>
      <c r="C24">
        <v>38</v>
      </c>
      <c r="D24">
        <v>34</v>
      </c>
      <c r="E24">
        <v>103</v>
      </c>
    </row>
    <row r="25" spans="1:5" x14ac:dyDescent="0.25">
      <c r="A25" s="11">
        <v>14</v>
      </c>
      <c r="B25">
        <v>25</v>
      </c>
      <c r="C25">
        <v>30</v>
      </c>
      <c r="D25">
        <v>28</v>
      </c>
      <c r="E25">
        <v>83</v>
      </c>
    </row>
    <row r="26" spans="1:5" x14ac:dyDescent="0.25">
      <c r="A26" s="11">
        <v>15</v>
      </c>
      <c r="B26">
        <v>37</v>
      </c>
      <c r="C26">
        <v>32</v>
      </c>
      <c r="D26">
        <v>33</v>
      </c>
      <c r="E26">
        <v>102</v>
      </c>
    </row>
    <row r="27" spans="1:5" x14ac:dyDescent="0.25">
      <c r="A27" s="11">
        <v>16</v>
      </c>
      <c r="B27">
        <v>32</v>
      </c>
      <c r="C27">
        <v>17</v>
      </c>
      <c r="D27">
        <v>28</v>
      </c>
      <c r="E27">
        <v>77</v>
      </c>
    </row>
    <row r="28" spans="1:5" x14ac:dyDescent="0.25">
      <c r="A28" s="11">
        <v>17</v>
      </c>
      <c r="B28">
        <v>27</v>
      </c>
      <c r="C28">
        <v>20</v>
      </c>
      <c r="D28">
        <v>27</v>
      </c>
      <c r="E28">
        <v>74</v>
      </c>
    </row>
    <row r="29" spans="1:5" x14ac:dyDescent="0.25">
      <c r="A29" s="11">
        <v>18</v>
      </c>
      <c r="B29">
        <v>33</v>
      </c>
      <c r="C29">
        <v>35</v>
      </c>
      <c r="D29">
        <v>25</v>
      </c>
      <c r="E29">
        <v>93</v>
      </c>
    </row>
    <row r="30" spans="1:5" x14ac:dyDescent="0.25">
      <c r="A30" s="11">
        <v>19</v>
      </c>
      <c r="B30">
        <v>27</v>
      </c>
      <c r="C30">
        <v>50</v>
      </c>
      <c r="D30">
        <v>36</v>
      </c>
      <c r="E30">
        <v>113</v>
      </c>
    </row>
    <row r="31" spans="1:5" x14ac:dyDescent="0.25">
      <c r="A31" s="11">
        <v>20</v>
      </c>
      <c r="B31">
        <v>22</v>
      </c>
      <c r="C31">
        <v>26</v>
      </c>
      <c r="D31">
        <v>27</v>
      </c>
      <c r="E31">
        <v>75</v>
      </c>
    </row>
    <row r="32" spans="1:5" x14ac:dyDescent="0.25">
      <c r="A32" s="11" t="s">
        <v>1094</v>
      </c>
      <c r="B32">
        <v>340</v>
      </c>
      <c r="C32">
        <v>332</v>
      </c>
      <c r="D32">
        <v>328</v>
      </c>
      <c r="E32">
        <v>1000</v>
      </c>
    </row>
    <row r="37" spans="1:5" x14ac:dyDescent="0.25">
      <c r="A37" s="10" t="s">
        <v>1092</v>
      </c>
      <c r="B37" s="10" t="s">
        <v>1098</v>
      </c>
    </row>
    <row r="38" spans="1:5" x14ac:dyDescent="0.25">
      <c r="A38" s="10" t="s">
        <v>1093</v>
      </c>
      <c r="B38" t="s">
        <v>18</v>
      </c>
      <c r="C38" t="s">
        <v>46</v>
      </c>
      <c r="D38" t="s">
        <v>25</v>
      </c>
      <c r="E38" t="s">
        <v>1094</v>
      </c>
    </row>
    <row r="39" spans="1:5" x14ac:dyDescent="0.25">
      <c r="A39" s="11">
        <v>1</v>
      </c>
      <c r="B39">
        <v>119</v>
      </c>
      <c r="C39">
        <v>112</v>
      </c>
      <c r="D39">
        <v>122</v>
      </c>
      <c r="E39">
        <v>353</v>
      </c>
    </row>
    <row r="40" spans="1:5" x14ac:dyDescent="0.25">
      <c r="A40" s="11">
        <v>2</v>
      </c>
      <c r="B40">
        <v>94</v>
      </c>
      <c r="C40">
        <v>107</v>
      </c>
      <c r="D40">
        <v>100</v>
      </c>
      <c r="E40">
        <v>301</v>
      </c>
    </row>
    <row r="41" spans="1:5" x14ac:dyDescent="0.25">
      <c r="A41" s="11">
        <v>3</v>
      </c>
      <c r="B41">
        <v>127</v>
      </c>
      <c r="C41">
        <v>112</v>
      </c>
      <c r="D41">
        <v>106</v>
      </c>
      <c r="E41">
        <v>345</v>
      </c>
    </row>
    <row r="42" spans="1:5" x14ac:dyDescent="0.25">
      <c r="A42" s="11">
        <v>6</v>
      </c>
      <c r="C42">
        <v>1</v>
      </c>
      <c r="E42">
        <v>1</v>
      </c>
    </row>
    <row r="43" spans="1:5" x14ac:dyDescent="0.25">
      <c r="A43" s="11" t="s">
        <v>1094</v>
      </c>
      <c r="B43">
        <v>340</v>
      </c>
      <c r="C43">
        <v>332</v>
      </c>
      <c r="D43">
        <v>328</v>
      </c>
      <c r="E43">
        <v>1000</v>
      </c>
    </row>
    <row r="46" spans="1:5" x14ac:dyDescent="0.25">
      <c r="A46" s="10" t="s">
        <v>1092</v>
      </c>
      <c r="B46" s="10" t="s">
        <v>1098</v>
      </c>
    </row>
    <row r="47" spans="1:5" x14ac:dyDescent="0.25">
      <c r="A47" s="10" t="s">
        <v>1093</v>
      </c>
      <c r="B47" t="s">
        <v>18</v>
      </c>
      <c r="C47" t="s">
        <v>46</v>
      </c>
      <c r="D47" t="s">
        <v>25</v>
      </c>
      <c r="E47" t="s">
        <v>1094</v>
      </c>
    </row>
    <row r="48" spans="1:5" x14ac:dyDescent="0.25">
      <c r="A48" s="11">
        <v>1</v>
      </c>
      <c r="B48">
        <v>11</v>
      </c>
      <c r="C48">
        <v>8</v>
      </c>
      <c r="D48">
        <v>9</v>
      </c>
      <c r="E48">
        <v>28</v>
      </c>
    </row>
    <row r="49" spans="1:5" x14ac:dyDescent="0.25">
      <c r="A49" s="11">
        <v>2</v>
      </c>
      <c r="B49">
        <v>9</v>
      </c>
      <c r="C49">
        <v>18</v>
      </c>
      <c r="D49">
        <v>14</v>
      </c>
      <c r="E49">
        <v>41</v>
      </c>
    </row>
    <row r="50" spans="1:5" x14ac:dyDescent="0.25">
      <c r="A50" s="11">
        <v>3</v>
      </c>
      <c r="B50">
        <v>13</v>
      </c>
      <c r="C50">
        <v>11</v>
      </c>
      <c r="D50">
        <v>12</v>
      </c>
      <c r="E50">
        <v>36</v>
      </c>
    </row>
    <row r="51" spans="1:5" x14ac:dyDescent="0.25">
      <c r="A51" s="11">
        <v>4</v>
      </c>
      <c r="B51">
        <v>16</v>
      </c>
      <c r="C51">
        <v>8</v>
      </c>
      <c r="D51">
        <v>5</v>
      </c>
      <c r="E51">
        <v>29</v>
      </c>
    </row>
    <row r="52" spans="1:5" x14ac:dyDescent="0.25">
      <c r="A52" s="11">
        <v>5</v>
      </c>
      <c r="B52">
        <v>12</v>
      </c>
      <c r="C52">
        <v>16</v>
      </c>
      <c r="D52">
        <v>13</v>
      </c>
      <c r="E52">
        <v>41</v>
      </c>
    </row>
    <row r="53" spans="1:5" x14ac:dyDescent="0.25">
      <c r="A53" s="11">
        <v>6</v>
      </c>
      <c r="B53">
        <v>11</v>
      </c>
      <c r="C53">
        <v>12</v>
      </c>
      <c r="D53">
        <v>9</v>
      </c>
      <c r="E53">
        <v>32</v>
      </c>
    </row>
    <row r="54" spans="1:5" x14ac:dyDescent="0.25">
      <c r="A54" s="11">
        <v>7</v>
      </c>
      <c r="B54">
        <v>11</v>
      </c>
      <c r="C54">
        <v>11</v>
      </c>
      <c r="D54">
        <v>16</v>
      </c>
      <c r="E54">
        <v>38</v>
      </c>
    </row>
    <row r="55" spans="1:5" x14ac:dyDescent="0.25">
      <c r="A55" s="11">
        <v>8</v>
      </c>
      <c r="B55">
        <v>11</v>
      </c>
      <c r="C55">
        <v>13</v>
      </c>
      <c r="D55">
        <v>17</v>
      </c>
      <c r="E55">
        <v>41</v>
      </c>
    </row>
    <row r="56" spans="1:5" x14ac:dyDescent="0.25">
      <c r="A56" s="11">
        <v>9</v>
      </c>
      <c r="B56">
        <v>10</v>
      </c>
      <c r="C56">
        <v>12</v>
      </c>
      <c r="D56">
        <v>15</v>
      </c>
      <c r="E56">
        <v>37</v>
      </c>
    </row>
    <row r="57" spans="1:5" x14ac:dyDescent="0.25">
      <c r="A57" s="11">
        <v>10</v>
      </c>
      <c r="B57">
        <v>13</v>
      </c>
      <c r="C57">
        <v>10</v>
      </c>
      <c r="D57">
        <v>9</v>
      </c>
      <c r="E57">
        <v>32</v>
      </c>
    </row>
    <row r="58" spans="1:5" x14ac:dyDescent="0.25">
      <c r="A58" s="11">
        <v>11</v>
      </c>
      <c r="B58">
        <v>13</v>
      </c>
      <c r="C58">
        <v>6</v>
      </c>
      <c r="D58">
        <v>8</v>
      </c>
      <c r="E58">
        <v>27</v>
      </c>
    </row>
    <row r="59" spans="1:5" x14ac:dyDescent="0.25">
      <c r="A59" s="11">
        <v>12</v>
      </c>
      <c r="B59">
        <v>8</v>
      </c>
      <c r="C59">
        <v>14</v>
      </c>
      <c r="D59">
        <v>9</v>
      </c>
      <c r="E59">
        <v>31</v>
      </c>
    </row>
    <row r="60" spans="1:5" x14ac:dyDescent="0.25">
      <c r="A60" s="11">
        <v>13</v>
      </c>
      <c r="B60">
        <v>9</v>
      </c>
      <c r="C60">
        <v>9</v>
      </c>
      <c r="D60">
        <v>10</v>
      </c>
      <c r="E60">
        <v>28</v>
      </c>
    </row>
    <row r="61" spans="1:5" x14ac:dyDescent="0.25">
      <c r="A61" s="11">
        <v>14</v>
      </c>
      <c r="B61">
        <v>9</v>
      </c>
      <c r="C61">
        <v>12</v>
      </c>
      <c r="D61">
        <v>18</v>
      </c>
      <c r="E61">
        <v>39</v>
      </c>
    </row>
    <row r="62" spans="1:5" x14ac:dyDescent="0.25">
      <c r="A62" s="11">
        <v>15</v>
      </c>
      <c r="B62">
        <v>13</v>
      </c>
      <c r="C62">
        <v>20</v>
      </c>
      <c r="D62">
        <v>11</v>
      </c>
      <c r="E62">
        <v>44</v>
      </c>
    </row>
    <row r="63" spans="1:5" x14ac:dyDescent="0.25">
      <c r="A63" s="11">
        <v>16</v>
      </c>
      <c r="B63">
        <v>6</v>
      </c>
      <c r="C63">
        <v>10</v>
      </c>
      <c r="D63">
        <v>11</v>
      </c>
      <c r="E63">
        <v>27</v>
      </c>
    </row>
    <row r="64" spans="1:5" x14ac:dyDescent="0.25">
      <c r="A64" s="11">
        <v>17</v>
      </c>
      <c r="B64">
        <v>13</v>
      </c>
      <c r="C64">
        <v>8</v>
      </c>
      <c r="D64">
        <v>9</v>
      </c>
      <c r="E64">
        <v>30</v>
      </c>
    </row>
    <row r="65" spans="1:5" x14ac:dyDescent="0.25">
      <c r="A65" s="11">
        <v>18</v>
      </c>
      <c r="B65">
        <v>9</v>
      </c>
      <c r="C65">
        <v>5</v>
      </c>
      <c r="D65">
        <v>9</v>
      </c>
      <c r="E65">
        <v>23</v>
      </c>
    </row>
    <row r="66" spans="1:5" x14ac:dyDescent="0.25">
      <c r="A66" s="11">
        <v>19</v>
      </c>
      <c r="B66">
        <v>18</v>
      </c>
      <c r="C66">
        <v>7</v>
      </c>
      <c r="D66">
        <v>16</v>
      </c>
      <c r="E66">
        <v>41</v>
      </c>
    </row>
    <row r="67" spans="1:5" x14ac:dyDescent="0.25">
      <c r="A67" s="11">
        <v>20</v>
      </c>
      <c r="B67">
        <v>13</v>
      </c>
      <c r="C67">
        <v>14</v>
      </c>
      <c r="D67">
        <v>8</v>
      </c>
      <c r="E67">
        <v>35</v>
      </c>
    </row>
    <row r="68" spans="1:5" x14ac:dyDescent="0.25">
      <c r="A68" s="11">
        <v>21</v>
      </c>
      <c r="B68">
        <v>10</v>
      </c>
      <c r="C68">
        <v>4</v>
      </c>
      <c r="D68">
        <v>6</v>
      </c>
      <c r="E68">
        <v>20</v>
      </c>
    </row>
    <row r="69" spans="1:5" x14ac:dyDescent="0.25">
      <c r="A69" s="11">
        <v>22</v>
      </c>
      <c r="B69">
        <v>12</v>
      </c>
      <c r="C69">
        <v>10</v>
      </c>
      <c r="D69">
        <v>6</v>
      </c>
      <c r="E69">
        <v>28</v>
      </c>
    </row>
    <row r="70" spans="1:5" x14ac:dyDescent="0.25">
      <c r="A70" s="11">
        <v>23</v>
      </c>
      <c r="B70">
        <v>14</v>
      </c>
      <c r="C70">
        <v>5</v>
      </c>
      <c r="D70">
        <v>17</v>
      </c>
      <c r="E70">
        <v>36</v>
      </c>
    </row>
    <row r="71" spans="1:5" x14ac:dyDescent="0.25">
      <c r="A71" s="11">
        <v>24</v>
      </c>
      <c r="B71">
        <v>9</v>
      </c>
      <c r="C71">
        <v>13</v>
      </c>
      <c r="D71">
        <v>11</v>
      </c>
      <c r="E71">
        <v>33</v>
      </c>
    </row>
    <row r="72" spans="1:5" x14ac:dyDescent="0.25">
      <c r="A72" s="11">
        <v>25</v>
      </c>
      <c r="B72">
        <v>15</v>
      </c>
      <c r="C72">
        <v>17</v>
      </c>
      <c r="D72">
        <v>10</v>
      </c>
      <c r="E72">
        <v>42</v>
      </c>
    </row>
    <row r="73" spans="1:5" x14ac:dyDescent="0.25">
      <c r="A73" s="11">
        <v>26</v>
      </c>
      <c r="B73">
        <v>11</v>
      </c>
      <c r="C73">
        <v>19</v>
      </c>
      <c r="D73">
        <v>9</v>
      </c>
      <c r="E73">
        <v>39</v>
      </c>
    </row>
    <row r="74" spans="1:5" x14ac:dyDescent="0.25">
      <c r="A74" s="11">
        <v>27</v>
      </c>
      <c r="B74">
        <v>16</v>
      </c>
      <c r="C74">
        <v>12</v>
      </c>
      <c r="D74">
        <v>10</v>
      </c>
      <c r="E74">
        <v>38</v>
      </c>
    </row>
    <row r="75" spans="1:5" x14ac:dyDescent="0.25">
      <c r="A75" s="11">
        <v>28</v>
      </c>
      <c r="B75">
        <v>10</v>
      </c>
      <c r="C75">
        <v>9</v>
      </c>
      <c r="D75">
        <v>11</v>
      </c>
      <c r="E75">
        <v>30</v>
      </c>
    </row>
    <row r="76" spans="1:5" x14ac:dyDescent="0.25">
      <c r="A76" s="11">
        <v>29</v>
      </c>
      <c r="B76">
        <v>7</v>
      </c>
      <c r="C76">
        <v>7</v>
      </c>
      <c r="D76">
        <v>6</v>
      </c>
      <c r="E76">
        <v>20</v>
      </c>
    </row>
    <row r="77" spans="1:5" x14ac:dyDescent="0.25">
      <c r="A77" s="11">
        <v>30</v>
      </c>
      <c r="B77">
        <v>5</v>
      </c>
      <c r="C77">
        <v>5</v>
      </c>
      <c r="D77">
        <v>10</v>
      </c>
      <c r="E77">
        <v>20</v>
      </c>
    </row>
    <row r="78" spans="1:5" x14ac:dyDescent="0.25">
      <c r="A78" s="11">
        <v>31</v>
      </c>
      <c r="B78">
        <v>3</v>
      </c>
      <c r="C78">
        <v>7</v>
      </c>
      <c r="D78">
        <v>4</v>
      </c>
      <c r="E78">
        <v>14</v>
      </c>
    </row>
    <row r="79" spans="1:5" x14ac:dyDescent="0.25">
      <c r="A79" s="11" t="s">
        <v>1094</v>
      </c>
      <c r="B79">
        <v>340</v>
      </c>
      <c r="C79">
        <v>332</v>
      </c>
      <c r="D79">
        <v>328</v>
      </c>
      <c r="E79">
        <v>1000</v>
      </c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5BEC-43FF-45E6-B047-66BAD3BE8ADB}">
  <dimension ref="A3:C21"/>
  <sheetViews>
    <sheetView topLeftCell="A16" workbookViewId="0">
      <selection activeCell="A18" sqref="A18"/>
    </sheetView>
  </sheetViews>
  <sheetFormatPr defaultRowHeight="15" x14ac:dyDescent="0.25"/>
  <cols>
    <col min="1" max="1" width="13.140625" bestFit="1" customWidth="1"/>
    <col min="2" max="2" width="15.42578125" bestFit="1" customWidth="1"/>
    <col min="3" max="3" width="12" bestFit="1" customWidth="1"/>
    <col min="4" max="4" width="7.5703125" bestFit="1" customWidth="1"/>
    <col min="5" max="5" width="11.28515625" bestFit="1" customWidth="1"/>
  </cols>
  <sheetData>
    <row r="3" spans="1:2" x14ac:dyDescent="0.25">
      <c r="A3" s="10" t="s">
        <v>1093</v>
      </c>
      <c r="B3" s="1" t="s">
        <v>1092</v>
      </c>
    </row>
    <row r="4" spans="1:2" x14ac:dyDescent="0.25">
      <c r="A4" s="11" t="s">
        <v>20</v>
      </c>
      <c r="B4" s="1">
        <v>501</v>
      </c>
    </row>
    <row r="5" spans="1:2" x14ac:dyDescent="0.25">
      <c r="A5" s="11" t="s">
        <v>27</v>
      </c>
      <c r="B5" s="1">
        <v>499</v>
      </c>
    </row>
    <row r="6" spans="1:2" x14ac:dyDescent="0.25">
      <c r="A6" s="11" t="s">
        <v>1094</v>
      </c>
      <c r="B6" s="1">
        <v>1000</v>
      </c>
    </row>
    <row r="18" spans="1:3" x14ac:dyDescent="0.25">
      <c r="A18" s="10" t="s">
        <v>1093</v>
      </c>
      <c r="B18" t="s">
        <v>1096</v>
      </c>
      <c r="C18" t="s">
        <v>1095</v>
      </c>
    </row>
    <row r="19" spans="1:3" x14ac:dyDescent="0.25">
      <c r="A19" s="11" t="s">
        <v>20</v>
      </c>
      <c r="B19" s="1">
        <v>2785</v>
      </c>
      <c r="C19" s="1">
        <v>164223.44400000002</v>
      </c>
    </row>
    <row r="20" spans="1:3" x14ac:dyDescent="0.25">
      <c r="A20" s="11" t="s">
        <v>27</v>
      </c>
      <c r="B20" s="1">
        <v>2725</v>
      </c>
      <c r="C20" s="1">
        <v>158743.30500000005</v>
      </c>
    </row>
    <row r="21" spans="1:3" x14ac:dyDescent="0.25">
      <c r="A21" s="11" t="s">
        <v>1094</v>
      </c>
      <c r="B21" s="1">
        <v>5510</v>
      </c>
      <c r="C21" s="1">
        <v>322966.74900000007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21AE9-46C4-4EAB-BA3A-96BE2A2AE137}">
  <dimension ref="A3:D60"/>
  <sheetViews>
    <sheetView topLeftCell="A53" workbookViewId="0">
      <selection activeCell="E72" sqref="E72"/>
    </sheetView>
  </sheetViews>
  <sheetFormatPr defaultRowHeight="15" x14ac:dyDescent="0.25"/>
  <cols>
    <col min="1" max="1" width="20.42578125" bestFit="1" customWidth="1"/>
    <col min="2" max="2" width="16.28515625" bestFit="1" customWidth="1"/>
    <col min="3" max="3" width="5.5703125" bestFit="1" customWidth="1"/>
    <col min="4" max="4" width="11.28515625" bestFit="1" customWidth="1"/>
    <col min="5" max="5" width="17.42578125" bestFit="1" customWidth="1"/>
    <col min="6" max="6" width="18" bestFit="1" customWidth="1"/>
    <col min="7" max="7" width="16" bestFit="1" customWidth="1"/>
    <col min="8" max="8" width="11.28515625" bestFit="1" customWidth="1"/>
    <col min="9" max="9" width="15.42578125" bestFit="1" customWidth="1"/>
    <col min="10" max="10" width="18" bestFit="1" customWidth="1"/>
    <col min="11" max="11" width="15.42578125" bestFit="1" customWidth="1"/>
    <col min="12" max="12" width="16" bestFit="1" customWidth="1"/>
    <col min="13" max="13" width="15.42578125" bestFit="1" customWidth="1"/>
    <col min="14" max="14" width="17" bestFit="1" customWidth="1"/>
    <col min="15" max="15" width="20.42578125" bestFit="1" customWidth="1"/>
  </cols>
  <sheetData>
    <row r="3" spans="1:2" x14ac:dyDescent="0.25">
      <c r="A3" s="10" t="s">
        <v>1093</v>
      </c>
      <c r="B3" t="s">
        <v>1095</v>
      </c>
    </row>
    <row r="4" spans="1:2" x14ac:dyDescent="0.25">
      <c r="A4" s="11" t="s">
        <v>20</v>
      </c>
      <c r="B4" s="1">
        <v>164223.44400000002</v>
      </c>
    </row>
    <row r="5" spans="1:2" x14ac:dyDescent="0.25">
      <c r="A5" s="11" t="s">
        <v>27</v>
      </c>
      <c r="B5" s="1">
        <v>158743.30500000005</v>
      </c>
    </row>
    <row r="6" spans="1:2" x14ac:dyDescent="0.25">
      <c r="A6" s="11" t="s">
        <v>1094</v>
      </c>
      <c r="B6" s="1">
        <v>322966.74900000007</v>
      </c>
    </row>
    <row r="17" spans="1:2" x14ac:dyDescent="0.25">
      <c r="A17" s="10" t="s">
        <v>1093</v>
      </c>
      <c r="B17" t="s">
        <v>1096</v>
      </c>
    </row>
    <row r="18" spans="1:2" x14ac:dyDescent="0.25">
      <c r="A18" s="11" t="s">
        <v>20</v>
      </c>
      <c r="B18">
        <v>2785</v>
      </c>
    </row>
    <row r="19" spans="1:2" x14ac:dyDescent="0.25">
      <c r="A19" s="11" t="s">
        <v>27</v>
      </c>
      <c r="B19">
        <v>2725</v>
      </c>
    </row>
    <row r="20" spans="1:2" x14ac:dyDescent="0.25">
      <c r="A20" s="11" t="s">
        <v>1094</v>
      </c>
      <c r="B20">
        <v>5510</v>
      </c>
    </row>
    <row r="29" spans="1:2" x14ac:dyDescent="0.25">
      <c r="A29" s="10" t="s">
        <v>1093</v>
      </c>
      <c r="B29" t="s">
        <v>1096</v>
      </c>
    </row>
    <row r="30" spans="1:2" x14ac:dyDescent="0.25">
      <c r="A30" s="11" t="s">
        <v>21</v>
      </c>
      <c r="B30">
        <v>2869</v>
      </c>
    </row>
    <row r="31" spans="1:2" x14ac:dyDescent="0.25">
      <c r="A31" s="11" t="s">
        <v>31</v>
      </c>
      <c r="B31">
        <v>2641</v>
      </c>
    </row>
    <row r="32" spans="1:2" x14ac:dyDescent="0.25">
      <c r="A32" s="11" t="s">
        <v>1094</v>
      </c>
      <c r="B32">
        <v>5510</v>
      </c>
    </row>
    <row r="36" spans="1:2" x14ac:dyDescent="0.25">
      <c r="A36" s="10" t="s">
        <v>1093</v>
      </c>
      <c r="B36" t="s">
        <v>1095</v>
      </c>
    </row>
    <row r="37" spans="1:2" x14ac:dyDescent="0.25">
      <c r="A37" s="11" t="s">
        <v>21</v>
      </c>
      <c r="B37" s="1">
        <v>167882.92500000002</v>
      </c>
    </row>
    <row r="38" spans="1:2" x14ac:dyDescent="0.25">
      <c r="A38" s="11" t="s">
        <v>31</v>
      </c>
      <c r="B38" s="1">
        <v>155083.82400000014</v>
      </c>
    </row>
    <row r="39" spans="1:2" x14ac:dyDescent="0.25">
      <c r="A39" s="11" t="s">
        <v>1094</v>
      </c>
      <c r="B39" s="1">
        <v>322966.74900000019</v>
      </c>
    </row>
    <row r="52" spans="1:4" x14ac:dyDescent="0.25">
      <c r="A52" s="10" t="s">
        <v>1096</v>
      </c>
      <c r="B52" s="10" t="s">
        <v>1098</v>
      </c>
    </row>
    <row r="53" spans="1:4" x14ac:dyDescent="0.25">
      <c r="A53" s="10" t="s">
        <v>1093</v>
      </c>
      <c r="B53" t="s">
        <v>21</v>
      </c>
      <c r="C53" t="s">
        <v>31</v>
      </c>
      <c r="D53" t="s">
        <v>1094</v>
      </c>
    </row>
    <row r="54" spans="1:4" x14ac:dyDescent="0.25">
      <c r="A54" s="11" t="s">
        <v>28</v>
      </c>
      <c r="B54">
        <v>488</v>
      </c>
      <c r="C54">
        <v>483</v>
      </c>
      <c r="D54">
        <v>971</v>
      </c>
    </row>
    <row r="55" spans="1:4" x14ac:dyDescent="0.25">
      <c r="A55" s="11" t="s">
        <v>51</v>
      </c>
      <c r="B55">
        <v>530</v>
      </c>
      <c r="C55">
        <v>372</v>
      </c>
      <c r="D55">
        <v>902</v>
      </c>
    </row>
    <row r="56" spans="1:4" x14ac:dyDescent="0.25">
      <c r="A56" s="11" t="s">
        <v>48</v>
      </c>
      <c r="B56">
        <v>514</v>
      </c>
      <c r="C56">
        <v>438</v>
      </c>
      <c r="D56">
        <v>952</v>
      </c>
    </row>
    <row r="57" spans="1:4" x14ac:dyDescent="0.25">
      <c r="A57" s="11" t="s">
        <v>22</v>
      </c>
      <c r="B57">
        <v>343</v>
      </c>
      <c r="C57">
        <v>511</v>
      </c>
      <c r="D57">
        <v>854</v>
      </c>
    </row>
    <row r="58" spans="1:4" x14ac:dyDescent="0.25">
      <c r="A58" s="11" t="s">
        <v>32</v>
      </c>
      <c r="B58">
        <v>498</v>
      </c>
      <c r="C58">
        <v>413</v>
      </c>
      <c r="D58">
        <v>911</v>
      </c>
    </row>
    <row r="59" spans="1:4" x14ac:dyDescent="0.25">
      <c r="A59" s="11" t="s">
        <v>37</v>
      </c>
      <c r="B59">
        <v>496</v>
      </c>
      <c r="C59">
        <v>424</v>
      </c>
      <c r="D59">
        <v>920</v>
      </c>
    </row>
    <row r="60" spans="1:4" x14ac:dyDescent="0.25">
      <c r="A60" s="11" t="s">
        <v>1094</v>
      </c>
      <c r="B60">
        <v>2869</v>
      </c>
      <c r="C60">
        <v>2641</v>
      </c>
      <c r="D60">
        <v>5510</v>
      </c>
    </row>
  </sheetData>
  <pageMargins left="0.7" right="0.7" top="0.75" bottom="0.75" header="0.3" footer="0.3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43BA-D85D-4CDB-8FBB-30B1DE98D66D}">
  <dimension ref="A3:G52"/>
  <sheetViews>
    <sheetView topLeftCell="A7" workbookViewId="0">
      <selection activeCell="A55" sqref="A55"/>
    </sheetView>
  </sheetViews>
  <sheetFormatPr defaultRowHeight="15" x14ac:dyDescent="0.25"/>
  <cols>
    <col min="1" max="1" width="13.140625" bestFit="1" customWidth="1"/>
    <col min="2" max="2" width="19.42578125" bestFit="1" customWidth="1"/>
    <col min="3" max="4" width="29.85546875" bestFit="1" customWidth="1"/>
    <col min="5" max="6" width="19.42578125" bestFit="1" customWidth="1"/>
    <col min="7" max="7" width="23" bestFit="1" customWidth="1"/>
    <col min="8" max="8" width="24.42578125" bestFit="1" customWidth="1"/>
  </cols>
  <sheetData>
    <row r="3" spans="1:5" x14ac:dyDescent="0.25">
      <c r="A3" s="10" t="s">
        <v>1092</v>
      </c>
      <c r="B3" s="10" t="s">
        <v>1098</v>
      </c>
    </row>
    <row r="4" spans="1:5" x14ac:dyDescent="0.25">
      <c r="A4" s="10" t="s">
        <v>1093</v>
      </c>
      <c r="B4" t="s">
        <v>18</v>
      </c>
      <c r="C4" t="s">
        <v>46</v>
      </c>
      <c r="D4" t="s">
        <v>25</v>
      </c>
      <c r="E4" t="s">
        <v>1094</v>
      </c>
    </row>
    <row r="5" spans="1:5" x14ac:dyDescent="0.25">
      <c r="A5" s="11" t="s">
        <v>29</v>
      </c>
      <c r="B5">
        <v>110</v>
      </c>
      <c r="C5">
        <v>110</v>
      </c>
      <c r="D5">
        <v>124</v>
      </c>
      <c r="E5">
        <v>344</v>
      </c>
    </row>
    <row r="6" spans="1:5" x14ac:dyDescent="0.25">
      <c r="A6" s="11" t="s">
        <v>33</v>
      </c>
      <c r="B6">
        <v>104</v>
      </c>
      <c r="C6">
        <v>109</v>
      </c>
      <c r="D6">
        <v>98</v>
      </c>
      <c r="E6">
        <v>311</v>
      </c>
    </row>
    <row r="7" spans="1:5" x14ac:dyDescent="0.25">
      <c r="A7" s="11" t="s">
        <v>23</v>
      </c>
      <c r="B7">
        <v>126</v>
      </c>
      <c r="C7">
        <v>113</v>
      </c>
      <c r="D7">
        <v>106</v>
      </c>
      <c r="E7">
        <v>345</v>
      </c>
    </row>
    <row r="8" spans="1:5" x14ac:dyDescent="0.25">
      <c r="A8" s="11" t="s">
        <v>1094</v>
      </c>
      <c r="B8">
        <v>340</v>
      </c>
      <c r="C8">
        <v>332</v>
      </c>
      <c r="D8">
        <v>328</v>
      </c>
      <c r="E8">
        <v>1000</v>
      </c>
    </row>
    <row r="22" spans="1:3" x14ac:dyDescent="0.25">
      <c r="A22" s="10" t="s">
        <v>1093</v>
      </c>
      <c r="B22" t="s">
        <v>1100</v>
      </c>
      <c r="C22" t="s">
        <v>1097</v>
      </c>
    </row>
    <row r="23" spans="1:3" x14ac:dyDescent="0.25">
      <c r="A23" s="11" t="s">
        <v>18</v>
      </c>
      <c r="B23" s="1">
        <v>5057.1605000000018</v>
      </c>
      <c r="C23" s="1">
        <v>7.0270588235294129</v>
      </c>
    </row>
    <row r="24" spans="1:3" x14ac:dyDescent="0.25">
      <c r="A24" s="11" t="s">
        <v>46</v>
      </c>
      <c r="B24" s="1">
        <v>5057.0320000000029</v>
      </c>
      <c r="C24" s="1">
        <v>6.8180722891566266</v>
      </c>
    </row>
    <row r="25" spans="1:3" x14ac:dyDescent="0.25">
      <c r="A25" s="11" t="s">
        <v>25</v>
      </c>
      <c r="B25" s="1">
        <v>5265.1765000000023</v>
      </c>
      <c r="C25" s="1">
        <v>7.0728658536585378</v>
      </c>
    </row>
    <row r="26" spans="1:3" x14ac:dyDescent="0.25">
      <c r="A26" s="11" t="s">
        <v>1094</v>
      </c>
      <c r="B26" s="1">
        <v>15379.369000000006</v>
      </c>
      <c r="C26" s="1">
        <v>6.9726999999999997</v>
      </c>
    </row>
    <row r="37" spans="1:3" x14ac:dyDescent="0.25">
      <c r="A37" s="10" t="s">
        <v>1093</v>
      </c>
      <c r="B37" t="s">
        <v>1100</v>
      </c>
      <c r="C37" t="s">
        <v>1101</v>
      </c>
    </row>
    <row r="38" spans="1:3" x14ac:dyDescent="0.25">
      <c r="A38" s="11" t="s">
        <v>18</v>
      </c>
      <c r="B38" s="1">
        <v>5057.1605000000018</v>
      </c>
      <c r="C38" s="1">
        <v>1619.0476190800061</v>
      </c>
    </row>
    <row r="39" spans="1:3" x14ac:dyDescent="0.25">
      <c r="A39" s="11" t="s">
        <v>46</v>
      </c>
      <c r="B39" s="1">
        <v>5057.0320000000029</v>
      </c>
      <c r="C39" s="1">
        <v>1580.9523809840055</v>
      </c>
    </row>
    <row r="40" spans="1:3" x14ac:dyDescent="0.25">
      <c r="A40" s="11" t="s">
        <v>25</v>
      </c>
      <c r="B40" s="1">
        <v>5265.1765000000023</v>
      </c>
      <c r="C40" s="1">
        <v>1561.9047619360051</v>
      </c>
    </row>
    <row r="41" spans="1:3" x14ac:dyDescent="0.25">
      <c r="A41" s="11" t="s">
        <v>1094</v>
      </c>
      <c r="B41" s="1">
        <v>15379.369000000006</v>
      </c>
      <c r="C41" s="1">
        <v>4761.9047620000165</v>
      </c>
    </row>
    <row r="52" spans="3:7" ht="120" customHeight="1" x14ac:dyDescent="0.25">
      <c r="C52" s="17" t="s">
        <v>1102</v>
      </c>
      <c r="D52" s="17"/>
      <c r="E52" s="17"/>
      <c r="F52" s="17"/>
      <c r="G52" s="17"/>
    </row>
  </sheetData>
  <mergeCells count="1">
    <mergeCell ref="C52:G52"/>
  </mergeCells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D1F52-768E-479F-9576-0F21FAF80459}">
  <dimension ref="A3:B10"/>
  <sheetViews>
    <sheetView workbookViewId="0">
      <selection activeCell="M17" sqref="M17"/>
    </sheetView>
  </sheetViews>
  <sheetFormatPr defaultRowHeight="15" x14ac:dyDescent="0.25"/>
  <cols>
    <col min="1" max="1" width="20.42578125" bestFit="1" customWidth="1"/>
    <col min="2" max="2" width="19.42578125" bestFit="1" customWidth="1"/>
  </cols>
  <sheetData>
    <row r="3" spans="1:2" x14ac:dyDescent="0.25">
      <c r="A3" s="10" t="s">
        <v>1093</v>
      </c>
      <c r="B3" t="s">
        <v>1100</v>
      </c>
    </row>
    <row r="4" spans="1:2" x14ac:dyDescent="0.25">
      <c r="A4" s="11" t="s">
        <v>22</v>
      </c>
      <c r="B4" s="1">
        <v>2342.5589999999993</v>
      </c>
    </row>
    <row r="5" spans="1:2" x14ac:dyDescent="0.25">
      <c r="A5" s="11" t="s">
        <v>32</v>
      </c>
      <c r="B5" s="1">
        <v>2564.8530000000019</v>
      </c>
    </row>
    <row r="6" spans="1:2" x14ac:dyDescent="0.25">
      <c r="A6" s="11" t="s">
        <v>51</v>
      </c>
      <c r="B6" s="1">
        <v>2585.9949999999999</v>
      </c>
    </row>
    <row r="7" spans="1:2" x14ac:dyDescent="0.25">
      <c r="A7" s="11" t="s">
        <v>28</v>
      </c>
      <c r="B7" s="1">
        <v>2587.5015000000017</v>
      </c>
    </row>
    <row r="8" spans="1:2" x14ac:dyDescent="0.25">
      <c r="A8" s="11" t="s">
        <v>37</v>
      </c>
      <c r="B8" s="1">
        <v>2624.8964999999994</v>
      </c>
    </row>
    <row r="9" spans="1:2" x14ac:dyDescent="0.25">
      <c r="A9" s="11" t="s">
        <v>48</v>
      </c>
      <c r="B9" s="1">
        <v>2673.5639999999994</v>
      </c>
    </row>
    <row r="10" spans="1:2" x14ac:dyDescent="0.25">
      <c r="A10" s="11" t="s">
        <v>1094</v>
      </c>
      <c r="B10" s="1">
        <v>15379.369000000002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F568D-5DEC-45BE-B8BF-E0AF5020F269}">
  <dimension ref="A3:H30"/>
  <sheetViews>
    <sheetView workbookViewId="0">
      <selection activeCell="C15" sqref="C15"/>
    </sheetView>
  </sheetViews>
  <sheetFormatPr defaultRowHeight="15" x14ac:dyDescent="0.25"/>
  <cols>
    <col min="1" max="1" width="20.42578125" bestFit="1" customWidth="1"/>
    <col min="2" max="2" width="16.7109375" bestFit="1" customWidth="1"/>
    <col min="3" max="3" width="19.42578125" bestFit="1" customWidth="1"/>
  </cols>
  <sheetData>
    <row r="3" spans="1:3" x14ac:dyDescent="0.25">
      <c r="A3" s="10" t="s">
        <v>1093</v>
      </c>
      <c r="B3" s="1" t="s">
        <v>1097</v>
      </c>
      <c r="C3" t="s">
        <v>1100</v>
      </c>
    </row>
    <row r="4" spans="1:3" x14ac:dyDescent="0.25">
      <c r="A4" s="11" t="s">
        <v>22</v>
      </c>
      <c r="B4" s="1">
        <v>7.0032894736842124</v>
      </c>
      <c r="C4" s="1">
        <v>2342.5589999999993</v>
      </c>
    </row>
    <row r="5" spans="1:3" x14ac:dyDescent="0.25">
      <c r="A5" s="11" t="s">
        <v>32</v>
      </c>
      <c r="B5" s="1">
        <v>6.8375000000000004</v>
      </c>
      <c r="C5" s="1">
        <v>2564.8530000000019</v>
      </c>
    </row>
    <row r="6" spans="1:3" x14ac:dyDescent="0.25">
      <c r="A6" s="11" t="s">
        <v>51</v>
      </c>
      <c r="B6" s="1">
        <v>7.0292134831460666</v>
      </c>
      <c r="C6" s="1">
        <v>2585.9949999999999</v>
      </c>
    </row>
    <row r="7" spans="1:3" x14ac:dyDescent="0.25">
      <c r="A7" s="11" t="s">
        <v>28</v>
      </c>
      <c r="B7" s="1">
        <v>6.9247058823529404</v>
      </c>
      <c r="C7" s="1">
        <v>2587.5015000000017</v>
      </c>
    </row>
    <row r="8" spans="1:3" x14ac:dyDescent="0.25">
      <c r="A8" s="11" t="s">
        <v>37</v>
      </c>
      <c r="B8" s="1">
        <v>6.9162650602409643</v>
      </c>
      <c r="C8" s="1">
        <v>2624.8964999999994</v>
      </c>
    </row>
    <row r="9" spans="1:3" x14ac:dyDescent="0.25">
      <c r="A9" s="11" t="s">
        <v>48</v>
      </c>
      <c r="B9" s="1">
        <v>7.1132183908045983</v>
      </c>
      <c r="C9" s="1">
        <v>2673.5639999999994</v>
      </c>
    </row>
    <row r="10" spans="1:3" x14ac:dyDescent="0.25">
      <c r="A10" s="11" t="s">
        <v>1094</v>
      </c>
      <c r="B10" s="1">
        <v>6.972699999999997</v>
      </c>
      <c r="C10" s="1">
        <v>15379.368999999997</v>
      </c>
    </row>
    <row r="22" spans="1:8" x14ac:dyDescent="0.25">
      <c r="A22" s="14" t="s">
        <v>1093</v>
      </c>
      <c r="B22" s="14" t="s">
        <v>28</v>
      </c>
      <c r="C22" s="14" t="s">
        <v>51</v>
      </c>
      <c r="D22" s="14" t="s">
        <v>48</v>
      </c>
      <c r="E22" s="14" t="s">
        <v>22</v>
      </c>
      <c r="F22" s="14" t="s">
        <v>32</v>
      </c>
      <c r="G22" s="14" t="s">
        <v>37</v>
      </c>
      <c r="H22" s="14" t="s">
        <v>1094</v>
      </c>
    </row>
    <row r="23" spans="1:8" x14ac:dyDescent="0.25">
      <c r="A23" s="11" t="s">
        <v>1104</v>
      </c>
      <c r="B23" s="1">
        <v>305.32750000000004</v>
      </c>
      <c r="C23" s="1">
        <v>268.7885</v>
      </c>
      <c r="D23" s="1">
        <v>377.91250000000002</v>
      </c>
      <c r="E23" s="1">
        <v>236.82550000000001</v>
      </c>
      <c r="F23" s="1">
        <v>574.87099999999987</v>
      </c>
      <c r="G23" s="1">
        <v>364.4394999999999</v>
      </c>
      <c r="H23" s="1">
        <v>2128.1644999999999</v>
      </c>
    </row>
    <row r="24" spans="1:8" x14ac:dyDescent="0.25">
      <c r="A24" s="11" t="s">
        <v>1105</v>
      </c>
      <c r="B24" s="1">
        <v>282.00600000000003</v>
      </c>
      <c r="C24" s="1">
        <v>305.69150000000002</v>
      </c>
      <c r="D24" s="1">
        <v>314.86800000000005</v>
      </c>
      <c r="E24" s="1">
        <v>402.29699999999997</v>
      </c>
      <c r="F24" s="1">
        <v>290.25450000000006</v>
      </c>
      <c r="G24" s="1">
        <v>209.601</v>
      </c>
      <c r="H24" s="1">
        <v>1804.7179999999998</v>
      </c>
    </row>
    <row r="25" spans="1:8" x14ac:dyDescent="0.25">
      <c r="A25" s="11" t="s">
        <v>1106</v>
      </c>
      <c r="B25" s="1">
        <v>481.47250000000003</v>
      </c>
      <c r="C25" s="1">
        <v>353.48950000000002</v>
      </c>
      <c r="D25" s="1">
        <v>468.96649999999994</v>
      </c>
      <c r="E25" s="1">
        <v>407.59949999999998</v>
      </c>
      <c r="F25" s="1">
        <v>367.08249999999992</v>
      </c>
      <c r="G25" s="1">
        <v>372.92500000000007</v>
      </c>
      <c r="H25" s="1">
        <v>2451.5355</v>
      </c>
    </row>
    <row r="26" spans="1:8" x14ac:dyDescent="0.25">
      <c r="A26" s="11" t="s">
        <v>1107</v>
      </c>
      <c r="B26" s="1">
        <v>231.66249999999999</v>
      </c>
      <c r="C26" s="1">
        <v>321.85549999999995</v>
      </c>
      <c r="D26" s="1">
        <v>524.55899999999997</v>
      </c>
      <c r="E26" s="1">
        <v>280.41649999999998</v>
      </c>
      <c r="F26" s="1">
        <v>308.32449999999994</v>
      </c>
      <c r="G26" s="1">
        <v>404.495</v>
      </c>
      <c r="H26" s="1">
        <v>2071.3129999999996</v>
      </c>
    </row>
    <row r="27" spans="1:8" x14ac:dyDescent="0.25">
      <c r="A27" s="11" t="s">
        <v>1108</v>
      </c>
      <c r="B27" s="1">
        <v>592.15050000000008</v>
      </c>
      <c r="C27" s="1">
        <v>367.89950000000005</v>
      </c>
      <c r="D27" s="1">
        <v>323.74250000000006</v>
      </c>
      <c r="E27" s="1">
        <v>265.83199999999999</v>
      </c>
      <c r="F27" s="1">
        <v>258.44299999999998</v>
      </c>
      <c r="G27" s="1">
        <v>351.4205</v>
      </c>
      <c r="H27" s="1">
        <v>2159.4880000000003</v>
      </c>
    </row>
    <row r="28" spans="1:8" x14ac:dyDescent="0.25">
      <c r="A28" s="11" t="s">
        <v>1109</v>
      </c>
      <c r="B28" s="1">
        <v>230.86450000000002</v>
      </c>
      <c r="C28" s="1">
        <v>454.98850000000016</v>
      </c>
      <c r="D28" s="1">
        <v>217.06799999999998</v>
      </c>
      <c r="E28" s="1">
        <v>396.71499999999997</v>
      </c>
      <c r="F28" s="1">
        <v>327.40100000000001</v>
      </c>
      <c r="G28" s="1">
        <v>464.69350000000009</v>
      </c>
      <c r="H28" s="1">
        <v>2091.7305000000006</v>
      </c>
    </row>
    <row r="29" spans="1:8" x14ac:dyDescent="0.25">
      <c r="A29" s="11" t="s">
        <v>1110</v>
      </c>
      <c r="B29" s="1">
        <v>464.01800000000009</v>
      </c>
      <c r="C29" s="1">
        <v>513.28200000000004</v>
      </c>
      <c r="D29" s="1">
        <v>446.44749999999993</v>
      </c>
      <c r="E29" s="1">
        <v>352.87349999999992</v>
      </c>
      <c r="F29" s="1">
        <v>438.47650000000004</v>
      </c>
      <c r="G29" s="1">
        <v>457.32200000000006</v>
      </c>
      <c r="H29" s="1">
        <v>2672.4195000000004</v>
      </c>
    </row>
    <row r="30" spans="1:8" x14ac:dyDescent="0.25">
      <c r="A30" s="15" t="s">
        <v>1094</v>
      </c>
      <c r="B30" s="16">
        <v>2587.5015000000003</v>
      </c>
      <c r="C30" s="16">
        <v>2585.9950000000003</v>
      </c>
      <c r="D30" s="16">
        <v>2673.5639999999999</v>
      </c>
      <c r="E30" s="16">
        <v>2342.5589999999997</v>
      </c>
      <c r="F30" s="16">
        <v>2564.8530000000001</v>
      </c>
      <c r="G30" s="16">
        <v>2624.8964999999998</v>
      </c>
      <c r="H30" s="16">
        <v>15379.369000000002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E77D-B54A-48BD-9A21-62BF3AA85A5D}">
  <dimension ref="A3:D64"/>
  <sheetViews>
    <sheetView topLeftCell="A73" zoomScale="120" zoomScaleNormal="120" workbookViewId="0">
      <selection activeCell="J55" sqref="J55"/>
    </sheetView>
  </sheetViews>
  <sheetFormatPr defaultRowHeight="15" x14ac:dyDescent="0.25"/>
  <cols>
    <col min="1" max="1" width="13.140625" bestFit="1" customWidth="1"/>
    <col min="2" max="2" width="18.5703125" bestFit="1" customWidth="1"/>
    <col min="3" max="3" width="16" bestFit="1" customWidth="1"/>
    <col min="4" max="4" width="20" bestFit="1" customWidth="1"/>
  </cols>
  <sheetData>
    <row r="3" spans="1:2" x14ac:dyDescent="0.25">
      <c r="A3" s="10" t="s">
        <v>1093</v>
      </c>
      <c r="B3" t="s">
        <v>1092</v>
      </c>
    </row>
    <row r="4" spans="1:2" x14ac:dyDescent="0.25">
      <c r="A4" s="11" t="s">
        <v>1105</v>
      </c>
      <c r="B4">
        <v>125</v>
      </c>
    </row>
    <row r="5" spans="1:2" x14ac:dyDescent="0.25">
      <c r="A5" s="11" t="s">
        <v>1104</v>
      </c>
      <c r="B5">
        <v>135</v>
      </c>
    </row>
    <row r="6" spans="1:2" x14ac:dyDescent="0.25">
      <c r="A6" s="11" t="s">
        <v>1108</v>
      </c>
      <c r="B6">
        <v>138</v>
      </c>
    </row>
    <row r="7" spans="1:2" x14ac:dyDescent="0.25">
      <c r="A7" s="11" t="s">
        <v>1109</v>
      </c>
      <c r="B7">
        <v>139</v>
      </c>
    </row>
    <row r="8" spans="1:2" x14ac:dyDescent="0.25">
      <c r="A8" s="11" t="s">
        <v>1107</v>
      </c>
      <c r="B8">
        <v>141</v>
      </c>
    </row>
    <row r="9" spans="1:2" x14ac:dyDescent="0.25">
      <c r="A9" s="11" t="s">
        <v>1106</v>
      </c>
      <c r="B9">
        <v>158</v>
      </c>
    </row>
    <row r="10" spans="1:2" x14ac:dyDescent="0.25">
      <c r="A10" s="11" t="s">
        <v>1110</v>
      </c>
      <c r="B10">
        <v>164</v>
      </c>
    </row>
    <row r="11" spans="1:2" x14ac:dyDescent="0.25">
      <c r="A11" s="11" t="s">
        <v>1094</v>
      </c>
      <c r="B11">
        <v>1000</v>
      </c>
    </row>
    <row r="20" spans="1:2" x14ac:dyDescent="0.25">
      <c r="A20" t="s">
        <v>1111</v>
      </c>
    </row>
    <row r="22" spans="1:2" x14ac:dyDescent="0.25">
      <c r="A22" s="10" t="s">
        <v>1093</v>
      </c>
      <c r="B22" t="s">
        <v>1092</v>
      </c>
    </row>
    <row r="23" spans="1:2" x14ac:dyDescent="0.25">
      <c r="A23" s="11">
        <v>10</v>
      </c>
      <c r="B23">
        <v>101</v>
      </c>
    </row>
    <row r="24" spans="1:2" x14ac:dyDescent="0.25">
      <c r="A24" s="11">
        <v>11</v>
      </c>
      <c r="B24">
        <v>90</v>
      </c>
    </row>
    <row r="25" spans="1:2" x14ac:dyDescent="0.25">
      <c r="A25" s="11">
        <v>12</v>
      </c>
      <c r="B25">
        <v>89</v>
      </c>
    </row>
    <row r="26" spans="1:2" x14ac:dyDescent="0.25">
      <c r="A26" s="11">
        <v>13</v>
      </c>
      <c r="B26">
        <v>103</v>
      </c>
    </row>
    <row r="27" spans="1:2" x14ac:dyDescent="0.25">
      <c r="A27" s="11">
        <v>14</v>
      </c>
      <c r="B27">
        <v>83</v>
      </c>
    </row>
    <row r="28" spans="1:2" x14ac:dyDescent="0.25">
      <c r="A28" s="11">
        <v>15</v>
      </c>
      <c r="B28">
        <v>102</v>
      </c>
    </row>
    <row r="29" spans="1:2" x14ac:dyDescent="0.25">
      <c r="A29" s="11">
        <v>16</v>
      </c>
      <c r="B29">
        <v>77</v>
      </c>
    </row>
    <row r="30" spans="1:2" x14ac:dyDescent="0.25">
      <c r="A30" s="11">
        <v>17</v>
      </c>
      <c r="B30">
        <v>74</v>
      </c>
    </row>
    <row r="31" spans="1:2" x14ac:dyDescent="0.25">
      <c r="A31" s="11">
        <v>18</v>
      </c>
      <c r="B31">
        <v>93</v>
      </c>
    </row>
    <row r="32" spans="1:2" x14ac:dyDescent="0.25">
      <c r="A32" s="11">
        <v>19</v>
      </c>
      <c r="B32">
        <v>113</v>
      </c>
    </row>
    <row r="33" spans="1:2" x14ac:dyDescent="0.25">
      <c r="A33" s="11">
        <v>20</v>
      </c>
      <c r="B33">
        <v>75</v>
      </c>
    </row>
    <row r="34" spans="1:2" x14ac:dyDescent="0.25">
      <c r="A34" s="11" t="s">
        <v>1094</v>
      </c>
      <c r="B34">
        <v>1000</v>
      </c>
    </row>
    <row r="39" spans="1:2" x14ac:dyDescent="0.25">
      <c r="A39" s="10" t="s">
        <v>1093</v>
      </c>
      <c r="B39" s="1" t="s">
        <v>1097</v>
      </c>
    </row>
    <row r="40" spans="1:2" x14ac:dyDescent="0.25">
      <c r="A40" s="11" t="s">
        <v>1107</v>
      </c>
      <c r="B40" s="1">
        <v>6.8283687943262406</v>
      </c>
    </row>
    <row r="41" spans="1:2" x14ac:dyDescent="0.25">
      <c r="A41" s="11" t="s">
        <v>1108</v>
      </c>
      <c r="B41" s="1">
        <v>6.8898550724637699</v>
      </c>
    </row>
    <row r="42" spans="1:2" x14ac:dyDescent="0.25">
      <c r="A42" s="11" t="s">
        <v>1110</v>
      </c>
      <c r="B42" s="1">
        <v>6.9018292682926878</v>
      </c>
    </row>
    <row r="43" spans="1:2" x14ac:dyDescent="0.25">
      <c r="A43" s="11" t="s">
        <v>1104</v>
      </c>
      <c r="B43" s="1">
        <v>6.9844444444444447</v>
      </c>
    </row>
    <row r="44" spans="1:2" x14ac:dyDescent="0.25">
      <c r="A44" s="11" t="s">
        <v>1106</v>
      </c>
      <c r="B44" s="1">
        <v>7.0031645569620249</v>
      </c>
    </row>
    <row r="45" spans="1:2" x14ac:dyDescent="0.25">
      <c r="A45" s="11" t="s">
        <v>1109</v>
      </c>
      <c r="B45" s="1">
        <v>7.076258992805756</v>
      </c>
    </row>
    <row r="46" spans="1:2" x14ac:dyDescent="0.25">
      <c r="A46" s="11" t="s">
        <v>1105</v>
      </c>
      <c r="B46" s="1">
        <v>7.1535999999999991</v>
      </c>
    </row>
    <row r="47" spans="1:2" x14ac:dyDescent="0.25">
      <c r="A47" s="11" t="s">
        <v>1094</v>
      </c>
      <c r="B47" s="1">
        <v>6.972699999999997</v>
      </c>
    </row>
    <row r="56" spans="1:4" x14ac:dyDescent="0.25">
      <c r="A56" s="10" t="s">
        <v>1093</v>
      </c>
      <c r="B56" t="s">
        <v>1095</v>
      </c>
      <c r="C56" t="s">
        <v>1096</v>
      </c>
      <c r="D56" t="s">
        <v>1100</v>
      </c>
    </row>
    <row r="57" spans="1:4" x14ac:dyDescent="0.25">
      <c r="A57" s="11" t="s">
        <v>1105</v>
      </c>
      <c r="B57" s="1">
        <v>37899.077999999987</v>
      </c>
      <c r="C57" s="1">
        <v>638</v>
      </c>
      <c r="D57" s="1">
        <v>1804.7179999999994</v>
      </c>
    </row>
    <row r="58" spans="1:4" x14ac:dyDescent="0.25">
      <c r="A58" s="11" t="s">
        <v>1107</v>
      </c>
      <c r="B58" s="1">
        <v>43497.573000000011</v>
      </c>
      <c r="C58" s="1">
        <v>793</v>
      </c>
      <c r="D58" s="1">
        <v>2071.3130000000001</v>
      </c>
    </row>
    <row r="59" spans="1:4" x14ac:dyDescent="0.25">
      <c r="A59" s="11" t="s">
        <v>1109</v>
      </c>
      <c r="B59" s="1">
        <v>43926.34050000002</v>
      </c>
      <c r="C59" s="1">
        <v>758</v>
      </c>
      <c r="D59" s="1">
        <v>2091.7304999999988</v>
      </c>
    </row>
    <row r="60" spans="1:4" x14ac:dyDescent="0.25">
      <c r="A60" s="11" t="s">
        <v>1104</v>
      </c>
      <c r="B60" s="1">
        <v>44691.454499999993</v>
      </c>
      <c r="C60" s="1">
        <v>785</v>
      </c>
      <c r="D60" s="1">
        <v>2128.164499999999</v>
      </c>
    </row>
    <row r="61" spans="1:4" x14ac:dyDescent="0.25">
      <c r="A61" s="11" t="s">
        <v>1108</v>
      </c>
      <c r="B61" s="1">
        <v>45349.248000000014</v>
      </c>
      <c r="C61" s="1">
        <v>755</v>
      </c>
      <c r="D61" s="1">
        <v>2159.4880000000007</v>
      </c>
    </row>
    <row r="62" spans="1:4" x14ac:dyDescent="0.25">
      <c r="A62" s="11" t="s">
        <v>1106</v>
      </c>
      <c r="B62" s="1">
        <v>51482.245500000012</v>
      </c>
      <c r="C62" s="1">
        <v>862</v>
      </c>
      <c r="D62" s="1">
        <v>2451.5354999999995</v>
      </c>
    </row>
    <row r="63" spans="1:4" x14ac:dyDescent="0.25">
      <c r="A63" s="11" t="s">
        <v>1110</v>
      </c>
      <c r="B63" s="1">
        <v>56120.809499999988</v>
      </c>
      <c r="C63" s="1">
        <v>919</v>
      </c>
      <c r="D63" s="1">
        <v>2672.4195000000018</v>
      </c>
    </row>
    <row r="64" spans="1:4" x14ac:dyDescent="0.25">
      <c r="A64" s="11" t="s">
        <v>1094</v>
      </c>
      <c r="B64" s="1">
        <v>322966.74900000001</v>
      </c>
      <c r="C64" s="1">
        <v>5510</v>
      </c>
      <c r="D64" s="1">
        <v>15379.369000000001</v>
      </c>
    </row>
  </sheetData>
  <pageMargins left="0.7" right="0.7" top="0.75" bottom="0.75" header="0.3" footer="0.3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2C99-AFB4-4771-8E61-0863E1E5ACEC}">
  <dimension ref="A3:H30"/>
  <sheetViews>
    <sheetView workbookViewId="0">
      <selection activeCell="E62" sqref="E62"/>
    </sheetView>
  </sheetViews>
  <sheetFormatPr defaultRowHeight="15" x14ac:dyDescent="0.25"/>
  <cols>
    <col min="1" max="1" width="19.42578125" bestFit="1" customWidth="1"/>
    <col min="2" max="2" width="20.42578125" bestFit="1" customWidth="1"/>
    <col min="3" max="3" width="18.5703125" bestFit="1" customWidth="1"/>
    <col min="4" max="4" width="19" bestFit="1" customWidth="1"/>
    <col min="5" max="5" width="17.42578125" bestFit="1" customWidth="1"/>
    <col min="6" max="6" width="18" bestFit="1" customWidth="1"/>
    <col min="7" max="7" width="16" bestFit="1" customWidth="1"/>
    <col min="8" max="8" width="11.28515625" bestFit="1" customWidth="1"/>
    <col min="9" max="9" width="20.42578125" bestFit="1" customWidth="1"/>
    <col min="10" max="10" width="18.5703125" bestFit="1" customWidth="1"/>
    <col min="11" max="11" width="19" bestFit="1" customWidth="1"/>
    <col min="12" max="12" width="17.42578125" bestFit="1" customWidth="1"/>
    <col min="13" max="13" width="18" bestFit="1" customWidth="1"/>
    <col min="14" max="14" width="16" bestFit="1" customWidth="1"/>
    <col min="15" max="15" width="16.5703125" bestFit="1" customWidth="1"/>
    <col min="16" max="16" width="20.42578125" bestFit="1" customWidth="1"/>
    <col min="17" max="17" width="18.5703125" bestFit="1" customWidth="1"/>
    <col min="18" max="18" width="19" bestFit="1" customWidth="1"/>
    <col min="19" max="19" width="17.42578125" bestFit="1" customWidth="1"/>
    <col min="20" max="20" width="18" bestFit="1" customWidth="1"/>
    <col min="21" max="21" width="16" bestFit="1" customWidth="1"/>
    <col min="22" max="22" width="11.28515625" bestFit="1" customWidth="1"/>
    <col min="23" max="23" width="20.42578125" bestFit="1" customWidth="1"/>
    <col min="24" max="24" width="18.5703125" bestFit="1" customWidth="1"/>
    <col min="25" max="25" width="19" bestFit="1" customWidth="1"/>
    <col min="26" max="26" width="17.42578125" bestFit="1" customWidth="1"/>
    <col min="27" max="27" width="18" bestFit="1" customWidth="1"/>
    <col min="28" max="28" width="16" bestFit="1" customWidth="1"/>
    <col min="29" max="29" width="12.28515625" bestFit="1" customWidth="1"/>
    <col min="30" max="30" width="20.42578125" bestFit="1" customWidth="1"/>
    <col min="31" max="31" width="18.5703125" bestFit="1" customWidth="1"/>
    <col min="32" max="32" width="19" bestFit="1" customWidth="1"/>
    <col min="33" max="33" width="17.42578125" bestFit="1" customWidth="1"/>
    <col min="34" max="34" width="18" bestFit="1" customWidth="1"/>
    <col min="35" max="35" width="16" bestFit="1" customWidth="1"/>
    <col min="36" max="36" width="14" bestFit="1" customWidth="1"/>
    <col min="37" max="37" width="20.42578125" bestFit="1" customWidth="1"/>
    <col min="38" max="38" width="18.5703125" bestFit="1" customWidth="1"/>
    <col min="39" max="39" width="19" bestFit="1" customWidth="1"/>
    <col min="40" max="40" width="17.42578125" bestFit="1" customWidth="1"/>
    <col min="41" max="41" width="18" bestFit="1" customWidth="1"/>
    <col min="42" max="42" width="16" bestFit="1" customWidth="1"/>
    <col min="43" max="43" width="13.28515625" bestFit="1" customWidth="1"/>
    <col min="44" max="44" width="20.42578125" bestFit="1" customWidth="1"/>
    <col min="45" max="45" width="18.5703125" bestFit="1" customWidth="1"/>
    <col min="46" max="46" width="19" bestFit="1" customWidth="1"/>
    <col min="47" max="47" width="17.42578125" bestFit="1" customWidth="1"/>
    <col min="48" max="48" width="18" bestFit="1" customWidth="1"/>
    <col min="49" max="49" width="16" bestFit="1" customWidth="1"/>
    <col min="50" max="50" width="13.7109375" bestFit="1" customWidth="1"/>
    <col min="51" max="51" width="11.28515625" bestFit="1" customWidth="1"/>
  </cols>
  <sheetData>
    <row r="3" spans="1:2" x14ac:dyDescent="0.25">
      <c r="A3" s="10" t="s">
        <v>1093</v>
      </c>
      <c r="B3" t="s">
        <v>1100</v>
      </c>
    </row>
    <row r="4" spans="1:2" x14ac:dyDescent="0.25">
      <c r="A4" s="11" t="s">
        <v>1105</v>
      </c>
      <c r="B4" s="1">
        <v>1804.7179999999994</v>
      </c>
    </row>
    <row r="5" spans="1:2" x14ac:dyDescent="0.25">
      <c r="A5" s="11" t="s">
        <v>1107</v>
      </c>
      <c r="B5" s="1">
        <v>2071.3130000000001</v>
      </c>
    </row>
    <row r="6" spans="1:2" x14ac:dyDescent="0.25">
      <c r="A6" s="11" t="s">
        <v>1109</v>
      </c>
      <c r="B6" s="1">
        <v>2091.7304999999988</v>
      </c>
    </row>
    <row r="7" spans="1:2" x14ac:dyDescent="0.25">
      <c r="A7" s="11" t="s">
        <v>1104</v>
      </c>
      <c r="B7" s="1">
        <v>2128.164499999999</v>
      </c>
    </row>
    <row r="8" spans="1:2" x14ac:dyDescent="0.25">
      <c r="A8" s="11" t="s">
        <v>1108</v>
      </c>
      <c r="B8" s="1">
        <v>2159.4880000000007</v>
      </c>
    </row>
    <row r="9" spans="1:2" x14ac:dyDescent="0.25">
      <c r="A9" s="11" t="s">
        <v>1106</v>
      </c>
      <c r="B9" s="1">
        <v>2451.5354999999995</v>
      </c>
    </row>
    <row r="10" spans="1:2" x14ac:dyDescent="0.25">
      <c r="A10" s="11" t="s">
        <v>1110</v>
      </c>
      <c r="B10" s="1">
        <v>2672.4195000000018</v>
      </c>
    </row>
    <row r="11" spans="1:2" x14ac:dyDescent="0.25">
      <c r="A11" s="11" t="s">
        <v>1094</v>
      </c>
      <c r="B11" s="1">
        <v>15379.369000000001</v>
      </c>
    </row>
    <row r="21" spans="1:8" x14ac:dyDescent="0.25">
      <c r="A21" s="10" t="s">
        <v>1100</v>
      </c>
      <c r="B21" s="10" t="s">
        <v>1098</v>
      </c>
    </row>
    <row r="22" spans="1:8" x14ac:dyDescent="0.25">
      <c r="A22" s="10" t="s">
        <v>1093</v>
      </c>
      <c r="B22" t="s">
        <v>28</v>
      </c>
      <c r="C22" t="s">
        <v>51</v>
      </c>
      <c r="D22" t="s">
        <v>48</v>
      </c>
      <c r="E22" t="s">
        <v>22</v>
      </c>
      <c r="F22" t="s">
        <v>32</v>
      </c>
      <c r="G22" t="s">
        <v>37</v>
      </c>
      <c r="H22" t="s">
        <v>1094</v>
      </c>
    </row>
    <row r="23" spans="1:8" x14ac:dyDescent="0.25">
      <c r="A23" s="11" t="s">
        <v>1105</v>
      </c>
      <c r="B23" s="1">
        <v>282.00600000000003</v>
      </c>
      <c r="C23" s="1">
        <v>305.69150000000002</v>
      </c>
      <c r="D23" s="1">
        <v>314.86800000000005</v>
      </c>
      <c r="E23" s="1">
        <v>402.29699999999997</v>
      </c>
      <c r="F23" s="1">
        <v>290.25450000000006</v>
      </c>
      <c r="G23" s="1">
        <v>209.601</v>
      </c>
      <c r="H23" s="1">
        <v>1804.7179999999998</v>
      </c>
    </row>
    <row r="24" spans="1:8" x14ac:dyDescent="0.25">
      <c r="A24" s="11" t="s">
        <v>1107</v>
      </c>
      <c r="B24" s="1">
        <v>231.66249999999999</v>
      </c>
      <c r="C24" s="1">
        <v>321.85549999999995</v>
      </c>
      <c r="D24" s="1">
        <v>524.55899999999997</v>
      </c>
      <c r="E24" s="1">
        <v>280.41649999999998</v>
      </c>
      <c r="F24" s="1">
        <v>308.32449999999994</v>
      </c>
      <c r="G24" s="1">
        <v>404.495</v>
      </c>
      <c r="H24" s="1">
        <v>2071.3129999999996</v>
      </c>
    </row>
    <row r="25" spans="1:8" x14ac:dyDescent="0.25">
      <c r="A25" s="11" t="s">
        <v>1109</v>
      </c>
      <c r="B25" s="1">
        <v>230.86450000000002</v>
      </c>
      <c r="C25" s="1">
        <v>454.98850000000016</v>
      </c>
      <c r="D25" s="1">
        <v>217.06799999999998</v>
      </c>
      <c r="E25" s="1">
        <v>396.71499999999997</v>
      </c>
      <c r="F25" s="1">
        <v>327.40100000000001</v>
      </c>
      <c r="G25" s="1">
        <v>464.69350000000009</v>
      </c>
      <c r="H25" s="1">
        <v>2091.7305000000006</v>
      </c>
    </row>
    <row r="26" spans="1:8" x14ac:dyDescent="0.25">
      <c r="A26" s="11" t="s">
        <v>1104</v>
      </c>
      <c r="B26" s="1">
        <v>305.32750000000004</v>
      </c>
      <c r="C26" s="1">
        <v>268.7885</v>
      </c>
      <c r="D26" s="1">
        <v>377.91250000000002</v>
      </c>
      <c r="E26" s="1">
        <v>236.82550000000001</v>
      </c>
      <c r="F26" s="1">
        <v>574.87099999999987</v>
      </c>
      <c r="G26" s="1">
        <v>364.4394999999999</v>
      </c>
      <c r="H26" s="1">
        <v>2128.1644999999999</v>
      </c>
    </row>
    <row r="27" spans="1:8" x14ac:dyDescent="0.25">
      <c r="A27" s="11" t="s">
        <v>1108</v>
      </c>
      <c r="B27" s="1">
        <v>592.15050000000008</v>
      </c>
      <c r="C27" s="1">
        <v>367.89950000000005</v>
      </c>
      <c r="D27" s="1">
        <v>323.74250000000006</v>
      </c>
      <c r="E27" s="1">
        <v>265.83199999999999</v>
      </c>
      <c r="F27" s="1">
        <v>258.44299999999998</v>
      </c>
      <c r="G27" s="1">
        <v>351.4205</v>
      </c>
      <c r="H27" s="1">
        <v>2159.4880000000003</v>
      </c>
    </row>
    <row r="28" spans="1:8" x14ac:dyDescent="0.25">
      <c r="A28" s="11" t="s">
        <v>1106</v>
      </c>
      <c r="B28" s="1">
        <v>481.47250000000003</v>
      </c>
      <c r="C28" s="1">
        <v>353.48950000000002</v>
      </c>
      <c r="D28" s="1">
        <v>468.96649999999994</v>
      </c>
      <c r="E28" s="1">
        <v>407.59949999999998</v>
      </c>
      <c r="F28" s="1">
        <v>367.08249999999992</v>
      </c>
      <c r="G28" s="1">
        <v>372.92500000000007</v>
      </c>
      <c r="H28" s="1">
        <v>2451.5355</v>
      </c>
    </row>
    <row r="29" spans="1:8" x14ac:dyDescent="0.25">
      <c r="A29" s="11" t="s">
        <v>1110</v>
      </c>
      <c r="B29" s="1">
        <v>464.01800000000009</v>
      </c>
      <c r="C29" s="1">
        <v>513.28200000000004</v>
      </c>
      <c r="D29" s="1">
        <v>446.44749999999993</v>
      </c>
      <c r="E29" s="1">
        <v>352.87349999999992</v>
      </c>
      <c r="F29" s="1">
        <v>438.47650000000004</v>
      </c>
      <c r="G29" s="1">
        <v>457.32200000000006</v>
      </c>
      <c r="H29" s="1">
        <v>2672.4195000000004</v>
      </c>
    </row>
    <row r="30" spans="1:8" x14ac:dyDescent="0.25">
      <c r="A30" s="11" t="s">
        <v>1094</v>
      </c>
      <c r="B30" s="1">
        <v>2587.5015000000003</v>
      </c>
      <c r="C30" s="1">
        <v>2585.9950000000003</v>
      </c>
      <c r="D30" s="1">
        <v>2673.5639999999999</v>
      </c>
      <c r="E30" s="1">
        <v>2342.5589999999997</v>
      </c>
      <c r="F30" s="1">
        <v>2564.8530000000001</v>
      </c>
      <c r="G30" s="1">
        <v>2624.8964999999998</v>
      </c>
      <c r="H30" s="1">
        <v>15379.369000000002</v>
      </c>
    </row>
  </sheetData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B03C-8A12-40E7-A5DC-AE8BF466C96C}">
  <dimension ref="A3:B10"/>
  <sheetViews>
    <sheetView workbookViewId="0">
      <selection activeCell="B7" sqref="B7"/>
    </sheetView>
  </sheetViews>
  <sheetFormatPr defaultRowHeight="15" x14ac:dyDescent="0.25"/>
  <cols>
    <col min="1" max="1" width="20.42578125" bestFit="1" customWidth="1"/>
    <col min="2" max="2" width="19.42578125" bestFit="1" customWidth="1"/>
  </cols>
  <sheetData>
    <row r="3" spans="1:2" x14ac:dyDescent="0.25">
      <c r="A3" s="10" t="s">
        <v>1093</v>
      </c>
      <c r="B3" t="s">
        <v>1100</v>
      </c>
    </row>
    <row r="4" spans="1:2" x14ac:dyDescent="0.25">
      <c r="A4" s="11" t="s">
        <v>28</v>
      </c>
      <c r="B4" s="1">
        <v>2587.5015000000017</v>
      </c>
    </row>
    <row r="5" spans="1:2" x14ac:dyDescent="0.25">
      <c r="A5" s="11" t="s">
        <v>51</v>
      </c>
      <c r="B5" s="1">
        <v>2585.9949999999999</v>
      </c>
    </row>
    <row r="6" spans="1:2" x14ac:dyDescent="0.25">
      <c r="A6" s="11" t="s">
        <v>48</v>
      </c>
      <c r="B6" s="1">
        <v>2673.5639999999994</v>
      </c>
    </row>
    <row r="7" spans="1:2" x14ac:dyDescent="0.25">
      <c r="A7" s="11" t="s">
        <v>22</v>
      </c>
      <c r="B7" s="1">
        <v>2342.5589999999993</v>
      </c>
    </row>
    <row r="8" spans="1:2" x14ac:dyDescent="0.25">
      <c r="A8" s="11" t="s">
        <v>32</v>
      </c>
      <c r="B8" s="1">
        <v>2564.8530000000019</v>
      </c>
    </row>
    <row r="9" spans="1:2" x14ac:dyDescent="0.25">
      <c r="A9" s="11" t="s">
        <v>37</v>
      </c>
      <c r="B9" s="1">
        <v>2624.8964999999994</v>
      </c>
    </row>
    <row r="10" spans="1:2" x14ac:dyDescent="0.25">
      <c r="A10" s="11" t="s">
        <v>1094</v>
      </c>
      <c r="B10" s="1">
        <v>15379.369000000002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8C74-0977-42C2-8952-4922818C28C1}">
  <dimension ref="A3:B7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8.5703125" bestFit="1" customWidth="1"/>
  </cols>
  <sheetData>
    <row r="3" spans="1:2" x14ac:dyDescent="0.25">
      <c r="A3" s="10" t="s">
        <v>1093</v>
      </c>
      <c r="B3" t="s">
        <v>1112</v>
      </c>
    </row>
    <row r="4" spans="1:2" x14ac:dyDescent="0.25">
      <c r="A4" s="11" t="s">
        <v>46</v>
      </c>
      <c r="B4" s="1">
        <v>5057.0320000000029</v>
      </c>
    </row>
    <row r="5" spans="1:2" x14ac:dyDescent="0.25">
      <c r="A5" s="11" t="s">
        <v>18</v>
      </c>
      <c r="B5" s="1">
        <v>5057.1605000000018</v>
      </c>
    </row>
    <row r="6" spans="1:2" x14ac:dyDescent="0.25">
      <c r="A6" s="11" t="s">
        <v>25</v>
      </c>
      <c r="B6" s="1">
        <v>5265.1765000000023</v>
      </c>
    </row>
    <row r="7" spans="1:2" x14ac:dyDescent="0.25">
      <c r="A7" s="11" t="s">
        <v>1094</v>
      </c>
      <c r="B7" s="1">
        <v>15379.369000000006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108DD-4266-4672-9C60-9012E46C4038}">
  <dimension ref="A3:A4"/>
  <sheetViews>
    <sheetView workbookViewId="0">
      <selection activeCell="A4" sqref="A4"/>
    </sheetView>
  </sheetViews>
  <sheetFormatPr defaultRowHeight="15" x14ac:dyDescent="0.25"/>
  <cols>
    <col min="1" max="1" width="19.42578125" bestFit="1" customWidth="1"/>
  </cols>
  <sheetData>
    <row r="3" spans="1:1" x14ac:dyDescent="0.25">
      <c r="A3" t="s">
        <v>1100</v>
      </c>
    </row>
    <row r="4" spans="1:1" x14ac:dyDescent="0.25">
      <c r="A4" s="1">
        <v>15379.369000000002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F0F6-A948-4C9C-B3F3-E64A2C7DC47D}">
  <dimension ref="A1:V1001"/>
  <sheetViews>
    <sheetView zoomScale="126" zoomScaleNormal="140" workbookViewId="0">
      <pane ySplit="1" topLeftCell="A2" activePane="bottomLeft" state="frozen"/>
      <selection activeCell="J1" sqref="J1"/>
      <selection pane="bottomLeft" activeCell="K4" sqref="K4"/>
    </sheetView>
  </sheetViews>
  <sheetFormatPr defaultRowHeight="15" x14ac:dyDescent="0.25"/>
  <cols>
    <col min="1" max="1" width="9.140625" customWidth="1"/>
    <col min="7" max="7" width="9.140625" style="1"/>
    <col min="9" max="9" width="9" style="1" customWidth="1"/>
    <col min="10" max="10" width="9.140625" style="1"/>
    <col min="11" max="11" width="18.85546875" style="3" bestFit="1" customWidth="1"/>
    <col min="12" max="12" width="9.140625" style="2"/>
    <col min="14" max="14" width="11.42578125" style="1" customWidth="1"/>
    <col min="15" max="15" width="17.5703125" style="1" customWidth="1"/>
    <col min="16" max="16" width="19.42578125" style="1" customWidth="1"/>
    <col min="18" max="18" width="28.28515625" style="13" bestFit="1" customWidth="1"/>
    <col min="22" max="22" width="28.28515625" style="13" bestFit="1" customWidth="1"/>
  </cols>
  <sheetData>
    <row r="1" spans="1:22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5" t="s">
        <v>13</v>
      </c>
      <c r="O1" s="8" t="s">
        <v>14</v>
      </c>
      <c r="P1" s="9" t="s">
        <v>15</v>
      </c>
      <c r="Q1" s="4" t="s">
        <v>16</v>
      </c>
      <c r="R1" s="12" t="s">
        <v>1089</v>
      </c>
      <c r="S1" s="4" t="s">
        <v>1091</v>
      </c>
      <c r="T1" s="4" t="s">
        <v>1090</v>
      </c>
      <c r="U1" s="4" t="s">
        <v>1099</v>
      </c>
      <c r="V1" s="12" t="s">
        <v>1103</v>
      </c>
    </row>
    <row r="2" spans="1:22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>
        <v>74.69</v>
      </c>
      <c r="H2">
        <v>7</v>
      </c>
      <c r="I2" s="1">
        <v>26.141500000000001</v>
      </c>
      <c r="J2" s="1">
        <v>548.97149999999999</v>
      </c>
      <c r="K2" s="3">
        <v>43586</v>
      </c>
      <c r="L2" s="2">
        <v>0.54722222222222228</v>
      </c>
      <c r="M2" t="s">
        <v>23</v>
      </c>
      <c r="N2" s="1">
        <v>522.83000000000004</v>
      </c>
      <c r="O2" s="1">
        <v>4.7619047620000003</v>
      </c>
      <c r="P2" s="1">
        <v>26.141500000000001</v>
      </c>
      <c r="Q2">
        <v>9.1</v>
      </c>
      <c r="R2" s="13">
        <v>43470</v>
      </c>
      <c r="S2">
        <f>MONTH(R2)</f>
        <v>1</v>
      </c>
      <c r="T2">
        <f>HOUR(L2)</f>
        <v>13</v>
      </c>
      <c r="U2">
        <f>DAY(R2)</f>
        <v>5</v>
      </c>
      <c r="V2" s="13" t="str">
        <f>TEXT(R2,"DDDD")</f>
        <v>Saturday</v>
      </c>
    </row>
    <row r="3" spans="1:22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 s="1">
        <v>15.28</v>
      </c>
      <c r="H3">
        <v>5</v>
      </c>
      <c r="I3" s="1">
        <v>3.82</v>
      </c>
      <c r="J3" s="1">
        <v>80.22</v>
      </c>
      <c r="K3" s="3">
        <v>43680</v>
      </c>
      <c r="L3" s="2">
        <v>0.43680555555555556</v>
      </c>
      <c r="M3" t="s">
        <v>29</v>
      </c>
      <c r="N3" s="1">
        <v>76.400000000000006</v>
      </c>
      <c r="O3" s="1">
        <v>4.7619047620000003</v>
      </c>
      <c r="P3" s="1">
        <v>3.82</v>
      </c>
      <c r="Q3">
        <v>9.6</v>
      </c>
      <c r="R3" s="13">
        <v>43532</v>
      </c>
      <c r="S3">
        <f t="shared" ref="S3:S66" si="0">MONTH(R3)</f>
        <v>3</v>
      </c>
      <c r="T3">
        <f t="shared" ref="T3:T66" si="1">HOUR(L3)</f>
        <v>10</v>
      </c>
      <c r="U3">
        <f t="shared" ref="U3:U66" si="2">DAY(R3)</f>
        <v>8</v>
      </c>
      <c r="V3" s="13" t="str">
        <f t="shared" ref="V3:V66" si="3">TEXT(R3,"DDDD")</f>
        <v>Friday</v>
      </c>
    </row>
    <row r="4" spans="1:22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 s="1">
        <v>46.33</v>
      </c>
      <c r="H4">
        <v>7</v>
      </c>
      <c r="I4" s="1">
        <v>16.215499999999999</v>
      </c>
      <c r="J4" s="1">
        <v>340.52550000000002</v>
      </c>
      <c r="K4" s="3">
        <v>43527</v>
      </c>
      <c r="L4" s="2">
        <v>0.55763888888888891</v>
      </c>
      <c r="M4" t="s">
        <v>33</v>
      </c>
      <c r="N4" s="1">
        <v>324.31</v>
      </c>
      <c r="O4" s="1">
        <v>4.7619047620000003</v>
      </c>
      <c r="P4" s="1">
        <v>16.215499999999999</v>
      </c>
      <c r="Q4">
        <v>7.4</v>
      </c>
      <c r="R4" s="13">
        <v>43527</v>
      </c>
      <c r="S4">
        <f t="shared" si="0"/>
        <v>3</v>
      </c>
      <c r="T4">
        <f t="shared" si="1"/>
        <v>13</v>
      </c>
      <c r="U4">
        <f t="shared" si="2"/>
        <v>3</v>
      </c>
      <c r="V4" s="13" t="str">
        <f t="shared" si="3"/>
        <v>Sunday</v>
      </c>
    </row>
    <row r="5" spans="1:22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 s="1">
        <v>58.22</v>
      </c>
      <c r="H5">
        <v>8</v>
      </c>
      <c r="I5" s="1">
        <v>23.288</v>
      </c>
      <c r="J5" s="1">
        <v>489.048</v>
      </c>
      <c r="K5" s="3">
        <v>43492</v>
      </c>
      <c r="L5" s="2">
        <v>0.85624999999999996</v>
      </c>
      <c r="M5" t="s">
        <v>23</v>
      </c>
      <c r="N5" s="1">
        <v>465.76</v>
      </c>
      <c r="O5" s="1">
        <v>4.7619047620000003</v>
      </c>
      <c r="P5" s="1">
        <v>23.288</v>
      </c>
      <c r="Q5">
        <v>8.4</v>
      </c>
      <c r="R5" s="13">
        <v>43492</v>
      </c>
      <c r="S5">
        <f t="shared" si="0"/>
        <v>1</v>
      </c>
      <c r="T5">
        <f t="shared" si="1"/>
        <v>20</v>
      </c>
      <c r="U5">
        <f t="shared" si="2"/>
        <v>27</v>
      </c>
      <c r="V5" s="13" t="str">
        <f t="shared" si="3"/>
        <v>Sunday</v>
      </c>
    </row>
    <row r="6" spans="1:22" x14ac:dyDescent="0.25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 s="1">
        <v>86.31</v>
      </c>
      <c r="H6">
        <v>7</v>
      </c>
      <c r="I6" s="1">
        <v>30.208500000000001</v>
      </c>
      <c r="J6" s="1">
        <v>634.37850000000003</v>
      </c>
      <c r="K6" s="3">
        <v>43679</v>
      </c>
      <c r="L6" s="2">
        <v>0.44236111111111109</v>
      </c>
      <c r="M6" t="s">
        <v>23</v>
      </c>
      <c r="N6" s="1">
        <v>604.16999999999996</v>
      </c>
      <c r="O6" s="1">
        <v>4.7619047620000003</v>
      </c>
      <c r="P6" s="1">
        <v>30.208500000000001</v>
      </c>
      <c r="Q6">
        <v>5.3</v>
      </c>
      <c r="R6" s="13">
        <v>43504</v>
      </c>
      <c r="S6">
        <f t="shared" si="0"/>
        <v>2</v>
      </c>
      <c r="T6">
        <f t="shared" si="1"/>
        <v>10</v>
      </c>
      <c r="U6">
        <f t="shared" si="2"/>
        <v>8</v>
      </c>
      <c r="V6" s="13" t="str">
        <f t="shared" si="3"/>
        <v>Friday</v>
      </c>
    </row>
    <row r="7" spans="1:22" x14ac:dyDescent="0.25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 s="1">
        <v>85.39</v>
      </c>
      <c r="H7">
        <v>7</v>
      </c>
      <c r="I7" s="1">
        <v>29.886500000000002</v>
      </c>
      <c r="J7" s="1">
        <v>627.61649999999997</v>
      </c>
      <c r="K7" s="3">
        <v>43549</v>
      </c>
      <c r="L7" s="2">
        <v>0.77083333333333337</v>
      </c>
      <c r="M7" t="s">
        <v>23</v>
      </c>
      <c r="N7" s="1">
        <v>597.73</v>
      </c>
      <c r="O7" s="1">
        <v>4.7619047620000003</v>
      </c>
      <c r="P7" s="1">
        <v>29.886500000000002</v>
      </c>
      <c r="Q7">
        <v>4.0999999999999996</v>
      </c>
      <c r="R7" s="13">
        <v>43549</v>
      </c>
      <c r="S7">
        <f t="shared" si="0"/>
        <v>3</v>
      </c>
      <c r="T7">
        <f t="shared" si="1"/>
        <v>18</v>
      </c>
      <c r="U7">
        <f t="shared" si="2"/>
        <v>25</v>
      </c>
      <c r="V7" s="13" t="str">
        <f t="shared" si="3"/>
        <v>Monday</v>
      </c>
    </row>
    <row r="8" spans="1:22" x14ac:dyDescent="0.25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 s="1">
        <v>68.84</v>
      </c>
      <c r="H8">
        <v>6</v>
      </c>
      <c r="I8" s="1">
        <v>20.652000000000001</v>
      </c>
      <c r="J8" s="1">
        <v>433.69200000000001</v>
      </c>
      <c r="K8" s="3">
        <v>43521</v>
      </c>
      <c r="L8" s="2">
        <v>0.60833333333333328</v>
      </c>
      <c r="M8" t="s">
        <v>23</v>
      </c>
      <c r="N8" s="1">
        <v>413.04</v>
      </c>
      <c r="O8" s="1">
        <v>4.7619047620000003</v>
      </c>
      <c r="P8" s="1">
        <v>20.652000000000001</v>
      </c>
      <c r="Q8">
        <v>5.8</v>
      </c>
      <c r="R8" s="13">
        <v>43521</v>
      </c>
      <c r="S8">
        <f t="shared" si="0"/>
        <v>2</v>
      </c>
      <c r="T8">
        <f t="shared" si="1"/>
        <v>14</v>
      </c>
      <c r="U8">
        <f t="shared" si="2"/>
        <v>25</v>
      </c>
      <c r="V8" s="13" t="str">
        <f t="shared" si="3"/>
        <v>Monday</v>
      </c>
    </row>
    <row r="9" spans="1:22" x14ac:dyDescent="0.25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 s="1">
        <v>73.56</v>
      </c>
      <c r="H9">
        <v>10</v>
      </c>
      <c r="I9" s="1">
        <v>36.78</v>
      </c>
      <c r="J9" s="1">
        <v>772.38</v>
      </c>
      <c r="K9" s="3">
        <v>43520</v>
      </c>
      <c r="L9" s="2">
        <v>0.48472222222222222</v>
      </c>
      <c r="M9" t="s">
        <v>23</v>
      </c>
      <c r="N9" s="1">
        <v>735.6</v>
      </c>
      <c r="O9" s="1">
        <v>4.7619047620000003</v>
      </c>
      <c r="P9" s="1">
        <v>36.78</v>
      </c>
      <c r="Q9">
        <v>8</v>
      </c>
      <c r="R9" s="13">
        <v>43520</v>
      </c>
      <c r="S9">
        <f t="shared" si="0"/>
        <v>2</v>
      </c>
      <c r="T9">
        <f t="shared" si="1"/>
        <v>11</v>
      </c>
      <c r="U9">
        <f t="shared" si="2"/>
        <v>24</v>
      </c>
      <c r="V9" s="13" t="str">
        <f t="shared" si="3"/>
        <v>Sunday</v>
      </c>
    </row>
    <row r="10" spans="1:22" x14ac:dyDescent="0.25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1">
        <v>36.26</v>
      </c>
      <c r="H10">
        <v>2</v>
      </c>
      <c r="I10" s="1">
        <v>3.6259999999999999</v>
      </c>
      <c r="J10" s="1">
        <v>76.146000000000001</v>
      </c>
      <c r="K10" s="3">
        <v>43739</v>
      </c>
      <c r="L10" s="2">
        <v>0.71875</v>
      </c>
      <c r="M10" t="s">
        <v>33</v>
      </c>
      <c r="N10" s="1">
        <v>72.52</v>
      </c>
      <c r="O10" s="1">
        <v>4.7619047620000003</v>
      </c>
      <c r="P10" s="1">
        <v>3.6259999999999999</v>
      </c>
      <c r="Q10">
        <v>7.2</v>
      </c>
      <c r="R10" s="13">
        <v>43475</v>
      </c>
      <c r="S10">
        <f t="shared" si="0"/>
        <v>1</v>
      </c>
      <c r="T10">
        <f t="shared" si="1"/>
        <v>17</v>
      </c>
      <c r="U10">
        <f t="shared" si="2"/>
        <v>10</v>
      </c>
      <c r="V10" s="13" t="str">
        <f t="shared" si="3"/>
        <v>Thursday</v>
      </c>
    </row>
    <row r="11" spans="1:22" x14ac:dyDescent="0.25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 s="1">
        <v>54.84</v>
      </c>
      <c r="H11">
        <v>3</v>
      </c>
      <c r="I11" s="1">
        <v>8.2260000000000009</v>
      </c>
      <c r="J11" s="1">
        <v>172.74600000000001</v>
      </c>
      <c r="K11" s="3">
        <v>43485</v>
      </c>
      <c r="L11" s="2">
        <v>0.56041666666666667</v>
      </c>
      <c r="M11" t="s">
        <v>33</v>
      </c>
      <c r="N11" s="1">
        <v>164.52</v>
      </c>
      <c r="O11" s="1">
        <v>4.7619047620000003</v>
      </c>
      <c r="P11" s="1">
        <v>8.2260000000000009</v>
      </c>
      <c r="Q11">
        <v>5.9</v>
      </c>
      <c r="R11" s="13">
        <v>43485</v>
      </c>
      <c r="S11">
        <f t="shared" si="0"/>
        <v>1</v>
      </c>
      <c r="T11">
        <f t="shared" si="1"/>
        <v>13</v>
      </c>
      <c r="U11">
        <f t="shared" si="2"/>
        <v>20</v>
      </c>
      <c r="V11" s="13" t="str">
        <f t="shared" si="3"/>
        <v>Sunday</v>
      </c>
    </row>
    <row r="12" spans="1:22" x14ac:dyDescent="0.25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 s="1">
        <v>14.48</v>
      </c>
      <c r="H12">
        <v>4</v>
      </c>
      <c r="I12" s="1">
        <v>2.8959999999999999</v>
      </c>
      <c r="J12" s="1">
        <v>60.816000000000003</v>
      </c>
      <c r="K12" s="3">
        <v>43502</v>
      </c>
      <c r="L12" s="2">
        <v>0.75486111111111109</v>
      </c>
      <c r="M12" t="s">
        <v>23</v>
      </c>
      <c r="N12" s="1">
        <v>57.92</v>
      </c>
      <c r="O12" s="1">
        <v>4.7619047620000003</v>
      </c>
      <c r="P12" s="1">
        <v>2.8959999999999999</v>
      </c>
      <c r="Q12">
        <v>4.5</v>
      </c>
      <c r="R12" s="13">
        <v>43618</v>
      </c>
      <c r="S12">
        <f t="shared" si="0"/>
        <v>6</v>
      </c>
      <c r="T12">
        <f t="shared" si="1"/>
        <v>18</v>
      </c>
      <c r="U12">
        <f t="shared" si="2"/>
        <v>2</v>
      </c>
      <c r="V12" s="13" t="str">
        <f t="shared" si="3"/>
        <v>Sunday</v>
      </c>
    </row>
    <row r="13" spans="1:22" x14ac:dyDescent="0.25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 s="1">
        <v>25.51</v>
      </c>
      <c r="H13">
        <v>4</v>
      </c>
      <c r="I13" s="1">
        <v>5.1020000000000003</v>
      </c>
      <c r="J13" s="1">
        <v>107.142</v>
      </c>
      <c r="K13" s="3">
        <v>43711</v>
      </c>
      <c r="L13" s="2">
        <v>0.7104166666666667</v>
      </c>
      <c r="M13" t="s">
        <v>29</v>
      </c>
      <c r="N13" s="1">
        <v>102.04</v>
      </c>
      <c r="O13" s="1">
        <v>4.7619047620000003</v>
      </c>
      <c r="P13" s="1">
        <v>5.1020000000000003</v>
      </c>
      <c r="Q13">
        <v>6.8</v>
      </c>
      <c r="R13" s="13">
        <v>43533</v>
      </c>
      <c r="S13">
        <f t="shared" si="0"/>
        <v>3</v>
      </c>
      <c r="T13">
        <f t="shared" si="1"/>
        <v>17</v>
      </c>
      <c r="U13">
        <f t="shared" si="2"/>
        <v>9</v>
      </c>
      <c r="V13" s="13" t="str">
        <f t="shared" si="3"/>
        <v>Saturday</v>
      </c>
    </row>
    <row r="14" spans="1:22" x14ac:dyDescent="0.25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 s="1">
        <v>46.95</v>
      </c>
      <c r="H14">
        <v>5</v>
      </c>
      <c r="I14" s="1">
        <v>11.737500000000001</v>
      </c>
      <c r="J14" s="1">
        <v>246.48750000000001</v>
      </c>
      <c r="K14" s="3">
        <v>43801</v>
      </c>
      <c r="L14" s="2">
        <v>0.43402777777777779</v>
      </c>
      <c r="M14" t="s">
        <v>23</v>
      </c>
      <c r="N14" s="1">
        <v>234.75</v>
      </c>
      <c r="O14" s="1">
        <v>4.7619047620000003</v>
      </c>
      <c r="P14" s="1">
        <v>11.737500000000001</v>
      </c>
      <c r="Q14">
        <v>7.1</v>
      </c>
      <c r="R14" s="13">
        <v>43508</v>
      </c>
      <c r="S14">
        <f t="shared" si="0"/>
        <v>2</v>
      </c>
      <c r="T14">
        <f t="shared" si="1"/>
        <v>10</v>
      </c>
      <c r="U14">
        <f t="shared" si="2"/>
        <v>12</v>
      </c>
      <c r="V14" s="13" t="str">
        <f t="shared" si="3"/>
        <v>Tuesday</v>
      </c>
    </row>
    <row r="15" spans="1:22" x14ac:dyDescent="0.25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 s="1">
        <v>43.19</v>
      </c>
      <c r="H15">
        <v>10</v>
      </c>
      <c r="I15" s="1">
        <v>21.594999999999999</v>
      </c>
      <c r="J15" s="1">
        <v>453.495</v>
      </c>
      <c r="K15" s="3">
        <v>43648</v>
      </c>
      <c r="L15" s="2">
        <v>0.7</v>
      </c>
      <c r="M15" t="s">
        <v>23</v>
      </c>
      <c r="N15" s="1">
        <v>431.9</v>
      </c>
      <c r="O15" s="1">
        <v>4.7619047620000003</v>
      </c>
      <c r="P15" s="1">
        <v>21.594999999999999</v>
      </c>
      <c r="Q15">
        <v>8.1999999999999993</v>
      </c>
      <c r="R15" s="13">
        <v>43503</v>
      </c>
      <c r="S15">
        <f t="shared" si="0"/>
        <v>2</v>
      </c>
      <c r="T15">
        <f t="shared" si="1"/>
        <v>16</v>
      </c>
      <c r="U15">
        <f t="shared" si="2"/>
        <v>7</v>
      </c>
      <c r="V15" s="13" t="str">
        <f t="shared" si="3"/>
        <v>Thursday</v>
      </c>
    </row>
    <row r="16" spans="1:22" x14ac:dyDescent="0.25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 s="1">
        <v>71.38</v>
      </c>
      <c r="H16">
        <v>10</v>
      </c>
      <c r="I16" s="1">
        <v>35.69</v>
      </c>
      <c r="J16" s="1">
        <v>749.49</v>
      </c>
      <c r="K16" s="3" t="s">
        <v>56</v>
      </c>
      <c r="L16" s="2">
        <v>0.80625000000000002</v>
      </c>
      <c r="M16" t="s">
        <v>29</v>
      </c>
      <c r="N16" s="1">
        <v>713.8</v>
      </c>
      <c r="O16" s="1">
        <v>4.7619047620000003</v>
      </c>
      <c r="P16" s="1">
        <v>35.69</v>
      </c>
      <c r="Q16">
        <v>5.7</v>
      </c>
      <c r="R16" s="13">
        <v>43553</v>
      </c>
      <c r="S16">
        <f t="shared" si="0"/>
        <v>3</v>
      </c>
      <c r="T16">
        <f t="shared" si="1"/>
        <v>19</v>
      </c>
      <c r="U16">
        <f t="shared" si="2"/>
        <v>29</v>
      </c>
      <c r="V16" s="13" t="str">
        <f t="shared" si="3"/>
        <v>Friday</v>
      </c>
    </row>
    <row r="17" spans="1:22" x14ac:dyDescent="0.25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 s="1">
        <v>93.72</v>
      </c>
      <c r="H17">
        <v>6</v>
      </c>
      <c r="I17" s="1">
        <v>28.116</v>
      </c>
      <c r="J17" s="1">
        <v>590.43600000000004</v>
      </c>
      <c r="K17" s="3" t="s">
        <v>58</v>
      </c>
      <c r="L17" s="2">
        <v>0.67986111111111114</v>
      </c>
      <c r="M17" t="s">
        <v>29</v>
      </c>
      <c r="N17" s="1">
        <v>562.32000000000005</v>
      </c>
      <c r="O17" s="1">
        <v>4.7619047620000003</v>
      </c>
      <c r="P17" s="1">
        <v>28.116</v>
      </c>
      <c r="Q17">
        <v>4.5</v>
      </c>
      <c r="R17" s="13">
        <v>43480</v>
      </c>
      <c r="S17">
        <f t="shared" si="0"/>
        <v>1</v>
      </c>
      <c r="T17">
        <f t="shared" si="1"/>
        <v>16</v>
      </c>
      <c r="U17">
        <f t="shared" si="2"/>
        <v>15</v>
      </c>
      <c r="V17" s="13" t="str">
        <f t="shared" si="3"/>
        <v>Tuesday</v>
      </c>
    </row>
    <row r="18" spans="1:22" x14ac:dyDescent="0.25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1">
        <v>68.930000000000007</v>
      </c>
      <c r="H18">
        <v>7</v>
      </c>
      <c r="I18" s="1">
        <v>24.125499999999999</v>
      </c>
      <c r="J18" s="1">
        <v>506.63549999999998</v>
      </c>
      <c r="K18" s="3">
        <v>43772</v>
      </c>
      <c r="L18" s="2">
        <v>0.46041666666666664</v>
      </c>
      <c r="M18" t="s">
        <v>33</v>
      </c>
      <c r="N18" s="1">
        <v>482.51</v>
      </c>
      <c r="O18" s="1">
        <v>4.7619047620000003</v>
      </c>
      <c r="P18" s="1">
        <v>24.125499999999999</v>
      </c>
      <c r="Q18">
        <v>4.5999999999999996</v>
      </c>
      <c r="R18" s="13">
        <v>43535</v>
      </c>
      <c r="S18">
        <f t="shared" si="0"/>
        <v>3</v>
      </c>
      <c r="T18">
        <f t="shared" si="1"/>
        <v>11</v>
      </c>
      <c r="U18">
        <f t="shared" si="2"/>
        <v>11</v>
      </c>
      <c r="V18" s="13" t="str">
        <f t="shared" si="3"/>
        <v>Monday</v>
      </c>
    </row>
    <row r="19" spans="1:22" x14ac:dyDescent="0.25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 s="1">
        <v>72.61</v>
      </c>
      <c r="H19">
        <v>6</v>
      </c>
      <c r="I19" s="1">
        <v>21.783000000000001</v>
      </c>
      <c r="J19" s="1">
        <v>457.44299999999998</v>
      </c>
      <c r="K19" s="3">
        <v>43466</v>
      </c>
      <c r="L19" s="2">
        <v>0.44374999999999998</v>
      </c>
      <c r="M19" t="s">
        <v>33</v>
      </c>
      <c r="N19" s="1">
        <v>435.66</v>
      </c>
      <c r="O19" s="1">
        <v>4.7619047620000003</v>
      </c>
      <c r="P19" s="1">
        <v>21.783000000000001</v>
      </c>
      <c r="Q19">
        <v>6.9</v>
      </c>
      <c r="R19" s="13">
        <v>43466</v>
      </c>
      <c r="S19">
        <f t="shared" si="0"/>
        <v>1</v>
      </c>
      <c r="T19">
        <f t="shared" si="1"/>
        <v>10</v>
      </c>
      <c r="U19">
        <f t="shared" si="2"/>
        <v>1</v>
      </c>
      <c r="V19" s="13" t="str">
        <f t="shared" si="3"/>
        <v>Tuesday</v>
      </c>
    </row>
    <row r="20" spans="1:22" x14ac:dyDescent="0.25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 s="1">
        <v>54.67</v>
      </c>
      <c r="H20">
        <v>3</v>
      </c>
      <c r="I20" s="1">
        <v>8.2004999999999999</v>
      </c>
      <c r="J20" s="1">
        <v>172.2105</v>
      </c>
      <c r="K20" s="3" t="s">
        <v>62</v>
      </c>
      <c r="L20" s="2">
        <v>0.75</v>
      </c>
      <c r="M20" t="s">
        <v>33</v>
      </c>
      <c r="N20" s="1">
        <v>164.01</v>
      </c>
      <c r="O20" s="1">
        <v>4.7619047620000003</v>
      </c>
      <c r="P20" s="1">
        <v>8.2004999999999999</v>
      </c>
      <c r="Q20">
        <v>8.6</v>
      </c>
      <c r="R20" s="13">
        <v>43486</v>
      </c>
      <c r="S20">
        <f t="shared" si="0"/>
        <v>1</v>
      </c>
      <c r="T20">
        <f t="shared" si="1"/>
        <v>18</v>
      </c>
      <c r="U20">
        <f t="shared" si="2"/>
        <v>21</v>
      </c>
      <c r="V20" s="13" t="str">
        <f t="shared" si="3"/>
        <v>Monday</v>
      </c>
    </row>
    <row r="21" spans="1:22" x14ac:dyDescent="0.25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 s="1">
        <v>40.299999999999997</v>
      </c>
      <c r="H21">
        <v>2</v>
      </c>
      <c r="I21" s="1">
        <v>4.03</v>
      </c>
      <c r="J21" s="1">
        <v>84.63</v>
      </c>
      <c r="K21" s="3">
        <v>43772</v>
      </c>
      <c r="L21" s="2">
        <v>0.64583333333333337</v>
      </c>
      <c r="M21" t="s">
        <v>23</v>
      </c>
      <c r="N21" s="1">
        <v>80.599999999999994</v>
      </c>
      <c r="O21" s="1">
        <v>4.7619047620000003</v>
      </c>
      <c r="P21" s="1">
        <v>4.03</v>
      </c>
      <c r="Q21">
        <v>4.4000000000000004</v>
      </c>
      <c r="R21" s="13">
        <v>43535</v>
      </c>
      <c r="S21">
        <f t="shared" si="0"/>
        <v>3</v>
      </c>
      <c r="T21">
        <f t="shared" si="1"/>
        <v>15</v>
      </c>
      <c r="U21">
        <f t="shared" si="2"/>
        <v>11</v>
      </c>
      <c r="V21" s="13" t="str">
        <f t="shared" si="3"/>
        <v>Monday</v>
      </c>
    </row>
    <row r="22" spans="1:22" x14ac:dyDescent="0.25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 s="1">
        <v>86.04</v>
      </c>
      <c r="H22">
        <v>5</v>
      </c>
      <c r="I22" s="1">
        <v>21.51</v>
      </c>
      <c r="J22" s="1">
        <v>451.71</v>
      </c>
      <c r="K22" s="3" t="s">
        <v>41</v>
      </c>
      <c r="L22" s="2">
        <v>0.47499999999999998</v>
      </c>
      <c r="M22" t="s">
        <v>23</v>
      </c>
      <c r="N22" s="1">
        <v>430.2</v>
      </c>
      <c r="O22" s="1">
        <v>4.7619047620000003</v>
      </c>
      <c r="P22" s="1">
        <v>21.51</v>
      </c>
      <c r="Q22">
        <v>4.8</v>
      </c>
      <c r="R22" s="13">
        <v>43521</v>
      </c>
      <c r="S22">
        <f t="shared" si="0"/>
        <v>2</v>
      </c>
      <c r="T22">
        <f t="shared" si="1"/>
        <v>11</v>
      </c>
      <c r="U22">
        <f t="shared" si="2"/>
        <v>25</v>
      </c>
      <c r="V22" s="13" t="str">
        <f t="shared" si="3"/>
        <v>Monday</v>
      </c>
    </row>
    <row r="23" spans="1:22" x14ac:dyDescent="0.25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 s="1">
        <v>87.98</v>
      </c>
      <c r="H23">
        <v>3</v>
      </c>
      <c r="I23" s="1">
        <v>13.196999999999999</v>
      </c>
      <c r="J23" s="1">
        <v>277.137</v>
      </c>
      <c r="K23" s="3">
        <v>43588</v>
      </c>
      <c r="L23" s="2">
        <v>0.44444444444444442</v>
      </c>
      <c r="M23" t="s">
        <v>23</v>
      </c>
      <c r="N23" s="1">
        <v>263.94</v>
      </c>
      <c r="O23" s="1">
        <v>4.7619047620000003</v>
      </c>
      <c r="P23" s="1">
        <v>13.196999999999999</v>
      </c>
      <c r="Q23">
        <v>5.0999999999999996</v>
      </c>
      <c r="R23" s="13">
        <v>43529</v>
      </c>
      <c r="S23">
        <f t="shared" si="0"/>
        <v>3</v>
      </c>
      <c r="T23">
        <f t="shared" si="1"/>
        <v>10</v>
      </c>
      <c r="U23">
        <f t="shared" si="2"/>
        <v>5</v>
      </c>
      <c r="V23" s="13" t="str">
        <f t="shared" si="3"/>
        <v>Tuesday</v>
      </c>
    </row>
    <row r="24" spans="1:22" x14ac:dyDescent="0.25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 s="1">
        <v>33.200000000000003</v>
      </c>
      <c r="H24">
        <v>2</v>
      </c>
      <c r="I24" s="1">
        <v>3.32</v>
      </c>
      <c r="J24" s="1">
        <v>69.72</v>
      </c>
      <c r="K24" s="3" t="s">
        <v>67</v>
      </c>
      <c r="L24" s="2">
        <v>0.51388888888888884</v>
      </c>
      <c r="M24" t="s">
        <v>33</v>
      </c>
      <c r="N24" s="1">
        <v>66.400000000000006</v>
      </c>
      <c r="O24" s="1">
        <v>4.7619047620000003</v>
      </c>
      <c r="P24" s="1">
        <v>3.32</v>
      </c>
      <c r="Q24">
        <v>4.4000000000000004</v>
      </c>
      <c r="R24" s="13">
        <v>43539</v>
      </c>
      <c r="S24">
        <f t="shared" si="0"/>
        <v>3</v>
      </c>
      <c r="T24">
        <f t="shared" si="1"/>
        <v>12</v>
      </c>
      <c r="U24">
        <f t="shared" si="2"/>
        <v>15</v>
      </c>
      <c r="V24" s="13" t="str">
        <f t="shared" si="3"/>
        <v>Friday</v>
      </c>
    </row>
    <row r="25" spans="1:22" x14ac:dyDescent="0.25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 s="1">
        <v>34.56</v>
      </c>
      <c r="H25">
        <v>5</v>
      </c>
      <c r="I25" s="1">
        <v>8.64</v>
      </c>
      <c r="J25" s="1">
        <v>181.44</v>
      </c>
      <c r="K25" s="3" t="s">
        <v>69</v>
      </c>
      <c r="L25" s="2">
        <v>0.46875</v>
      </c>
      <c r="M25" t="s">
        <v>23</v>
      </c>
      <c r="N25" s="1">
        <v>172.8</v>
      </c>
      <c r="O25" s="1">
        <v>4.7619047620000003</v>
      </c>
      <c r="P25" s="1">
        <v>8.64</v>
      </c>
      <c r="Q25">
        <v>9.9</v>
      </c>
      <c r="R25" s="13">
        <v>43513</v>
      </c>
      <c r="S25">
        <f t="shared" si="0"/>
        <v>2</v>
      </c>
      <c r="T25">
        <f t="shared" si="1"/>
        <v>11</v>
      </c>
      <c r="U25">
        <f t="shared" si="2"/>
        <v>17</v>
      </c>
      <c r="V25" s="13" t="str">
        <f t="shared" si="3"/>
        <v>Sunday</v>
      </c>
    </row>
    <row r="26" spans="1:22" x14ac:dyDescent="0.25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 s="1">
        <v>88.63</v>
      </c>
      <c r="H26">
        <v>3</v>
      </c>
      <c r="I26" s="1">
        <v>13.294499999999999</v>
      </c>
      <c r="J26" s="1">
        <v>279.18450000000001</v>
      </c>
      <c r="K26" s="3">
        <v>43499</v>
      </c>
      <c r="L26" s="2">
        <v>0.73333333333333328</v>
      </c>
      <c r="M26" t="s">
        <v>23</v>
      </c>
      <c r="N26" s="1">
        <v>265.89</v>
      </c>
      <c r="O26" s="1">
        <v>4.7619047620000003</v>
      </c>
      <c r="P26" s="1">
        <v>13.294499999999999</v>
      </c>
      <c r="Q26">
        <v>6</v>
      </c>
      <c r="R26" s="13">
        <v>43526</v>
      </c>
      <c r="S26">
        <f t="shared" si="0"/>
        <v>3</v>
      </c>
      <c r="T26">
        <f t="shared" si="1"/>
        <v>17</v>
      </c>
      <c r="U26">
        <f t="shared" si="2"/>
        <v>2</v>
      </c>
      <c r="V26" s="13" t="str">
        <f t="shared" si="3"/>
        <v>Saturday</v>
      </c>
    </row>
    <row r="27" spans="1:22" x14ac:dyDescent="0.25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 s="1">
        <v>52.59</v>
      </c>
      <c r="H27">
        <v>8</v>
      </c>
      <c r="I27" s="1">
        <v>21.036000000000001</v>
      </c>
      <c r="J27" s="1">
        <v>441.75599999999997</v>
      </c>
      <c r="K27" s="3" t="s">
        <v>72</v>
      </c>
      <c r="L27" s="2">
        <v>0.80555555555555558</v>
      </c>
      <c r="M27" t="s">
        <v>33</v>
      </c>
      <c r="N27" s="1">
        <v>420.72</v>
      </c>
      <c r="O27" s="1">
        <v>4.7619047620000003</v>
      </c>
      <c r="P27" s="1">
        <v>21.036000000000001</v>
      </c>
      <c r="Q27">
        <v>8.5</v>
      </c>
      <c r="R27" s="13">
        <v>43546</v>
      </c>
      <c r="S27">
        <f t="shared" si="0"/>
        <v>3</v>
      </c>
      <c r="T27">
        <f t="shared" si="1"/>
        <v>19</v>
      </c>
      <c r="U27">
        <f t="shared" si="2"/>
        <v>22</v>
      </c>
      <c r="V27" s="13" t="str">
        <f t="shared" si="3"/>
        <v>Friday</v>
      </c>
    </row>
    <row r="28" spans="1:22" x14ac:dyDescent="0.25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 s="1">
        <v>33.520000000000003</v>
      </c>
      <c r="H28">
        <v>1</v>
      </c>
      <c r="I28" s="1">
        <v>1.6759999999999999</v>
      </c>
      <c r="J28" s="1">
        <v>35.195999999999998</v>
      </c>
      <c r="K28" s="3">
        <v>43679</v>
      </c>
      <c r="L28" s="2">
        <v>0.64652777777777781</v>
      </c>
      <c r="M28" t="s">
        <v>29</v>
      </c>
      <c r="N28" s="1">
        <v>33.520000000000003</v>
      </c>
      <c r="O28" s="1">
        <v>4.7619047620000003</v>
      </c>
      <c r="P28" s="1">
        <v>1.6759999999999999</v>
      </c>
      <c r="Q28">
        <v>6.7</v>
      </c>
      <c r="R28" s="13">
        <v>43504</v>
      </c>
      <c r="S28">
        <f t="shared" si="0"/>
        <v>2</v>
      </c>
      <c r="T28">
        <f t="shared" si="1"/>
        <v>15</v>
      </c>
      <c r="U28">
        <f t="shared" si="2"/>
        <v>8</v>
      </c>
      <c r="V28" s="13" t="str">
        <f t="shared" si="3"/>
        <v>Friday</v>
      </c>
    </row>
    <row r="29" spans="1:22" x14ac:dyDescent="0.25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 s="1">
        <v>87.67</v>
      </c>
      <c r="H29">
        <v>2</v>
      </c>
      <c r="I29" s="1">
        <v>8.7669999999999995</v>
      </c>
      <c r="J29" s="1">
        <v>184.107</v>
      </c>
      <c r="K29" s="3">
        <v>43741</v>
      </c>
      <c r="L29" s="2">
        <v>0.51180555555555551</v>
      </c>
      <c r="M29" t="s">
        <v>33</v>
      </c>
      <c r="N29" s="1">
        <v>175.34</v>
      </c>
      <c r="O29" s="1">
        <v>4.7619047620000003</v>
      </c>
      <c r="P29" s="1">
        <v>8.7669999999999995</v>
      </c>
      <c r="Q29">
        <v>7.7</v>
      </c>
      <c r="R29" s="13">
        <v>43534</v>
      </c>
      <c r="S29">
        <f t="shared" si="0"/>
        <v>3</v>
      </c>
      <c r="T29">
        <f t="shared" si="1"/>
        <v>12</v>
      </c>
      <c r="U29">
        <f t="shared" si="2"/>
        <v>10</v>
      </c>
      <c r="V29" s="13" t="str">
        <f t="shared" si="3"/>
        <v>Sunday</v>
      </c>
    </row>
    <row r="30" spans="1:22" x14ac:dyDescent="0.25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 s="1">
        <v>88.36</v>
      </c>
      <c r="H30">
        <v>5</v>
      </c>
      <c r="I30" s="1">
        <v>22.09</v>
      </c>
      <c r="J30" s="1">
        <v>463.89</v>
      </c>
      <c r="K30" s="3" t="s">
        <v>76</v>
      </c>
      <c r="L30" s="2">
        <v>0.82499999999999996</v>
      </c>
      <c r="M30" t="s">
        <v>29</v>
      </c>
      <c r="N30" s="1">
        <v>441.8</v>
      </c>
      <c r="O30" s="1">
        <v>4.7619047620000003</v>
      </c>
      <c r="P30" s="1">
        <v>22.09</v>
      </c>
      <c r="Q30">
        <v>9.6</v>
      </c>
      <c r="R30" s="13">
        <v>43490</v>
      </c>
      <c r="S30">
        <f t="shared" si="0"/>
        <v>1</v>
      </c>
      <c r="T30">
        <f t="shared" si="1"/>
        <v>19</v>
      </c>
      <c r="U30">
        <f t="shared" si="2"/>
        <v>25</v>
      </c>
      <c r="V30" s="13" t="str">
        <f t="shared" si="3"/>
        <v>Friday</v>
      </c>
    </row>
    <row r="31" spans="1:22" x14ac:dyDescent="0.25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 s="1">
        <v>24.89</v>
      </c>
      <c r="H31">
        <v>9</v>
      </c>
      <c r="I31" s="1">
        <v>11.2005</v>
      </c>
      <c r="J31" s="1">
        <v>235.2105</v>
      </c>
      <c r="K31" s="3" t="s">
        <v>67</v>
      </c>
      <c r="L31" s="2">
        <v>0.65</v>
      </c>
      <c r="M31" t="s">
        <v>29</v>
      </c>
      <c r="N31" s="1">
        <v>224.01</v>
      </c>
      <c r="O31" s="1">
        <v>4.7619047620000003</v>
      </c>
      <c r="P31" s="1">
        <v>11.2005</v>
      </c>
      <c r="Q31">
        <v>7.4</v>
      </c>
      <c r="R31" s="13">
        <v>43539</v>
      </c>
      <c r="S31">
        <f t="shared" si="0"/>
        <v>3</v>
      </c>
      <c r="T31">
        <f t="shared" si="1"/>
        <v>15</v>
      </c>
      <c r="U31">
        <f t="shared" si="2"/>
        <v>15</v>
      </c>
      <c r="V31" s="13" t="str">
        <f t="shared" si="3"/>
        <v>Friday</v>
      </c>
    </row>
    <row r="32" spans="1:22" x14ac:dyDescent="0.25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 s="1">
        <v>94.13</v>
      </c>
      <c r="H32">
        <v>5</v>
      </c>
      <c r="I32" s="1">
        <v>23.532499999999999</v>
      </c>
      <c r="J32" s="1">
        <v>494.1825</v>
      </c>
      <c r="K32" s="3" t="s">
        <v>41</v>
      </c>
      <c r="L32" s="2">
        <v>0.81874999999999998</v>
      </c>
      <c r="M32" t="s">
        <v>33</v>
      </c>
      <c r="N32" s="1">
        <v>470.65</v>
      </c>
      <c r="O32" s="1">
        <v>4.7619047620000003</v>
      </c>
      <c r="P32" s="1">
        <v>23.532499999999999</v>
      </c>
      <c r="Q32">
        <v>4.8</v>
      </c>
      <c r="R32" s="13">
        <v>43521</v>
      </c>
      <c r="S32">
        <f t="shared" si="0"/>
        <v>2</v>
      </c>
      <c r="T32">
        <f t="shared" si="1"/>
        <v>19</v>
      </c>
      <c r="U32">
        <f t="shared" si="2"/>
        <v>25</v>
      </c>
      <c r="V32" s="13" t="str">
        <f t="shared" si="3"/>
        <v>Monday</v>
      </c>
    </row>
    <row r="33" spans="1:22" x14ac:dyDescent="0.25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 s="1">
        <v>78.069999999999993</v>
      </c>
      <c r="H33">
        <v>9</v>
      </c>
      <c r="I33" s="1">
        <v>35.131500000000003</v>
      </c>
      <c r="J33" s="1">
        <v>737.76149999999996</v>
      </c>
      <c r="K33" s="3" t="s">
        <v>80</v>
      </c>
      <c r="L33" s="2">
        <v>0.52986111111111112</v>
      </c>
      <c r="M33" t="s">
        <v>29</v>
      </c>
      <c r="N33" s="1">
        <v>702.63</v>
      </c>
      <c r="O33" s="1">
        <v>4.7619047620000003</v>
      </c>
      <c r="P33" s="1">
        <v>35.131500000000003</v>
      </c>
      <c r="Q33">
        <v>4.5</v>
      </c>
      <c r="R33" s="13">
        <v>43493</v>
      </c>
      <c r="S33">
        <f t="shared" si="0"/>
        <v>1</v>
      </c>
      <c r="T33">
        <f t="shared" si="1"/>
        <v>12</v>
      </c>
      <c r="U33">
        <f t="shared" si="2"/>
        <v>28</v>
      </c>
      <c r="V33" s="13" t="str">
        <f t="shared" si="3"/>
        <v>Monday</v>
      </c>
    </row>
    <row r="34" spans="1:22" x14ac:dyDescent="0.25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 s="1">
        <v>83.78</v>
      </c>
      <c r="H34">
        <v>8</v>
      </c>
      <c r="I34" s="1">
        <v>33.512</v>
      </c>
      <c r="J34" s="1">
        <v>703.75199999999995</v>
      </c>
      <c r="K34" s="3">
        <v>43739</v>
      </c>
      <c r="L34" s="2">
        <v>0.61736111111111114</v>
      </c>
      <c r="M34" t="s">
        <v>29</v>
      </c>
      <c r="N34" s="1">
        <v>670.24</v>
      </c>
      <c r="O34" s="1">
        <v>4.7619047620000003</v>
      </c>
      <c r="P34" s="1">
        <v>33.512</v>
      </c>
      <c r="Q34">
        <v>5.0999999999999996</v>
      </c>
      <c r="R34" s="13">
        <v>43475</v>
      </c>
      <c r="S34">
        <f t="shared" si="0"/>
        <v>1</v>
      </c>
      <c r="T34">
        <f t="shared" si="1"/>
        <v>14</v>
      </c>
      <c r="U34">
        <f t="shared" si="2"/>
        <v>10</v>
      </c>
      <c r="V34" s="13" t="str">
        <f t="shared" si="3"/>
        <v>Thursday</v>
      </c>
    </row>
    <row r="35" spans="1:22" x14ac:dyDescent="0.25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 s="1">
        <v>96.58</v>
      </c>
      <c r="H35">
        <v>2</v>
      </c>
      <c r="I35" s="1">
        <v>9.6579999999999995</v>
      </c>
      <c r="J35" s="1">
        <v>202.81800000000001</v>
      </c>
      <c r="K35" s="3" t="s">
        <v>67</v>
      </c>
      <c r="L35" s="2">
        <v>0.42499999999999999</v>
      </c>
      <c r="M35" t="s">
        <v>33</v>
      </c>
      <c r="N35" s="1">
        <v>193.16</v>
      </c>
      <c r="O35" s="1">
        <v>4.7619047620000003</v>
      </c>
      <c r="P35" s="1">
        <v>9.6579999999999995</v>
      </c>
      <c r="Q35">
        <v>5.0999999999999996</v>
      </c>
      <c r="R35" s="13">
        <v>43539</v>
      </c>
      <c r="S35">
        <f t="shared" si="0"/>
        <v>3</v>
      </c>
      <c r="T35">
        <f t="shared" si="1"/>
        <v>10</v>
      </c>
      <c r="U35">
        <f t="shared" si="2"/>
        <v>15</v>
      </c>
      <c r="V35" s="13" t="str">
        <f t="shared" si="3"/>
        <v>Friday</v>
      </c>
    </row>
    <row r="36" spans="1:22" x14ac:dyDescent="0.25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 s="1">
        <v>99.42</v>
      </c>
      <c r="H36">
        <v>4</v>
      </c>
      <c r="I36" s="1">
        <v>19.884</v>
      </c>
      <c r="J36" s="1">
        <v>417.56400000000002</v>
      </c>
      <c r="K36" s="3">
        <v>43618</v>
      </c>
      <c r="L36" s="2">
        <v>0.44583333333333336</v>
      </c>
      <c r="M36" t="s">
        <v>23</v>
      </c>
      <c r="N36" s="1">
        <v>397.68</v>
      </c>
      <c r="O36" s="1">
        <v>4.7619047620000003</v>
      </c>
      <c r="P36" s="1">
        <v>19.884</v>
      </c>
      <c r="Q36">
        <v>7.5</v>
      </c>
      <c r="R36" s="13">
        <v>43502</v>
      </c>
      <c r="S36">
        <f t="shared" si="0"/>
        <v>2</v>
      </c>
      <c r="T36">
        <f t="shared" si="1"/>
        <v>10</v>
      </c>
      <c r="U36">
        <f t="shared" si="2"/>
        <v>6</v>
      </c>
      <c r="V36" s="13" t="str">
        <f t="shared" si="3"/>
        <v>Wednesday</v>
      </c>
    </row>
    <row r="37" spans="1:22" x14ac:dyDescent="0.25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 s="1">
        <v>68.12</v>
      </c>
      <c r="H37">
        <v>1</v>
      </c>
      <c r="I37" s="1">
        <v>3.4060000000000001</v>
      </c>
      <c r="J37" s="1">
        <v>71.525999999999996</v>
      </c>
      <c r="K37" s="3">
        <v>43647</v>
      </c>
      <c r="L37" s="2">
        <v>0.51944444444444449</v>
      </c>
      <c r="M37" t="s">
        <v>23</v>
      </c>
      <c r="N37" s="1">
        <v>68.12</v>
      </c>
      <c r="O37" s="1">
        <v>4.7619047620000003</v>
      </c>
      <c r="P37" s="1">
        <v>3.4060000000000001</v>
      </c>
      <c r="Q37">
        <v>6.8</v>
      </c>
      <c r="R37" s="13">
        <v>43472</v>
      </c>
      <c r="S37">
        <f t="shared" si="0"/>
        <v>1</v>
      </c>
      <c r="T37">
        <f t="shared" si="1"/>
        <v>12</v>
      </c>
      <c r="U37">
        <f t="shared" si="2"/>
        <v>7</v>
      </c>
      <c r="V37" s="13" t="str">
        <f t="shared" si="3"/>
        <v>Monday</v>
      </c>
    </row>
    <row r="38" spans="1:22" x14ac:dyDescent="0.25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 s="1">
        <v>62.62</v>
      </c>
      <c r="H38">
        <v>5</v>
      </c>
      <c r="I38" s="1">
        <v>15.654999999999999</v>
      </c>
      <c r="J38" s="1">
        <v>328.755</v>
      </c>
      <c r="K38" s="3">
        <v>43741</v>
      </c>
      <c r="L38" s="2">
        <v>0.80208333333333337</v>
      </c>
      <c r="M38" t="s">
        <v>23</v>
      </c>
      <c r="N38" s="1">
        <v>313.10000000000002</v>
      </c>
      <c r="O38" s="1">
        <v>4.7619047620000003</v>
      </c>
      <c r="P38" s="1">
        <v>15.654999999999999</v>
      </c>
      <c r="Q38">
        <v>7</v>
      </c>
      <c r="R38" s="13">
        <v>43534</v>
      </c>
      <c r="S38">
        <f t="shared" si="0"/>
        <v>3</v>
      </c>
      <c r="T38">
        <f t="shared" si="1"/>
        <v>19</v>
      </c>
      <c r="U38">
        <f t="shared" si="2"/>
        <v>10</v>
      </c>
      <c r="V38" s="13" t="str">
        <f t="shared" si="3"/>
        <v>Sunday</v>
      </c>
    </row>
    <row r="39" spans="1:22" x14ac:dyDescent="0.25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 s="1">
        <v>60.88</v>
      </c>
      <c r="H39">
        <v>9</v>
      </c>
      <c r="I39" s="1">
        <v>27.396000000000001</v>
      </c>
      <c r="J39" s="1">
        <v>575.31600000000003</v>
      </c>
      <c r="K39" s="3" t="s">
        <v>58</v>
      </c>
      <c r="L39" s="2">
        <v>0.72013888888888888</v>
      </c>
      <c r="M39" t="s">
        <v>23</v>
      </c>
      <c r="N39" s="1">
        <v>547.91999999999996</v>
      </c>
      <c r="O39" s="1">
        <v>4.7619047620000003</v>
      </c>
      <c r="P39" s="1">
        <v>27.396000000000001</v>
      </c>
      <c r="Q39">
        <v>4.7</v>
      </c>
      <c r="R39" s="13">
        <v>43480</v>
      </c>
      <c r="S39">
        <f t="shared" si="0"/>
        <v>1</v>
      </c>
      <c r="T39">
        <f t="shared" si="1"/>
        <v>17</v>
      </c>
      <c r="U39">
        <f t="shared" si="2"/>
        <v>15</v>
      </c>
      <c r="V39" s="13" t="str">
        <f t="shared" si="3"/>
        <v>Tuesday</v>
      </c>
    </row>
    <row r="40" spans="1:22" x14ac:dyDescent="0.25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 s="1">
        <v>54.92</v>
      </c>
      <c r="H40">
        <v>8</v>
      </c>
      <c r="I40" s="1">
        <v>21.968</v>
      </c>
      <c r="J40" s="1">
        <v>461.32799999999997</v>
      </c>
      <c r="K40" s="3" t="s">
        <v>88</v>
      </c>
      <c r="L40" s="2">
        <v>0.55833333333333335</v>
      </c>
      <c r="M40" t="s">
        <v>23</v>
      </c>
      <c r="N40" s="1">
        <v>439.36</v>
      </c>
      <c r="O40" s="1">
        <v>4.7619047620000003</v>
      </c>
      <c r="P40" s="1">
        <v>21.968</v>
      </c>
      <c r="Q40">
        <v>7.6</v>
      </c>
      <c r="R40" s="13">
        <v>43547</v>
      </c>
      <c r="S40">
        <f t="shared" si="0"/>
        <v>3</v>
      </c>
      <c r="T40">
        <f t="shared" si="1"/>
        <v>13</v>
      </c>
      <c r="U40">
        <f t="shared" si="2"/>
        <v>23</v>
      </c>
      <c r="V40" s="13" t="str">
        <f t="shared" si="3"/>
        <v>Saturday</v>
      </c>
    </row>
    <row r="41" spans="1:22" x14ac:dyDescent="0.25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 s="1">
        <v>30.12</v>
      </c>
      <c r="H41">
        <v>8</v>
      </c>
      <c r="I41" s="1">
        <v>12.048</v>
      </c>
      <c r="J41" s="1">
        <v>253.00800000000001</v>
      </c>
      <c r="K41" s="3">
        <v>43527</v>
      </c>
      <c r="L41" s="2">
        <v>0.54236111111111107</v>
      </c>
      <c r="M41" t="s">
        <v>29</v>
      </c>
      <c r="N41" s="1">
        <v>240.96</v>
      </c>
      <c r="O41" s="1">
        <v>4.7619047620000003</v>
      </c>
      <c r="P41" s="1">
        <v>12.048</v>
      </c>
      <c r="Q41">
        <v>7.7</v>
      </c>
      <c r="R41" s="13">
        <v>43527</v>
      </c>
      <c r="S41">
        <f t="shared" si="0"/>
        <v>3</v>
      </c>
      <c r="T41">
        <f t="shared" si="1"/>
        <v>13</v>
      </c>
      <c r="U41">
        <f t="shared" si="2"/>
        <v>3</v>
      </c>
      <c r="V41" s="13" t="str">
        <f t="shared" si="3"/>
        <v>Sunday</v>
      </c>
    </row>
    <row r="42" spans="1:22" x14ac:dyDescent="0.25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 s="1">
        <v>86.72</v>
      </c>
      <c r="H42">
        <v>1</v>
      </c>
      <c r="I42" s="1">
        <v>4.3360000000000003</v>
      </c>
      <c r="J42" s="1">
        <v>91.055999999999997</v>
      </c>
      <c r="K42" s="3" t="s">
        <v>91</v>
      </c>
      <c r="L42" s="2">
        <v>0.78125</v>
      </c>
      <c r="M42" t="s">
        <v>23</v>
      </c>
      <c r="N42" s="1">
        <v>86.72</v>
      </c>
      <c r="O42" s="1">
        <v>4.7619047620000003</v>
      </c>
      <c r="P42" s="1">
        <v>4.3360000000000003</v>
      </c>
      <c r="Q42">
        <v>7.9</v>
      </c>
      <c r="R42" s="13">
        <v>43482</v>
      </c>
      <c r="S42">
        <f t="shared" si="0"/>
        <v>1</v>
      </c>
      <c r="T42">
        <f t="shared" si="1"/>
        <v>18</v>
      </c>
      <c r="U42">
        <f t="shared" si="2"/>
        <v>17</v>
      </c>
      <c r="V42" s="13" t="str">
        <f t="shared" si="3"/>
        <v>Thursday</v>
      </c>
    </row>
    <row r="43" spans="1:22" x14ac:dyDescent="0.25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 s="1">
        <v>56.11</v>
      </c>
      <c r="H43">
        <v>2</v>
      </c>
      <c r="I43" s="1">
        <v>5.6109999999999998</v>
      </c>
      <c r="J43" s="1">
        <v>117.831</v>
      </c>
      <c r="K43" s="3">
        <v>43498</v>
      </c>
      <c r="L43" s="2">
        <v>0.42430555555555555</v>
      </c>
      <c r="M43" t="s">
        <v>29</v>
      </c>
      <c r="N43" s="1">
        <v>112.22</v>
      </c>
      <c r="O43" s="1">
        <v>4.7619047620000003</v>
      </c>
      <c r="P43" s="1">
        <v>5.6109999999999998</v>
      </c>
      <c r="Q43">
        <v>6.3</v>
      </c>
      <c r="R43" s="13">
        <v>43498</v>
      </c>
      <c r="S43">
        <f t="shared" si="0"/>
        <v>2</v>
      </c>
      <c r="T43">
        <f t="shared" si="1"/>
        <v>10</v>
      </c>
      <c r="U43">
        <f t="shared" si="2"/>
        <v>2</v>
      </c>
      <c r="V43" s="13" t="str">
        <f t="shared" si="3"/>
        <v>Saturday</v>
      </c>
    </row>
    <row r="44" spans="1:22" x14ac:dyDescent="0.25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 s="1">
        <v>69.12</v>
      </c>
      <c r="H44">
        <v>6</v>
      </c>
      <c r="I44" s="1">
        <v>20.736000000000001</v>
      </c>
      <c r="J44" s="1">
        <v>435.45600000000002</v>
      </c>
      <c r="K44" s="3">
        <v>43679</v>
      </c>
      <c r="L44" s="2">
        <v>0.54374999999999996</v>
      </c>
      <c r="M44" t="s">
        <v>29</v>
      </c>
      <c r="N44" s="1">
        <v>414.72</v>
      </c>
      <c r="O44" s="1">
        <v>4.7619047620000003</v>
      </c>
      <c r="P44" s="1">
        <v>20.736000000000001</v>
      </c>
      <c r="Q44">
        <v>5.6</v>
      </c>
      <c r="R44" s="13">
        <v>43504</v>
      </c>
      <c r="S44">
        <f t="shared" si="0"/>
        <v>2</v>
      </c>
      <c r="T44">
        <f t="shared" si="1"/>
        <v>13</v>
      </c>
      <c r="U44">
        <f t="shared" si="2"/>
        <v>8</v>
      </c>
      <c r="V44" s="13" t="str">
        <f t="shared" si="3"/>
        <v>Friday</v>
      </c>
    </row>
    <row r="45" spans="1:22" x14ac:dyDescent="0.25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 s="1">
        <v>98.7</v>
      </c>
      <c r="H45">
        <v>8</v>
      </c>
      <c r="I45" s="1">
        <v>39.479999999999997</v>
      </c>
      <c r="J45" s="1">
        <v>829.08</v>
      </c>
      <c r="K45" s="3">
        <v>43558</v>
      </c>
      <c r="L45" s="2">
        <v>0.86041666666666672</v>
      </c>
      <c r="M45" t="s">
        <v>29</v>
      </c>
      <c r="N45" s="1">
        <v>789.6</v>
      </c>
      <c r="O45" s="1">
        <v>4.7619047620000003</v>
      </c>
      <c r="P45" s="1">
        <v>39.479999999999997</v>
      </c>
      <c r="Q45">
        <v>7.6</v>
      </c>
      <c r="R45" s="13">
        <v>43528</v>
      </c>
      <c r="S45">
        <f t="shared" si="0"/>
        <v>3</v>
      </c>
      <c r="T45">
        <f t="shared" si="1"/>
        <v>20</v>
      </c>
      <c r="U45">
        <f t="shared" si="2"/>
        <v>4</v>
      </c>
      <c r="V45" s="13" t="str">
        <f t="shared" si="3"/>
        <v>Monday</v>
      </c>
    </row>
    <row r="46" spans="1:22" x14ac:dyDescent="0.25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 s="1">
        <v>15.37</v>
      </c>
      <c r="H46">
        <v>2</v>
      </c>
      <c r="I46" s="1">
        <v>1.5369999999999999</v>
      </c>
      <c r="J46" s="1">
        <v>32.277000000000001</v>
      </c>
      <c r="K46" s="3" t="s">
        <v>96</v>
      </c>
      <c r="L46" s="2">
        <v>0.82430555555555551</v>
      </c>
      <c r="M46" t="s">
        <v>29</v>
      </c>
      <c r="N46" s="1">
        <v>30.74</v>
      </c>
      <c r="O46" s="1">
        <v>4.7619047620000003</v>
      </c>
      <c r="P46" s="1">
        <v>1.5369999999999999</v>
      </c>
      <c r="Q46">
        <v>7.2</v>
      </c>
      <c r="R46" s="13">
        <v>43540</v>
      </c>
      <c r="S46">
        <f t="shared" si="0"/>
        <v>3</v>
      </c>
      <c r="T46">
        <f t="shared" si="1"/>
        <v>19</v>
      </c>
      <c r="U46">
        <f t="shared" si="2"/>
        <v>16</v>
      </c>
      <c r="V46" s="13" t="str">
        <f t="shared" si="3"/>
        <v>Saturday</v>
      </c>
    </row>
    <row r="47" spans="1:22" x14ac:dyDescent="0.25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 s="1">
        <v>93.96</v>
      </c>
      <c r="H47">
        <v>4</v>
      </c>
      <c r="I47" s="1">
        <v>18.792000000000002</v>
      </c>
      <c r="J47" s="1">
        <v>394.63200000000001</v>
      </c>
      <c r="K47" s="3">
        <v>43711</v>
      </c>
      <c r="L47" s="2">
        <v>0.75</v>
      </c>
      <c r="M47" t="s">
        <v>29</v>
      </c>
      <c r="N47" s="1">
        <v>375.84</v>
      </c>
      <c r="O47" s="1">
        <v>4.7619047620000003</v>
      </c>
      <c r="P47" s="1">
        <v>18.792000000000002</v>
      </c>
      <c r="Q47">
        <v>9.5</v>
      </c>
      <c r="R47" s="13">
        <v>43533</v>
      </c>
      <c r="S47">
        <f t="shared" si="0"/>
        <v>3</v>
      </c>
      <c r="T47">
        <f t="shared" si="1"/>
        <v>18</v>
      </c>
      <c r="U47">
        <f t="shared" si="2"/>
        <v>9</v>
      </c>
      <c r="V47" s="13" t="str">
        <f t="shared" si="3"/>
        <v>Saturday</v>
      </c>
    </row>
    <row r="48" spans="1:22" x14ac:dyDescent="0.25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 s="1">
        <v>56.69</v>
      </c>
      <c r="H48">
        <v>9</v>
      </c>
      <c r="I48" s="1">
        <v>25.5105</v>
      </c>
      <c r="J48" s="1">
        <v>535.72050000000002</v>
      </c>
      <c r="K48" s="3" t="s">
        <v>99</v>
      </c>
      <c r="L48" s="2">
        <v>0.72499999999999998</v>
      </c>
      <c r="M48" t="s">
        <v>33</v>
      </c>
      <c r="N48" s="1">
        <v>510.21</v>
      </c>
      <c r="O48" s="1">
        <v>4.7619047620000003</v>
      </c>
      <c r="P48" s="1">
        <v>25.5105</v>
      </c>
      <c r="Q48">
        <v>8.4</v>
      </c>
      <c r="R48" s="13">
        <v>43523</v>
      </c>
      <c r="S48">
        <f t="shared" si="0"/>
        <v>2</v>
      </c>
      <c r="T48">
        <f t="shared" si="1"/>
        <v>17</v>
      </c>
      <c r="U48">
        <f t="shared" si="2"/>
        <v>27</v>
      </c>
      <c r="V48" s="13" t="str">
        <f t="shared" si="3"/>
        <v>Wednesday</v>
      </c>
    </row>
    <row r="49" spans="1:22" x14ac:dyDescent="0.25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 s="1">
        <v>20.010000000000002</v>
      </c>
      <c r="H49">
        <v>9</v>
      </c>
      <c r="I49" s="1">
        <v>9.0045000000000002</v>
      </c>
      <c r="J49" s="1">
        <v>189.09450000000001</v>
      </c>
      <c r="K49" s="3">
        <v>43618</v>
      </c>
      <c r="L49" s="2">
        <v>0.65763888888888888</v>
      </c>
      <c r="M49" t="s">
        <v>23</v>
      </c>
      <c r="N49" s="1">
        <v>180.09</v>
      </c>
      <c r="O49" s="1">
        <v>4.7619047620000003</v>
      </c>
      <c r="P49" s="1">
        <v>9.0045000000000002</v>
      </c>
      <c r="Q49">
        <v>4.0999999999999996</v>
      </c>
      <c r="R49" s="13">
        <v>43502</v>
      </c>
      <c r="S49">
        <f t="shared" si="0"/>
        <v>2</v>
      </c>
      <c r="T49">
        <f t="shared" si="1"/>
        <v>15</v>
      </c>
      <c r="U49">
        <f t="shared" si="2"/>
        <v>6</v>
      </c>
      <c r="V49" s="13" t="str">
        <f t="shared" si="3"/>
        <v>Wednesday</v>
      </c>
    </row>
    <row r="50" spans="1:22" x14ac:dyDescent="0.25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 s="1">
        <v>18.93</v>
      </c>
      <c r="H50">
        <v>6</v>
      </c>
      <c r="I50" s="1">
        <v>5.6790000000000003</v>
      </c>
      <c r="J50" s="1">
        <v>119.259</v>
      </c>
      <c r="K50" s="3">
        <v>43740</v>
      </c>
      <c r="L50" s="2">
        <v>0.53125</v>
      </c>
      <c r="M50" t="s">
        <v>33</v>
      </c>
      <c r="N50" s="1">
        <v>113.58</v>
      </c>
      <c r="O50" s="1">
        <v>4.7619047620000003</v>
      </c>
      <c r="P50" s="1">
        <v>5.6790000000000003</v>
      </c>
      <c r="Q50">
        <v>8.1</v>
      </c>
      <c r="R50" s="13">
        <v>43506</v>
      </c>
      <c r="S50">
        <f t="shared" si="0"/>
        <v>2</v>
      </c>
      <c r="T50">
        <f t="shared" si="1"/>
        <v>12</v>
      </c>
      <c r="U50">
        <f t="shared" si="2"/>
        <v>10</v>
      </c>
      <c r="V50" s="13" t="str">
        <f t="shared" si="3"/>
        <v>Sunday</v>
      </c>
    </row>
    <row r="51" spans="1:22" x14ac:dyDescent="0.25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 s="1">
        <v>82.63</v>
      </c>
      <c r="H51">
        <v>10</v>
      </c>
      <c r="I51" s="1">
        <v>41.314999999999998</v>
      </c>
      <c r="J51" s="1">
        <v>867.61500000000001</v>
      </c>
      <c r="K51" s="3" t="s">
        <v>103</v>
      </c>
      <c r="L51" s="2">
        <v>0.71388888888888891</v>
      </c>
      <c r="M51" t="s">
        <v>23</v>
      </c>
      <c r="N51" s="1">
        <v>826.3</v>
      </c>
      <c r="O51" s="1">
        <v>4.7619047620000003</v>
      </c>
      <c r="P51" s="1">
        <v>41.314999999999998</v>
      </c>
      <c r="Q51">
        <v>7.9</v>
      </c>
      <c r="R51" s="13">
        <v>43543</v>
      </c>
      <c r="S51">
        <f t="shared" si="0"/>
        <v>3</v>
      </c>
      <c r="T51">
        <f t="shared" si="1"/>
        <v>17</v>
      </c>
      <c r="U51">
        <f t="shared" si="2"/>
        <v>19</v>
      </c>
      <c r="V51" s="13" t="str">
        <f t="shared" si="3"/>
        <v>Tuesday</v>
      </c>
    </row>
    <row r="52" spans="1:22" x14ac:dyDescent="0.25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 s="1">
        <v>91.4</v>
      </c>
      <c r="H52">
        <v>7</v>
      </c>
      <c r="I52" s="1">
        <v>31.99</v>
      </c>
      <c r="J52" s="1">
        <v>671.79</v>
      </c>
      <c r="K52" s="3">
        <v>43526</v>
      </c>
      <c r="L52" s="2">
        <v>0.42986111111111114</v>
      </c>
      <c r="M52" t="s">
        <v>29</v>
      </c>
      <c r="N52" s="1">
        <v>639.79999999999995</v>
      </c>
      <c r="O52" s="1">
        <v>4.7619047620000003</v>
      </c>
      <c r="P52" s="1">
        <v>31.99</v>
      </c>
      <c r="Q52">
        <v>9.5</v>
      </c>
      <c r="R52" s="13">
        <v>43499</v>
      </c>
      <c r="S52">
        <f t="shared" si="0"/>
        <v>2</v>
      </c>
      <c r="T52">
        <f t="shared" si="1"/>
        <v>10</v>
      </c>
      <c r="U52">
        <f t="shared" si="2"/>
        <v>3</v>
      </c>
      <c r="V52" s="13" t="str">
        <f t="shared" si="3"/>
        <v>Sunday</v>
      </c>
    </row>
    <row r="53" spans="1:22" x14ac:dyDescent="0.25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 s="1">
        <v>44.59</v>
      </c>
      <c r="H53">
        <v>5</v>
      </c>
      <c r="I53" s="1">
        <v>11.147500000000001</v>
      </c>
      <c r="J53" s="1">
        <v>234.0975</v>
      </c>
      <c r="K53" s="3">
        <v>43740</v>
      </c>
      <c r="L53" s="2">
        <v>0.63194444444444442</v>
      </c>
      <c r="M53" t="s">
        <v>29</v>
      </c>
      <c r="N53" s="1">
        <v>222.95</v>
      </c>
      <c r="O53" s="1">
        <v>4.7619047620000003</v>
      </c>
      <c r="P53" s="1">
        <v>11.147500000000001</v>
      </c>
      <c r="Q53">
        <v>8.5</v>
      </c>
      <c r="R53" s="13">
        <v>43506</v>
      </c>
      <c r="S53">
        <f t="shared" si="0"/>
        <v>2</v>
      </c>
      <c r="T53">
        <f t="shared" si="1"/>
        <v>15</v>
      </c>
      <c r="U53">
        <f t="shared" si="2"/>
        <v>10</v>
      </c>
      <c r="V53" s="13" t="str">
        <f t="shared" si="3"/>
        <v>Sunday</v>
      </c>
    </row>
    <row r="54" spans="1:22" x14ac:dyDescent="0.25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 s="1">
        <v>17.87</v>
      </c>
      <c r="H54">
        <v>4</v>
      </c>
      <c r="I54" s="1">
        <v>3.5739999999999998</v>
      </c>
      <c r="J54" s="1">
        <v>75.054000000000002</v>
      </c>
      <c r="K54" s="3" t="s">
        <v>72</v>
      </c>
      <c r="L54" s="2">
        <v>0.61250000000000004</v>
      </c>
      <c r="M54" t="s">
        <v>23</v>
      </c>
      <c r="N54" s="1">
        <v>71.48</v>
      </c>
      <c r="O54" s="1">
        <v>4.7619047620000003</v>
      </c>
      <c r="P54" s="1">
        <v>3.5739999999999998</v>
      </c>
      <c r="Q54">
        <v>6.5</v>
      </c>
      <c r="R54" s="13">
        <v>43546</v>
      </c>
      <c r="S54">
        <f t="shared" si="0"/>
        <v>3</v>
      </c>
      <c r="T54">
        <f t="shared" si="1"/>
        <v>14</v>
      </c>
      <c r="U54">
        <f t="shared" si="2"/>
        <v>22</v>
      </c>
      <c r="V54" s="13" t="str">
        <f t="shared" si="3"/>
        <v>Friday</v>
      </c>
    </row>
    <row r="55" spans="1:22" x14ac:dyDescent="0.25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 s="1">
        <v>15.43</v>
      </c>
      <c r="H55">
        <v>1</v>
      </c>
      <c r="I55" s="1">
        <v>0.77149999999999996</v>
      </c>
      <c r="J55" s="1">
        <v>16.201499999999999</v>
      </c>
      <c r="K55" s="3" t="s">
        <v>76</v>
      </c>
      <c r="L55" s="2">
        <v>0.65694444444444444</v>
      </c>
      <c r="M55" t="s">
        <v>33</v>
      </c>
      <c r="N55" s="1">
        <v>15.43</v>
      </c>
      <c r="O55" s="1">
        <v>4.7619047620000003</v>
      </c>
      <c r="P55" s="1">
        <v>0.77149999999999996</v>
      </c>
      <c r="Q55">
        <v>6.1</v>
      </c>
      <c r="R55" s="13">
        <v>43490</v>
      </c>
      <c r="S55">
        <f t="shared" si="0"/>
        <v>1</v>
      </c>
      <c r="T55">
        <f t="shared" si="1"/>
        <v>15</v>
      </c>
      <c r="U55">
        <f t="shared" si="2"/>
        <v>25</v>
      </c>
      <c r="V55" s="13" t="str">
        <f t="shared" si="3"/>
        <v>Friday</v>
      </c>
    </row>
    <row r="56" spans="1:22" x14ac:dyDescent="0.25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 s="1">
        <v>16.16</v>
      </c>
      <c r="H56">
        <v>2</v>
      </c>
      <c r="I56" s="1">
        <v>1.6160000000000001</v>
      </c>
      <c r="J56" s="1">
        <v>33.936</v>
      </c>
      <c r="K56" s="3">
        <v>43649</v>
      </c>
      <c r="L56" s="2">
        <v>0.49236111111111114</v>
      </c>
      <c r="M56" t="s">
        <v>23</v>
      </c>
      <c r="N56" s="1">
        <v>32.32</v>
      </c>
      <c r="O56" s="1">
        <v>4.7619047620000003</v>
      </c>
      <c r="P56" s="1">
        <v>1.6160000000000001</v>
      </c>
      <c r="Q56">
        <v>6.5</v>
      </c>
      <c r="R56" s="13">
        <v>43531</v>
      </c>
      <c r="S56">
        <f t="shared" si="0"/>
        <v>3</v>
      </c>
      <c r="T56">
        <f t="shared" si="1"/>
        <v>11</v>
      </c>
      <c r="U56">
        <f t="shared" si="2"/>
        <v>7</v>
      </c>
      <c r="V56" s="13" t="str">
        <f t="shared" si="3"/>
        <v>Thursday</v>
      </c>
    </row>
    <row r="57" spans="1:22" x14ac:dyDescent="0.25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 s="1">
        <v>85.98</v>
      </c>
      <c r="H57">
        <v>8</v>
      </c>
      <c r="I57" s="1">
        <v>34.392000000000003</v>
      </c>
      <c r="J57" s="1">
        <v>722.23199999999997</v>
      </c>
      <c r="K57" s="3" t="s">
        <v>110</v>
      </c>
      <c r="L57" s="2">
        <v>0.79236111111111107</v>
      </c>
      <c r="M57" t="s">
        <v>29</v>
      </c>
      <c r="N57" s="1">
        <v>687.84</v>
      </c>
      <c r="O57" s="1">
        <v>4.7619047620000003</v>
      </c>
      <c r="P57" s="1">
        <v>34.392000000000003</v>
      </c>
      <c r="Q57">
        <v>8.1999999999999993</v>
      </c>
      <c r="R57" s="13">
        <v>43524</v>
      </c>
      <c r="S57">
        <f t="shared" si="0"/>
        <v>2</v>
      </c>
      <c r="T57">
        <f t="shared" si="1"/>
        <v>19</v>
      </c>
      <c r="U57">
        <f t="shared" si="2"/>
        <v>28</v>
      </c>
      <c r="V57" s="13" t="str">
        <f t="shared" si="3"/>
        <v>Thursday</v>
      </c>
    </row>
    <row r="58" spans="1:22" x14ac:dyDescent="0.25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 s="1">
        <v>44.34</v>
      </c>
      <c r="H58">
        <v>2</v>
      </c>
      <c r="I58" s="1">
        <v>4.4340000000000002</v>
      </c>
      <c r="J58" s="1">
        <v>93.114000000000004</v>
      </c>
      <c r="K58" s="3" t="s">
        <v>112</v>
      </c>
      <c r="L58" s="2">
        <v>0.47638888888888886</v>
      </c>
      <c r="M58" t="s">
        <v>29</v>
      </c>
      <c r="N58" s="1">
        <v>88.68</v>
      </c>
      <c r="O58" s="1">
        <v>4.7619047620000003</v>
      </c>
      <c r="P58" s="1">
        <v>4.4340000000000002</v>
      </c>
      <c r="Q58">
        <v>5.8</v>
      </c>
      <c r="R58" s="13">
        <v>43551</v>
      </c>
      <c r="S58">
        <f t="shared" si="0"/>
        <v>3</v>
      </c>
      <c r="T58">
        <f t="shared" si="1"/>
        <v>11</v>
      </c>
      <c r="U58">
        <f t="shared" si="2"/>
        <v>27</v>
      </c>
      <c r="V58" s="13" t="str">
        <f t="shared" si="3"/>
        <v>Wednesday</v>
      </c>
    </row>
    <row r="59" spans="1:22" x14ac:dyDescent="0.25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 s="1">
        <v>89.6</v>
      </c>
      <c r="H59">
        <v>8</v>
      </c>
      <c r="I59" s="1">
        <v>35.840000000000003</v>
      </c>
      <c r="J59" s="1">
        <v>752.64</v>
      </c>
      <c r="K59" s="3">
        <v>43648</v>
      </c>
      <c r="L59" s="2">
        <v>0.4777777777777778</v>
      </c>
      <c r="M59" t="s">
        <v>23</v>
      </c>
      <c r="N59" s="1">
        <v>716.8</v>
      </c>
      <c r="O59" s="1">
        <v>4.7619047620000003</v>
      </c>
      <c r="P59" s="1">
        <v>35.840000000000003</v>
      </c>
      <c r="Q59">
        <v>6.6</v>
      </c>
      <c r="R59" s="13">
        <v>43503</v>
      </c>
      <c r="S59">
        <f t="shared" si="0"/>
        <v>2</v>
      </c>
      <c r="T59">
        <f t="shared" si="1"/>
        <v>11</v>
      </c>
      <c r="U59">
        <f t="shared" si="2"/>
        <v>7</v>
      </c>
      <c r="V59" s="13" t="str">
        <f t="shared" si="3"/>
        <v>Thursday</v>
      </c>
    </row>
    <row r="60" spans="1:22" x14ac:dyDescent="0.25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 s="1">
        <v>72.349999999999994</v>
      </c>
      <c r="H60">
        <v>10</v>
      </c>
      <c r="I60" s="1">
        <v>36.174999999999997</v>
      </c>
      <c r="J60" s="1">
        <v>759.67499999999995</v>
      </c>
      <c r="K60" s="3" t="s">
        <v>115</v>
      </c>
      <c r="L60" s="2">
        <v>0.66319444444444442</v>
      </c>
      <c r="M60" t="s">
        <v>29</v>
      </c>
      <c r="N60" s="1">
        <v>723.5</v>
      </c>
      <c r="O60" s="1">
        <v>4.7619047620000003</v>
      </c>
      <c r="P60" s="1">
        <v>36.174999999999997</v>
      </c>
      <c r="Q60">
        <v>5.4</v>
      </c>
      <c r="R60" s="13">
        <v>43485</v>
      </c>
      <c r="S60">
        <f t="shared" si="0"/>
        <v>1</v>
      </c>
      <c r="T60">
        <f t="shared" si="1"/>
        <v>15</v>
      </c>
      <c r="U60">
        <f t="shared" si="2"/>
        <v>20</v>
      </c>
      <c r="V60" s="13" t="str">
        <f t="shared" si="3"/>
        <v>Sunday</v>
      </c>
    </row>
    <row r="61" spans="1:22" x14ac:dyDescent="0.25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 s="1">
        <v>30.61</v>
      </c>
      <c r="H61">
        <v>6</v>
      </c>
      <c r="I61" s="1">
        <v>9.1829999999999998</v>
      </c>
      <c r="J61" s="1">
        <v>192.84299999999999</v>
      </c>
      <c r="K61" s="3">
        <v>43802</v>
      </c>
      <c r="L61" s="2">
        <v>0.85833333333333328</v>
      </c>
      <c r="M61" t="s">
        <v>29</v>
      </c>
      <c r="N61" s="1">
        <v>183.66</v>
      </c>
      <c r="O61" s="1">
        <v>4.7619047620000003</v>
      </c>
      <c r="P61" s="1">
        <v>9.1829999999999998</v>
      </c>
      <c r="Q61">
        <v>9.3000000000000007</v>
      </c>
      <c r="R61" s="13">
        <v>43536</v>
      </c>
      <c r="S61">
        <f t="shared" si="0"/>
        <v>3</v>
      </c>
      <c r="T61">
        <f t="shared" si="1"/>
        <v>20</v>
      </c>
      <c r="U61">
        <f t="shared" si="2"/>
        <v>12</v>
      </c>
      <c r="V61" s="13" t="str">
        <f t="shared" si="3"/>
        <v>Tuesday</v>
      </c>
    </row>
    <row r="62" spans="1:22" x14ac:dyDescent="0.25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 s="1">
        <v>24.74</v>
      </c>
      <c r="H62">
        <v>3</v>
      </c>
      <c r="I62" s="1">
        <v>3.7109999999999999</v>
      </c>
      <c r="J62" s="1">
        <v>77.930999999999997</v>
      </c>
      <c r="K62" s="3" t="s">
        <v>118</v>
      </c>
      <c r="L62" s="2">
        <v>0.74097222222222225</v>
      </c>
      <c r="M62" t="s">
        <v>33</v>
      </c>
      <c r="N62" s="1">
        <v>74.22</v>
      </c>
      <c r="O62" s="1">
        <v>4.7619047620000003</v>
      </c>
      <c r="P62" s="1">
        <v>3.7109999999999999</v>
      </c>
      <c r="Q62">
        <v>10</v>
      </c>
      <c r="R62" s="13">
        <v>43511</v>
      </c>
      <c r="S62">
        <f t="shared" si="0"/>
        <v>2</v>
      </c>
      <c r="T62">
        <f t="shared" si="1"/>
        <v>17</v>
      </c>
      <c r="U62">
        <f t="shared" si="2"/>
        <v>15</v>
      </c>
      <c r="V62" s="13" t="str">
        <f t="shared" si="3"/>
        <v>Friday</v>
      </c>
    </row>
    <row r="63" spans="1:22" x14ac:dyDescent="0.25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 s="1">
        <v>55.73</v>
      </c>
      <c r="H63">
        <v>6</v>
      </c>
      <c r="I63" s="1">
        <v>16.719000000000001</v>
      </c>
      <c r="J63" s="1">
        <v>351.09899999999999</v>
      </c>
      <c r="K63" s="3" t="s">
        <v>43</v>
      </c>
      <c r="L63" s="2">
        <v>0.4548611111111111</v>
      </c>
      <c r="M63" t="s">
        <v>23</v>
      </c>
      <c r="N63" s="1">
        <v>334.38</v>
      </c>
      <c r="O63" s="1">
        <v>4.7619047620000003</v>
      </c>
      <c r="P63" s="1">
        <v>16.719000000000001</v>
      </c>
      <c r="Q63">
        <v>7</v>
      </c>
      <c r="R63" s="13">
        <v>43520</v>
      </c>
      <c r="S63">
        <f t="shared" si="0"/>
        <v>2</v>
      </c>
      <c r="T63">
        <f t="shared" si="1"/>
        <v>10</v>
      </c>
      <c r="U63">
        <f t="shared" si="2"/>
        <v>24</v>
      </c>
      <c r="V63" s="13" t="str">
        <f t="shared" si="3"/>
        <v>Sunday</v>
      </c>
    </row>
    <row r="64" spans="1:22" x14ac:dyDescent="0.25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 s="1">
        <v>55.07</v>
      </c>
      <c r="H64">
        <v>9</v>
      </c>
      <c r="I64" s="1">
        <v>24.781500000000001</v>
      </c>
      <c r="J64" s="1">
        <v>520.41150000000005</v>
      </c>
      <c r="K64" s="3">
        <v>43526</v>
      </c>
      <c r="L64" s="2">
        <v>0.56944444444444442</v>
      </c>
      <c r="M64" t="s">
        <v>23</v>
      </c>
      <c r="N64" s="1">
        <v>495.63</v>
      </c>
      <c r="O64" s="1">
        <v>4.7619047620000003</v>
      </c>
      <c r="P64" s="1">
        <v>24.781500000000001</v>
      </c>
      <c r="Q64">
        <v>10</v>
      </c>
      <c r="R64" s="13">
        <v>43499</v>
      </c>
      <c r="S64">
        <f t="shared" si="0"/>
        <v>2</v>
      </c>
      <c r="T64">
        <f t="shared" si="1"/>
        <v>13</v>
      </c>
      <c r="U64">
        <f t="shared" si="2"/>
        <v>3</v>
      </c>
      <c r="V64" s="13" t="str">
        <f t="shared" si="3"/>
        <v>Sunday</v>
      </c>
    </row>
    <row r="65" spans="1:22" x14ac:dyDescent="0.25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 s="1">
        <v>15.81</v>
      </c>
      <c r="H65">
        <v>10</v>
      </c>
      <c r="I65" s="1">
        <v>7.9050000000000002</v>
      </c>
      <c r="J65" s="1">
        <v>166.005</v>
      </c>
      <c r="K65" s="3">
        <v>43619</v>
      </c>
      <c r="L65" s="2">
        <v>0.51875000000000004</v>
      </c>
      <c r="M65" t="s">
        <v>33</v>
      </c>
      <c r="N65" s="1">
        <v>158.1</v>
      </c>
      <c r="O65" s="1">
        <v>4.7619047620000003</v>
      </c>
      <c r="P65" s="1">
        <v>7.9050000000000002</v>
      </c>
      <c r="Q65">
        <v>8.6</v>
      </c>
      <c r="R65" s="13">
        <v>43530</v>
      </c>
      <c r="S65">
        <f t="shared" si="0"/>
        <v>3</v>
      </c>
      <c r="T65">
        <f t="shared" si="1"/>
        <v>12</v>
      </c>
      <c r="U65">
        <f t="shared" si="2"/>
        <v>6</v>
      </c>
      <c r="V65" s="13" t="str">
        <f t="shared" si="3"/>
        <v>Wednesday</v>
      </c>
    </row>
    <row r="66" spans="1:22" x14ac:dyDescent="0.25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 s="1">
        <v>75.739999999999995</v>
      </c>
      <c r="H66">
        <v>4</v>
      </c>
      <c r="I66" s="1">
        <v>15.148</v>
      </c>
      <c r="J66" s="1">
        <v>318.108</v>
      </c>
      <c r="K66" s="3" t="s">
        <v>123</v>
      </c>
      <c r="L66" s="2">
        <v>0.60763888888888884</v>
      </c>
      <c r="M66" t="s">
        <v>29</v>
      </c>
      <c r="N66" s="1">
        <v>302.95999999999998</v>
      </c>
      <c r="O66" s="1">
        <v>4.7619047620000003</v>
      </c>
      <c r="P66" s="1">
        <v>15.148</v>
      </c>
      <c r="Q66">
        <v>7.6</v>
      </c>
      <c r="R66" s="13">
        <v>43510</v>
      </c>
      <c r="S66">
        <f t="shared" si="0"/>
        <v>2</v>
      </c>
      <c r="T66">
        <f t="shared" si="1"/>
        <v>14</v>
      </c>
      <c r="U66">
        <f t="shared" si="2"/>
        <v>14</v>
      </c>
      <c r="V66" s="13" t="str">
        <f t="shared" si="3"/>
        <v>Thursday</v>
      </c>
    </row>
    <row r="67" spans="1:22" x14ac:dyDescent="0.25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 s="1">
        <v>15.87</v>
      </c>
      <c r="H67">
        <v>10</v>
      </c>
      <c r="I67" s="1">
        <v>7.9349999999999996</v>
      </c>
      <c r="J67" s="1">
        <v>166.63499999999999</v>
      </c>
      <c r="K67" s="3" t="s">
        <v>125</v>
      </c>
      <c r="L67" s="2">
        <v>0.69444444444444442</v>
      </c>
      <c r="M67" t="s">
        <v>29</v>
      </c>
      <c r="N67" s="1">
        <v>158.69999999999999</v>
      </c>
      <c r="O67" s="1">
        <v>4.7619047620000003</v>
      </c>
      <c r="P67" s="1">
        <v>7.9349999999999996</v>
      </c>
      <c r="Q67">
        <v>5.8</v>
      </c>
      <c r="R67" s="13">
        <v>43537</v>
      </c>
      <c r="S67">
        <f t="shared" ref="S67:S130" si="4">MONTH(R67)</f>
        <v>3</v>
      </c>
      <c r="T67">
        <f t="shared" ref="T67:T130" si="5">HOUR(L67)</f>
        <v>16</v>
      </c>
      <c r="U67">
        <f t="shared" ref="U67:U130" si="6">DAY(R67)</f>
        <v>13</v>
      </c>
      <c r="V67" s="13" t="str">
        <f t="shared" ref="V67:V130" si="7">TEXT(R67,"DDDD")</f>
        <v>Wednesday</v>
      </c>
    </row>
    <row r="68" spans="1:22" x14ac:dyDescent="0.25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 s="1">
        <v>33.47</v>
      </c>
      <c r="H68">
        <v>2</v>
      </c>
      <c r="I68" s="1">
        <v>3.347</v>
      </c>
      <c r="J68" s="1">
        <v>70.287000000000006</v>
      </c>
      <c r="K68" s="3">
        <v>43740</v>
      </c>
      <c r="L68" s="2">
        <v>0.65486111111111112</v>
      </c>
      <c r="M68" t="s">
        <v>23</v>
      </c>
      <c r="N68" s="1">
        <v>66.94</v>
      </c>
      <c r="O68" s="1">
        <v>4.7619047620000003</v>
      </c>
      <c r="P68" s="1">
        <v>3.347</v>
      </c>
      <c r="Q68">
        <v>6.7</v>
      </c>
      <c r="R68" s="13">
        <v>43506</v>
      </c>
      <c r="S68">
        <f t="shared" si="4"/>
        <v>2</v>
      </c>
      <c r="T68">
        <f t="shared" si="5"/>
        <v>15</v>
      </c>
      <c r="U68">
        <f t="shared" si="6"/>
        <v>10</v>
      </c>
      <c r="V68" s="13" t="str">
        <f t="shared" si="7"/>
        <v>Sunday</v>
      </c>
    </row>
    <row r="69" spans="1:22" x14ac:dyDescent="0.25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 s="1">
        <v>97.61</v>
      </c>
      <c r="H69">
        <v>6</v>
      </c>
      <c r="I69" s="1">
        <v>29.283000000000001</v>
      </c>
      <c r="J69" s="1">
        <v>614.94299999999998</v>
      </c>
      <c r="K69" s="3">
        <v>43647</v>
      </c>
      <c r="L69" s="2">
        <v>0.62569444444444444</v>
      </c>
      <c r="M69" t="s">
        <v>23</v>
      </c>
      <c r="N69" s="1">
        <v>585.66</v>
      </c>
      <c r="O69" s="1">
        <v>4.7619047620000003</v>
      </c>
      <c r="P69" s="1">
        <v>29.283000000000001</v>
      </c>
      <c r="Q69">
        <v>9.9</v>
      </c>
      <c r="R69" s="13">
        <v>43472</v>
      </c>
      <c r="S69">
        <f t="shared" si="4"/>
        <v>1</v>
      </c>
      <c r="T69">
        <f t="shared" si="5"/>
        <v>15</v>
      </c>
      <c r="U69">
        <f t="shared" si="6"/>
        <v>7</v>
      </c>
      <c r="V69" s="13" t="str">
        <f t="shared" si="7"/>
        <v>Monday</v>
      </c>
    </row>
    <row r="70" spans="1:22" x14ac:dyDescent="0.25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 s="1">
        <v>78.77</v>
      </c>
      <c r="H70">
        <v>10</v>
      </c>
      <c r="I70" s="1">
        <v>39.384999999999998</v>
      </c>
      <c r="J70" s="1">
        <v>827.08500000000004</v>
      </c>
      <c r="K70" s="3" t="s">
        <v>129</v>
      </c>
      <c r="L70" s="2">
        <v>0.41944444444444445</v>
      </c>
      <c r="M70" t="s">
        <v>29</v>
      </c>
      <c r="N70" s="1">
        <v>787.7</v>
      </c>
      <c r="O70" s="1">
        <v>4.7619047620000003</v>
      </c>
      <c r="P70" s="1">
        <v>39.384999999999998</v>
      </c>
      <c r="Q70">
        <v>6.4</v>
      </c>
      <c r="R70" s="13">
        <v>43489</v>
      </c>
      <c r="S70">
        <f t="shared" si="4"/>
        <v>1</v>
      </c>
      <c r="T70">
        <f t="shared" si="5"/>
        <v>10</v>
      </c>
      <c r="U70">
        <f t="shared" si="6"/>
        <v>24</v>
      </c>
      <c r="V70" s="13" t="str">
        <f t="shared" si="7"/>
        <v>Thursday</v>
      </c>
    </row>
    <row r="71" spans="1:22" x14ac:dyDescent="0.25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1">
        <v>18.329999999999998</v>
      </c>
      <c r="H71">
        <v>1</v>
      </c>
      <c r="I71" s="1">
        <v>0.91649999999999998</v>
      </c>
      <c r="J71" s="1">
        <v>19.246500000000001</v>
      </c>
      <c r="K71" s="3">
        <v>43498</v>
      </c>
      <c r="L71" s="2">
        <v>0.78472222222222221</v>
      </c>
      <c r="M71" t="s">
        <v>29</v>
      </c>
      <c r="N71" s="1">
        <v>18.329999999999998</v>
      </c>
      <c r="O71" s="1">
        <v>4.7619047620000003</v>
      </c>
      <c r="P71" s="1">
        <v>0.91649999999999998</v>
      </c>
      <c r="Q71">
        <v>4.3</v>
      </c>
      <c r="R71" s="13">
        <v>43498</v>
      </c>
      <c r="S71">
        <f t="shared" si="4"/>
        <v>2</v>
      </c>
      <c r="T71">
        <f t="shared" si="5"/>
        <v>18</v>
      </c>
      <c r="U71">
        <f t="shared" si="6"/>
        <v>2</v>
      </c>
      <c r="V71" s="13" t="str">
        <f t="shared" si="7"/>
        <v>Saturday</v>
      </c>
    </row>
    <row r="72" spans="1:22" x14ac:dyDescent="0.25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 s="1">
        <v>89.48</v>
      </c>
      <c r="H72">
        <v>10</v>
      </c>
      <c r="I72" s="1">
        <v>44.74</v>
      </c>
      <c r="J72" s="1">
        <v>939.54</v>
      </c>
      <c r="K72" s="3">
        <v>43617</v>
      </c>
      <c r="L72" s="2">
        <v>0.53194444444444444</v>
      </c>
      <c r="M72" t="s">
        <v>33</v>
      </c>
      <c r="N72" s="1">
        <v>894.8</v>
      </c>
      <c r="O72" s="1">
        <v>4.7619047620000003</v>
      </c>
      <c r="P72" s="1">
        <v>44.74</v>
      </c>
      <c r="Q72">
        <v>9.6</v>
      </c>
      <c r="R72" s="13">
        <v>43471</v>
      </c>
      <c r="S72">
        <f t="shared" si="4"/>
        <v>1</v>
      </c>
      <c r="T72">
        <f t="shared" si="5"/>
        <v>12</v>
      </c>
      <c r="U72">
        <f t="shared" si="6"/>
        <v>6</v>
      </c>
      <c r="V72" s="13" t="str">
        <f t="shared" si="7"/>
        <v>Sunday</v>
      </c>
    </row>
    <row r="73" spans="1:22" x14ac:dyDescent="0.25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 s="1">
        <v>62.12</v>
      </c>
      <c r="H73">
        <v>10</v>
      </c>
      <c r="I73" s="1">
        <v>31.06</v>
      </c>
      <c r="J73" s="1">
        <v>652.26</v>
      </c>
      <c r="K73" s="3">
        <v>43771</v>
      </c>
      <c r="L73" s="2">
        <v>0.67986111111111114</v>
      </c>
      <c r="M73" t="s">
        <v>29</v>
      </c>
      <c r="N73" s="1">
        <v>621.20000000000005</v>
      </c>
      <c r="O73" s="1">
        <v>4.7619047620000003</v>
      </c>
      <c r="P73" s="1">
        <v>31.06</v>
      </c>
      <c r="Q73">
        <v>5.9</v>
      </c>
      <c r="R73" s="13">
        <v>43507</v>
      </c>
      <c r="S73">
        <f t="shared" si="4"/>
        <v>2</v>
      </c>
      <c r="T73">
        <f t="shared" si="5"/>
        <v>16</v>
      </c>
      <c r="U73">
        <f t="shared" si="6"/>
        <v>11</v>
      </c>
      <c r="V73" s="13" t="str">
        <f t="shared" si="7"/>
        <v>Monday</v>
      </c>
    </row>
    <row r="74" spans="1:22" x14ac:dyDescent="0.25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 s="1">
        <v>48.52</v>
      </c>
      <c r="H74">
        <v>3</v>
      </c>
      <c r="I74" s="1">
        <v>7.2779999999999996</v>
      </c>
      <c r="J74" s="1">
        <v>152.83799999999999</v>
      </c>
      <c r="K74" s="3">
        <v>43588</v>
      </c>
      <c r="L74" s="2">
        <v>0.76180555555555551</v>
      </c>
      <c r="M74" t="s">
        <v>23</v>
      </c>
      <c r="N74" s="1">
        <v>145.56</v>
      </c>
      <c r="O74" s="1">
        <v>4.7619047620000003</v>
      </c>
      <c r="P74" s="1">
        <v>7.2779999999999996</v>
      </c>
      <c r="Q74">
        <v>4</v>
      </c>
      <c r="R74" s="13">
        <v>43529</v>
      </c>
      <c r="S74">
        <f t="shared" si="4"/>
        <v>3</v>
      </c>
      <c r="T74">
        <f t="shared" si="5"/>
        <v>18</v>
      </c>
      <c r="U74">
        <f t="shared" si="6"/>
        <v>5</v>
      </c>
      <c r="V74" s="13" t="str">
        <f t="shared" si="7"/>
        <v>Tuesday</v>
      </c>
    </row>
    <row r="75" spans="1:22" x14ac:dyDescent="0.25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 s="1">
        <v>75.91</v>
      </c>
      <c r="H75">
        <v>6</v>
      </c>
      <c r="I75" s="1">
        <v>22.773</v>
      </c>
      <c r="J75" s="1">
        <v>478.233</v>
      </c>
      <c r="K75" s="3">
        <v>43711</v>
      </c>
      <c r="L75" s="2">
        <v>0.76458333333333328</v>
      </c>
      <c r="M75" t="s">
        <v>29</v>
      </c>
      <c r="N75" s="1">
        <v>455.46</v>
      </c>
      <c r="O75" s="1">
        <v>4.7619047620000003</v>
      </c>
      <c r="P75" s="1">
        <v>22.773</v>
      </c>
      <c r="Q75">
        <v>8.6999999999999993</v>
      </c>
      <c r="R75" s="13">
        <v>43533</v>
      </c>
      <c r="S75">
        <f t="shared" si="4"/>
        <v>3</v>
      </c>
      <c r="T75">
        <f t="shared" si="5"/>
        <v>18</v>
      </c>
      <c r="U75">
        <f t="shared" si="6"/>
        <v>9</v>
      </c>
      <c r="V75" s="13" t="str">
        <f t="shared" si="7"/>
        <v>Saturday</v>
      </c>
    </row>
    <row r="76" spans="1:22" x14ac:dyDescent="0.25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 s="1">
        <v>74.67</v>
      </c>
      <c r="H76">
        <v>9</v>
      </c>
      <c r="I76" s="1">
        <v>33.601500000000001</v>
      </c>
      <c r="J76" s="1">
        <v>705.63149999999996</v>
      </c>
      <c r="K76" s="3" t="s">
        <v>136</v>
      </c>
      <c r="L76" s="2">
        <v>0.4548611111111111</v>
      </c>
      <c r="M76" t="s">
        <v>23</v>
      </c>
      <c r="N76" s="1">
        <v>672.03</v>
      </c>
      <c r="O76" s="1">
        <v>4.7619047620000003</v>
      </c>
      <c r="P76" s="1">
        <v>33.601500000000001</v>
      </c>
      <c r="Q76">
        <v>9.4</v>
      </c>
      <c r="R76" s="13">
        <v>43487</v>
      </c>
      <c r="S76">
        <f t="shared" si="4"/>
        <v>1</v>
      </c>
      <c r="T76">
        <f t="shared" si="5"/>
        <v>10</v>
      </c>
      <c r="U76">
        <f t="shared" si="6"/>
        <v>22</v>
      </c>
      <c r="V76" s="13" t="str">
        <f t="shared" si="7"/>
        <v>Tuesday</v>
      </c>
    </row>
    <row r="77" spans="1:22" x14ac:dyDescent="0.25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 s="1">
        <v>41.65</v>
      </c>
      <c r="H77">
        <v>10</v>
      </c>
      <c r="I77" s="1">
        <v>20.824999999999999</v>
      </c>
      <c r="J77" s="1">
        <v>437.32499999999999</v>
      </c>
      <c r="K77" s="3" t="s">
        <v>138</v>
      </c>
      <c r="L77" s="2">
        <v>0.71111111111111114</v>
      </c>
      <c r="M77" t="s">
        <v>33</v>
      </c>
      <c r="N77" s="1">
        <v>416.5</v>
      </c>
      <c r="O77" s="1">
        <v>4.7619047620000003</v>
      </c>
      <c r="P77" s="1">
        <v>20.824999999999999</v>
      </c>
      <c r="Q77">
        <v>5.4</v>
      </c>
      <c r="R77" s="13">
        <v>43478</v>
      </c>
      <c r="S77">
        <f t="shared" si="4"/>
        <v>1</v>
      </c>
      <c r="T77">
        <f t="shared" si="5"/>
        <v>17</v>
      </c>
      <c r="U77">
        <f t="shared" si="6"/>
        <v>13</v>
      </c>
      <c r="V77" s="13" t="str">
        <f t="shared" si="7"/>
        <v>Sunday</v>
      </c>
    </row>
    <row r="78" spans="1:22" x14ac:dyDescent="0.25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 s="1">
        <v>49.04</v>
      </c>
      <c r="H78">
        <v>9</v>
      </c>
      <c r="I78" s="1">
        <v>22.068000000000001</v>
      </c>
      <c r="J78" s="1">
        <v>463.428</v>
      </c>
      <c r="K78" s="3">
        <v>43709</v>
      </c>
      <c r="L78" s="2">
        <v>0.59722222222222221</v>
      </c>
      <c r="M78" t="s">
        <v>33</v>
      </c>
      <c r="N78" s="1">
        <v>441.36</v>
      </c>
      <c r="O78" s="1">
        <v>4.7619047620000003</v>
      </c>
      <c r="P78" s="1">
        <v>22.068000000000001</v>
      </c>
      <c r="Q78">
        <v>8.6</v>
      </c>
      <c r="R78" s="13">
        <v>43474</v>
      </c>
      <c r="S78">
        <f t="shared" si="4"/>
        <v>1</v>
      </c>
      <c r="T78">
        <f t="shared" si="5"/>
        <v>14</v>
      </c>
      <c r="U78">
        <f t="shared" si="6"/>
        <v>9</v>
      </c>
      <c r="V78" s="13" t="str">
        <f t="shared" si="7"/>
        <v>Wednesday</v>
      </c>
    </row>
    <row r="79" spans="1:22" x14ac:dyDescent="0.25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 s="1">
        <v>20.010000000000002</v>
      </c>
      <c r="H79">
        <v>9</v>
      </c>
      <c r="I79" s="1">
        <v>9.0045000000000002</v>
      </c>
      <c r="J79" s="1">
        <v>189.09450000000001</v>
      </c>
      <c r="K79" s="3">
        <v>43800</v>
      </c>
      <c r="L79" s="2">
        <v>0.65833333333333333</v>
      </c>
      <c r="M79" t="s">
        <v>33</v>
      </c>
      <c r="N79" s="1">
        <v>180.09</v>
      </c>
      <c r="O79" s="1">
        <v>4.7619047620000003</v>
      </c>
      <c r="P79" s="1">
        <v>9.0045000000000002</v>
      </c>
      <c r="Q79">
        <v>5.7</v>
      </c>
      <c r="R79" s="13">
        <v>43477</v>
      </c>
      <c r="S79">
        <f t="shared" si="4"/>
        <v>1</v>
      </c>
      <c r="T79">
        <f t="shared" si="5"/>
        <v>15</v>
      </c>
      <c r="U79">
        <f t="shared" si="6"/>
        <v>12</v>
      </c>
      <c r="V79" s="13" t="str">
        <f t="shared" si="7"/>
        <v>Saturday</v>
      </c>
    </row>
    <row r="80" spans="1:22" x14ac:dyDescent="0.25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 s="1">
        <v>78.31</v>
      </c>
      <c r="H80">
        <v>10</v>
      </c>
      <c r="I80" s="1">
        <v>39.155000000000001</v>
      </c>
      <c r="J80" s="1">
        <v>822.255</v>
      </c>
      <c r="K80" s="3">
        <v>43588</v>
      </c>
      <c r="L80" s="2">
        <v>0.68333333333333335</v>
      </c>
      <c r="M80" t="s">
        <v>23</v>
      </c>
      <c r="N80" s="1">
        <v>783.1</v>
      </c>
      <c r="O80" s="1">
        <v>4.7619047620000003</v>
      </c>
      <c r="P80" s="1">
        <v>39.155000000000001</v>
      </c>
      <c r="Q80">
        <v>6.6</v>
      </c>
      <c r="R80" s="13">
        <v>43529</v>
      </c>
      <c r="S80">
        <f t="shared" si="4"/>
        <v>3</v>
      </c>
      <c r="T80">
        <f t="shared" si="5"/>
        <v>16</v>
      </c>
      <c r="U80">
        <f t="shared" si="6"/>
        <v>5</v>
      </c>
      <c r="V80" s="13" t="str">
        <f t="shared" si="7"/>
        <v>Tuesday</v>
      </c>
    </row>
    <row r="81" spans="1:22" x14ac:dyDescent="0.25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 s="1">
        <v>20.38</v>
      </c>
      <c r="H81">
        <v>5</v>
      </c>
      <c r="I81" s="1">
        <v>5.0949999999999998</v>
      </c>
      <c r="J81" s="1">
        <v>106.995</v>
      </c>
      <c r="K81" s="3" t="s">
        <v>136</v>
      </c>
      <c r="L81" s="2">
        <v>0.78888888888888886</v>
      </c>
      <c r="M81" t="s">
        <v>29</v>
      </c>
      <c r="N81" s="1">
        <v>101.9</v>
      </c>
      <c r="O81" s="1">
        <v>4.7619047620000003</v>
      </c>
      <c r="P81" s="1">
        <v>5.0949999999999998</v>
      </c>
      <c r="Q81">
        <v>6</v>
      </c>
      <c r="R81" s="13">
        <v>43487</v>
      </c>
      <c r="S81">
        <f t="shared" si="4"/>
        <v>1</v>
      </c>
      <c r="T81">
        <f t="shared" si="5"/>
        <v>18</v>
      </c>
      <c r="U81">
        <f t="shared" si="6"/>
        <v>22</v>
      </c>
      <c r="V81" s="13" t="str">
        <f t="shared" si="7"/>
        <v>Tuesday</v>
      </c>
    </row>
    <row r="82" spans="1:22" x14ac:dyDescent="0.25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 s="1">
        <v>99.19</v>
      </c>
      <c r="H82">
        <v>6</v>
      </c>
      <c r="I82" s="1">
        <v>29.757000000000001</v>
      </c>
      <c r="J82" s="1">
        <v>624.89700000000005</v>
      </c>
      <c r="K82" s="3" t="s">
        <v>62</v>
      </c>
      <c r="L82" s="2">
        <v>0.61250000000000004</v>
      </c>
      <c r="M82" t="s">
        <v>33</v>
      </c>
      <c r="N82" s="1">
        <v>595.14</v>
      </c>
      <c r="O82" s="1">
        <v>4.7619047620000003</v>
      </c>
      <c r="P82" s="1">
        <v>29.757000000000001</v>
      </c>
      <c r="Q82">
        <v>5.5</v>
      </c>
      <c r="R82" s="13">
        <v>43486</v>
      </c>
      <c r="S82">
        <f t="shared" si="4"/>
        <v>1</v>
      </c>
      <c r="T82">
        <f t="shared" si="5"/>
        <v>14</v>
      </c>
      <c r="U82">
        <f t="shared" si="6"/>
        <v>21</v>
      </c>
      <c r="V82" s="13" t="str">
        <f t="shared" si="7"/>
        <v>Monday</v>
      </c>
    </row>
    <row r="83" spans="1:22" x14ac:dyDescent="0.25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 s="1">
        <v>96.68</v>
      </c>
      <c r="H83">
        <v>3</v>
      </c>
      <c r="I83" s="1">
        <v>14.502000000000001</v>
      </c>
      <c r="J83" s="1">
        <v>304.54199999999997</v>
      </c>
      <c r="K83" s="3" t="s">
        <v>145</v>
      </c>
      <c r="L83" s="2">
        <v>0.8305555555555556</v>
      </c>
      <c r="M83" t="s">
        <v>23</v>
      </c>
      <c r="N83" s="1">
        <v>290.04000000000002</v>
      </c>
      <c r="O83" s="1">
        <v>4.7619047620000003</v>
      </c>
      <c r="P83" s="1">
        <v>14.502000000000001</v>
      </c>
      <c r="Q83">
        <v>6.4</v>
      </c>
      <c r="R83" s="13">
        <v>43491</v>
      </c>
      <c r="S83">
        <f t="shared" si="4"/>
        <v>1</v>
      </c>
      <c r="T83">
        <f t="shared" si="5"/>
        <v>19</v>
      </c>
      <c r="U83">
        <f t="shared" si="6"/>
        <v>26</v>
      </c>
      <c r="V83" s="13" t="str">
        <f t="shared" si="7"/>
        <v>Saturday</v>
      </c>
    </row>
    <row r="84" spans="1:22" x14ac:dyDescent="0.25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 s="1">
        <v>19.25</v>
      </c>
      <c r="H84">
        <v>8</v>
      </c>
      <c r="I84" s="1">
        <v>7.7</v>
      </c>
      <c r="J84" s="1">
        <v>161.69999999999999</v>
      </c>
      <c r="K84" s="3" t="s">
        <v>147</v>
      </c>
      <c r="L84" s="2">
        <v>0.77569444444444446</v>
      </c>
      <c r="M84" t="s">
        <v>23</v>
      </c>
      <c r="N84" s="1">
        <v>154</v>
      </c>
      <c r="O84" s="1">
        <v>4.7619047620000003</v>
      </c>
      <c r="P84" s="1">
        <v>7.7</v>
      </c>
      <c r="Q84">
        <v>6.6</v>
      </c>
      <c r="R84" s="13">
        <v>43488</v>
      </c>
      <c r="S84">
        <f t="shared" si="4"/>
        <v>1</v>
      </c>
      <c r="T84">
        <f t="shared" si="5"/>
        <v>18</v>
      </c>
      <c r="U84">
        <f t="shared" si="6"/>
        <v>23</v>
      </c>
      <c r="V84" s="13" t="str">
        <f t="shared" si="7"/>
        <v>Wednesday</v>
      </c>
    </row>
    <row r="85" spans="1:22" x14ac:dyDescent="0.25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 s="1">
        <v>80.36</v>
      </c>
      <c r="H85">
        <v>4</v>
      </c>
      <c r="I85" s="1">
        <v>16.071999999999999</v>
      </c>
      <c r="J85" s="1">
        <v>337.512</v>
      </c>
      <c r="K85" s="3" t="s">
        <v>149</v>
      </c>
      <c r="L85" s="2">
        <v>0.78125</v>
      </c>
      <c r="M85" t="s">
        <v>33</v>
      </c>
      <c r="N85" s="1">
        <v>321.44</v>
      </c>
      <c r="O85" s="1">
        <v>4.7619047620000003</v>
      </c>
      <c r="P85" s="1">
        <v>16.071999999999999</v>
      </c>
      <c r="Q85">
        <v>8.3000000000000007</v>
      </c>
      <c r="R85" s="13">
        <v>43519</v>
      </c>
      <c r="S85">
        <f t="shared" si="4"/>
        <v>2</v>
      </c>
      <c r="T85">
        <f t="shared" si="5"/>
        <v>18</v>
      </c>
      <c r="U85">
        <f t="shared" si="6"/>
        <v>23</v>
      </c>
      <c r="V85" s="13" t="str">
        <f t="shared" si="7"/>
        <v>Saturday</v>
      </c>
    </row>
    <row r="86" spans="1:22" x14ac:dyDescent="0.25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 s="1">
        <v>48.91</v>
      </c>
      <c r="H86">
        <v>5</v>
      </c>
      <c r="I86" s="1">
        <v>12.227499999999999</v>
      </c>
      <c r="J86" s="1">
        <v>256.77749999999997</v>
      </c>
      <c r="K86" s="3">
        <v>43711</v>
      </c>
      <c r="L86" s="2">
        <v>0.4284722222222222</v>
      </c>
      <c r="M86" t="s">
        <v>29</v>
      </c>
      <c r="N86" s="1">
        <v>244.55</v>
      </c>
      <c r="O86" s="1">
        <v>4.7619047620000003</v>
      </c>
      <c r="P86" s="1">
        <v>12.227499999999999</v>
      </c>
      <c r="Q86">
        <v>6.6</v>
      </c>
      <c r="R86" s="13">
        <v>43533</v>
      </c>
      <c r="S86">
        <f t="shared" si="4"/>
        <v>3</v>
      </c>
      <c r="T86">
        <f t="shared" si="5"/>
        <v>10</v>
      </c>
      <c r="U86">
        <f t="shared" si="6"/>
        <v>9</v>
      </c>
      <c r="V86" s="13" t="str">
        <f t="shared" si="7"/>
        <v>Saturday</v>
      </c>
    </row>
    <row r="87" spans="1:22" x14ac:dyDescent="0.25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 s="1">
        <v>83.06</v>
      </c>
      <c r="H87">
        <v>7</v>
      </c>
      <c r="I87" s="1">
        <v>29.071000000000002</v>
      </c>
      <c r="J87" s="1">
        <v>610.49099999999999</v>
      </c>
      <c r="K87" s="3">
        <v>43588</v>
      </c>
      <c r="L87" s="2">
        <v>0.60486111111111107</v>
      </c>
      <c r="M87" t="s">
        <v>23</v>
      </c>
      <c r="N87" s="1">
        <v>581.41999999999996</v>
      </c>
      <c r="O87" s="1">
        <v>4.7619047620000003</v>
      </c>
      <c r="P87" s="1">
        <v>29.071000000000002</v>
      </c>
      <c r="Q87">
        <v>4</v>
      </c>
      <c r="R87" s="13">
        <v>43529</v>
      </c>
      <c r="S87">
        <f t="shared" si="4"/>
        <v>3</v>
      </c>
      <c r="T87">
        <f t="shared" si="5"/>
        <v>14</v>
      </c>
      <c r="U87">
        <f t="shared" si="6"/>
        <v>5</v>
      </c>
      <c r="V87" s="13" t="str">
        <f t="shared" si="7"/>
        <v>Tuesday</v>
      </c>
    </row>
    <row r="88" spans="1:22" x14ac:dyDescent="0.25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 s="1">
        <v>76.52</v>
      </c>
      <c r="H88">
        <v>5</v>
      </c>
      <c r="I88" s="1">
        <v>19.13</v>
      </c>
      <c r="J88" s="1">
        <v>401.73</v>
      </c>
      <c r="K88" s="3" t="s">
        <v>39</v>
      </c>
      <c r="L88" s="2">
        <v>0.43263888888888891</v>
      </c>
      <c r="M88" t="s">
        <v>29</v>
      </c>
      <c r="N88" s="1">
        <v>382.6</v>
      </c>
      <c r="O88" s="1">
        <v>4.7619047620000003</v>
      </c>
      <c r="P88" s="1">
        <v>19.13</v>
      </c>
      <c r="Q88">
        <v>9.9</v>
      </c>
      <c r="R88" s="13">
        <v>43549</v>
      </c>
      <c r="S88">
        <f t="shared" si="4"/>
        <v>3</v>
      </c>
      <c r="T88">
        <f t="shared" si="5"/>
        <v>10</v>
      </c>
      <c r="U88">
        <f t="shared" si="6"/>
        <v>25</v>
      </c>
      <c r="V88" s="13" t="str">
        <f t="shared" si="7"/>
        <v>Monday</v>
      </c>
    </row>
    <row r="89" spans="1:22" x14ac:dyDescent="0.25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 s="1">
        <v>49.38</v>
      </c>
      <c r="H89">
        <v>7</v>
      </c>
      <c r="I89" s="1">
        <v>17.283000000000001</v>
      </c>
      <c r="J89" s="1">
        <v>362.94299999999998</v>
      </c>
      <c r="K89" s="3" t="s">
        <v>112</v>
      </c>
      <c r="L89" s="2">
        <v>0.85763888888888884</v>
      </c>
      <c r="M89" t="s">
        <v>33</v>
      </c>
      <c r="N89" s="1">
        <v>345.66</v>
      </c>
      <c r="O89" s="1">
        <v>4.7619047620000003</v>
      </c>
      <c r="P89" s="1">
        <v>17.283000000000001</v>
      </c>
      <c r="Q89">
        <v>7.3</v>
      </c>
      <c r="R89" s="13">
        <v>43551</v>
      </c>
      <c r="S89">
        <f t="shared" si="4"/>
        <v>3</v>
      </c>
      <c r="T89">
        <f t="shared" si="5"/>
        <v>20</v>
      </c>
      <c r="U89">
        <f t="shared" si="6"/>
        <v>27</v>
      </c>
      <c r="V89" s="13" t="str">
        <f t="shared" si="7"/>
        <v>Wednesday</v>
      </c>
    </row>
    <row r="90" spans="1:22" x14ac:dyDescent="0.25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 s="1">
        <v>42.47</v>
      </c>
      <c r="H90">
        <v>1</v>
      </c>
      <c r="I90" s="1">
        <v>2.1234999999999999</v>
      </c>
      <c r="J90" s="1">
        <v>44.593499999999999</v>
      </c>
      <c r="K90" s="3">
        <v>43497</v>
      </c>
      <c r="L90" s="2">
        <v>0.70625000000000004</v>
      </c>
      <c r="M90" t="s">
        <v>29</v>
      </c>
      <c r="N90" s="1">
        <v>42.47</v>
      </c>
      <c r="O90" s="1">
        <v>4.7619047620000003</v>
      </c>
      <c r="P90" s="1">
        <v>2.1234999999999999</v>
      </c>
      <c r="Q90">
        <v>5.7</v>
      </c>
      <c r="R90" s="13">
        <v>43467</v>
      </c>
      <c r="S90">
        <f t="shared" si="4"/>
        <v>1</v>
      </c>
      <c r="T90">
        <f t="shared" si="5"/>
        <v>16</v>
      </c>
      <c r="U90">
        <f t="shared" si="6"/>
        <v>2</v>
      </c>
      <c r="V90" s="13" t="str">
        <f t="shared" si="7"/>
        <v>Wednesday</v>
      </c>
    </row>
    <row r="91" spans="1:22" x14ac:dyDescent="0.25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 s="1">
        <v>76.989999999999995</v>
      </c>
      <c r="H91">
        <v>6</v>
      </c>
      <c r="I91" s="1">
        <v>23.097000000000001</v>
      </c>
      <c r="J91" s="1">
        <v>485.03699999999998</v>
      </c>
      <c r="K91" s="3" t="s">
        <v>99</v>
      </c>
      <c r="L91" s="2">
        <v>0.74652777777777779</v>
      </c>
      <c r="M91" t="s">
        <v>29</v>
      </c>
      <c r="N91" s="1">
        <v>461.94</v>
      </c>
      <c r="O91" s="1">
        <v>4.7619047620000003</v>
      </c>
      <c r="P91" s="1">
        <v>23.097000000000001</v>
      </c>
      <c r="Q91">
        <v>6.1</v>
      </c>
      <c r="R91" s="13">
        <v>43523</v>
      </c>
      <c r="S91">
        <f t="shared" si="4"/>
        <v>2</v>
      </c>
      <c r="T91">
        <f t="shared" si="5"/>
        <v>17</v>
      </c>
      <c r="U91">
        <f t="shared" si="6"/>
        <v>27</v>
      </c>
      <c r="V91" s="13" t="str">
        <f t="shared" si="7"/>
        <v>Wednesday</v>
      </c>
    </row>
    <row r="92" spans="1:22" x14ac:dyDescent="0.25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 s="1">
        <v>47.38</v>
      </c>
      <c r="H92">
        <v>4</v>
      </c>
      <c r="I92" s="1">
        <v>9.4760000000000009</v>
      </c>
      <c r="J92" s="1">
        <v>198.99600000000001</v>
      </c>
      <c r="K92" s="3" t="s">
        <v>147</v>
      </c>
      <c r="L92" s="2">
        <v>0.43402777777777779</v>
      </c>
      <c r="M92" t="s">
        <v>29</v>
      </c>
      <c r="N92" s="1">
        <v>189.52</v>
      </c>
      <c r="O92" s="1">
        <v>4.7619047620000003</v>
      </c>
      <c r="P92" s="1">
        <v>9.4760000000000009</v>
      </c>
      <c r="Q92">
        <v>7.1</v>
      </c>
      <c r="R92" s="13">
        <v>43488</v>
      </c>
      <c r="S92">
        <f t="shared" si="4"/>
        <v>1</v>
      </c>
      <c r="T92">
        <f t="shared" si="5"/>
        <v>10</v>
      </c>
      <c r="U92">
        <f t="shared" si="6"/>
        <v>23</v>
      </c>
      <c r="V92" s="13" t="str">
        <f t="shared" si="7"/>
        <v>Wednesday</v>
      </c>
    </row>
    <row r="93" spans="1:22" x14ac:dyDescent="0.25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 s="1">
        <v>44.86</v>
      </c>
      <c r="H93">
        <v>10</v>
      </c>
      <c r="I93" s="1">
        <v>22.43</v>
      </c>
      <c r="J93" s="1">
        <v>471.03</v>
      </c>
      <c r="K93" s="3" t="s">
        <v>145</v>
      </c>
      <c r="L93" s="2">
        <v>0.82916666666666672</v>
      </c>
      <c r="M93" t="s">
        <v>23</v>
      </c>
      <c r="N93" s="1">
        <v>448.6</v>
      </c>
      <c r="O93" s="1">
        <v>4.7619047620000003</v>
      </c>
      <c r="P93" s="1">
        <v>22.43</v>
      </c>
      <c r="Q93">
        <v>8.1999999999999993</v>
      </c>
      <c r="R93" s="13">
        <v>43491</v>
      </c>
      <c r="S93">
        <f t="shared" si="4"/>
        <v>1</v>
      </c>
      <c r="T93">
        <f t="shared" si="5"/>
        <v>19</v>
      </c>
      <c r="U93">
        <f t="shared" si="6"/>
        <v>26</v>
      </c>
      <c r="V93" s="13" t="str">
        <f t="shared" si="7"/>
        <v>Saturday</v>
      </c>
    </row>
    <row r="94" spans="1:22" x14ac:dyDescent="0.25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 s="1">
        <v>21.98</v>
      </c>
      <c r="H94">
        <v>7</v>
      </c>
      <c r="I94" s="1">
        <v>7.6929999999999996</v>
      </c>
      <c r="J94" s="1">
        <v>161.553</v>
      </c>
      <c r="K94" s="3">
        <v>43739</v>
      </c>
      <c r="L94" s="2">
        <v>0.6958333333333333</v>
      </c>
      <c r="M94" t="s">
        <v>23</v>
      </c>
      <c r="N94" s="1">
        <v>153.86000000000001</v>
      </c>
      <c r="O94" s="1">
        <v>4.7619047620000003</v>
      </c>
      <c r="P94" s="1">
        <v>7.6929999999999996</v>
      </c>
      <c r="Q94">
        <v>5.0999999999999996</v>
      </c>
      <c r="R94" s="13">
        <v>43475</v>
      </c>
      <c r="S94">
        <f t="shared" si="4"/>
        <v>1</v>
      </c>
      <c r="T94">
        <f t="shared" si="5"/>
        <v>16</v>
      </c>
      <c r="U94">
        <f t="shared" si="6"/>
        <v>10</v>
      </c>
      <c r="V94" s="13" t="str">
        <f t="shared" si="7"/>
        <v>Thursday</v>
      </c>
    </row>
    <row r="95" spans="1:22" x14ac:dyDescent="0.25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 s="1">
        <v>64.36</v>
      </c>
      <c r="H95">
        <v>9</v>
      </c>
      <c r="I95" s="1">
        <v>28.962</v>
      </c>
      <c r="J95" s="1">
        <v>608.202</v>
      </c>
      <c r="K95" s="3">
        <v>43802</v>
      </c>
      <c r="L95" s="2">
        <v>0.50624999999999998</v>
      </c>
      <c r="M95" t="s">
        <v>33</v>
      </c>
      <c r="N95" s="1">
        <v>579.24</v>
      </c>
      <c r="O95" s="1">
        <v>4.7619047620000003</v>
      </c>
      <c r="P95" s="1">
        <v>28.962</v>
      </c>
      <c r="Q95">
        <v>8.6</v>
      </c>
      <c r="R95" s="13">
        <v>43536</v>
      </c>
      <c r="S95">
        <f t="shared" si="4"/>
        <v>3</v>
      </c>
      <c r="T95">
        <f t="shared" si="5"/>
        <v>12</v>
      </c>
      <c r="U95">
        <f t="shared" si="6"/>
        <v>12</v>
      </c>
      <c r="V95" s="13" t="str">
        <f t="shared" si="7"/>
        <v>Tuesday</v>
      </c>
    </row>
    <row r="96" spans="1:22" x14ac:dyDescent="0.25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 s="1">
        <v>89.75</v>
      </c>
      <c r="H96">
        <v>1</v>
      </c>
      <c r="I96" s="1">
        <v>4.4874999999999998</v>
      </c>
      <c r="J96" s="1">
        <v>94.237499999999997</v>
      </c>
      <c r="K96" s="3">
        <v>43618</v>
      </c>
      <c r="L96" s="2">
        <v>0.83680555555555558</v>
      </c>
      <c r="M96" t="s">
        <v>33</v>
      </c>
      <c r="N96" s="1">
        <v>89.75</v>
      </c>
      <c r="O96" s="1">
        <v>4.7619047620000003</v>
      </c>
      <c r="P96" s="1">
        <v>4.4874999999999998</v>
      </c>
      <c r="Q96">
        <v>6.6</v>
      </c>
      <c r="R96" s="13">
        <v>43502</v>
      </c>
      <c r="S96">
        <f t="shared" si="4"/>
        <v>2</v>
      </c>
      <c r="T96">
        <f t="shared" si="5"/>
        <v>20</v>
      </c>
      <c r="U96">
        <f t="shared" si="6"/>
        <v>6</v>
      </c>
      <c r="V96" s="13" t="str">
        <f t="shared" si="7"/>
        <v>Wednesday</v>
      </c>
    </row>
    <row r="97" spans="1:22" x14ac:dyDescent="0.25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 s="1">
        <v>97.16</v>
      </c>
      <c r="H97">
        <v>1</v>
      </c>
      <c r="I97" s="1">
        <v>4.8579999999999997</v>
      </c>
      <c r="J97" s="1">
        <v>102.018</v>
      </c>
      <c r="K97" s="3">
        <v>43680</v>
      </c>
      <c r="L97" s="2">
        <v>0.85972222222222228</v>
      </c>
      <c r="M97" t="s">
        <v>23</v>
      </c>
      <c r="N97" s="1">
        <v>97.16</v>
      </c>
      <c r="O97" s="1">
        <v>4.7619047620000003</v>
      </c>
      <c r="P97" s="1">
        <v>4.8579999999999997</v>
      </c>
      <c r="Q97">
        <v>7.2</v>
      </c>
      <c r="R97" s="13">
        <v>43532</v>
      </c>
      <c r="S97">
        <f t="shared" si="4"/>
        <v>3</v>
      </c>
      <c r="T97">
        <f t="shared" si="5"/>
        <v>20</v>
      </c>
      <c r="U97">
        <f t="shared" si="6"/>
        <v>8</v>
      </c>
      <c r="V97" s="13" t="str">
        <f t="shared" si="7"/>
        <v>Friday</v>
      </c>
    </row>
    <row r="98" spans="1:22" x14ac:dyDescent="0.25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 s="1">
        <v>87.87</v>
      </c>
      <c r="H98">
        <v>10</v>
      </c>
      <c r="I98" s="1">
        <v>43.935000000000002</v>
      </c>
      <c r="J98" s="1">
        <v>922.63499999999999</v>
      </c>
      <c r="K98" s="3" t="s">
        <v>56</v>
      </c>
      <c r="L98" s="2">
        <v>0.43402777777777779</v>
      </c>
      <c r="M98" t="s">
        <v>23</v>
      </c>
      <c r="N98" s="1">
        <v>878.7</v>
      </c>
      <c r="O98" s="1">
        <v>4.7619047620000003</v>
      </c>
      <c r="P98" s="1">
        <v>43.935000000000002</v>
      </c>
      <c r="Q98">
        <v>5.0999999999999996</v>
      </c>
      <c r="R98" s="13">
        <v>43553</v>
      </c>
      <c r="S98">
        <f t="shared" si="4"/>
        <v>3</v>
      </c>
      <c r="T98">
        <f t="shared" si="5"/>
        <v>10</v>
      </c>
      <c r="U98">
        <f t="shared" si="6"/>
        <v>29</v>
      </c>
      <c r="V98" s="13" t="str">
        <f t="shared" si="7"/>
        <v>Friday</v>
      </c>
    </row>
    <row r="99" spans="1:22" x14ac:dyDescent="0.25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 s="1">
        <v>12.45</v>
      </c>
      <c r="H99">
        <v>6</v>
      </c>
      <c r="I99" s="1">
        <v>3.7349999999999999</v>
      </c>
      <c r="J99" s="1">
        <v>78.435000000000002</v>
      </c>
      <c r="K99" s="3">
        <v>43710</v>
      </c>
      <c r="L99" s="2">
        <v>0.5493055555555556</v>
      </c>
      <c r="M99" t="s">
        <v>29</v>
      </c>
      <c r="N99" s="1">
        <v>74.7</v>
      </c>
      <c r="O99" s="1">
        <v>4.7619047620000003</v>
      </c>
      <c r="P99" s="1">
        <v>3.7349999999999999</v>
      </c>
      <c r="Q99">
        <v>4.0999999999999996</v>
      </c>
      <c r="R99" s="13">
        <v>43505</v>
      </c>
      <c r="S99">
        <f t="shared" si="4"/>
        <v>2</v>
      </c>
      <c r="T99">
        <f t="shared" si="5"/>
        <v>13</v>
      </c>
      <c r="U99">
        <f t="shared" si="6"/>
        <v>9</v>
      </c>
      <c r="V99" s="13" t="str">
        <f t="shared" si="7"/>
        <v>Saturday</v>
      </c>
    </row>
    <row r="100" spans="1:22" x14ac:dyDescent="0.25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 s="1">
        <v>52.75</v>
      </c>
      <c r="H100">
        <v>3</v>
      </c>
      <c r="I100" s="1">
        <v>7.9124999999999996</v>
      </c>
      <c r="J100" s="1">
        <v>166.16249999999999</v>
      </c>
      <c r="K100" s="3" t="s">
        <v>88</v>
      </c>
      <c r="L100" s="2">
        <v>0.42777777777777776</v>
      </c>
      <c r="M100" t="s">
        <v>23</v>
      </c>
      <c r="N100" s="1">
        <v>158.25</v>
      </c>
      <c r="O100" s="1">
        <v>4.7619047620000003</v>
      </c>
      <c r="P100" s="1">
        <v>7.9124999999999996</v>
      </c>
      <c r="Q100">
        <v>9.3000000000000007</v>
      </c>
      <c r="R100" s="13">
        <v>43547</v>
      </c>
      <c r="S100">
        <f t="shared" si="4"/>
        <v>3</v>
      </c>
      <c r="T100">
        <f t="shared" si="5"/>
        <v>10</v>
      </c>
      <c r="U100">
        <f t="shared" si="6"/>
        <v>23</v>
      </c>
      <c r="V100" s="13" t="str">
        <f t="shared" si="7"/>
        <v>Saturday</v>
      </c>
    </row>
    <row r="101" spans="1:22" x14ac:dyDescent="0.25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 s="1">
        <v>82.7</v>
      </c>
      <c r="H101">
        <v>6</v>
      </c>
      <c r="I101" s="1">
        <v>24.81</v>
      </c>
      <c r="J101" s="1">
        <v>521.01</v>
      </c>
      <c r="K101" s="3">
        <v>43588</v>
      </c>
      <c r="L101" s="2">
        <v>0.75972222222222219</v>
      </c>
      <c r="M101" t="s">
        <v>29</v>
      </c>
      <c r="N101" s="1">
        <v>496.2</v>
      </c>
      <c r="O101" s="1">
        <v>4.7619047620000003</v>
      </c>
      <c r="P101" s="1">
        <v>24.81</v>
      </c>
      <c r="Q101">
        <v>7.4</v>
      </c>
      <c r="R101" s="13">
        <v>43529</v>
      </c>
      <c r="S101">
        <f t="shared" si="4"/>
        <v>3</v>
      </c>
      <c r="T101">
        <f t="shared" si="5"/>
        <v>18</v>
      </c>
      <c r="U101">
        <f t="shared" si="6"/>
        <v>5</v>
      </c>
      <c r="V101" s="13" t="str">
        <f t="shared" si="7"/>
        <v>Tuesday</v>
      </c>
    </row>
    <row r="102" spans="1:22" x14ac:dyDescent="0.25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 s="1">
        <v>48.71</v>
      </c>
      <c r="H102">
        <v>1</v>
      </c>
      <c r="I102" s="1">
        <v>2.4355000000000002</v>
      </c>
      <c r="J102" s="1">
        <v>51.145499999999998</v>
      </c>
      <c r="K102" s="3" t="s">
        <v>167</v>
      </c>
      <c r="L102" s="2">
        <v>0.80555555555555558</v>
      </c>
      <c r="M102" t="s">
        <v>29</v>
      </c>
      <c r="N102" s="1">
        <v>48.71</v>
      </c>
      <c r="O102" s="1">
        <v>4.7619047620000003</v>
      </c>
      <c r="P102" s="1">
        <v>2.4355000000000002</v>
      </c>
      <c r="Q102">
        <v>4.0999999999999996</v>
      </c>
      <c r="R102" s="13">
        <v>43550</v>
      </c>
      <c r="S102">
        <f t="shared" si="4"/>
        <v>3</v>
      </c>
      <c r="T102">
        <f t="shared" si="5"/>
        <v>19</v>
      </c>
      <c r="U102">
        <f t="shared" si="6"/>
        <v>26</v>
      </c>
      <c r="V102" s="13" t="str">
        <f t="shared" si="7"/>
        <v>Tuesday</v>
      </c>
    </row>
    <row r="103" spans="1:22" x14ac:dyDescent="0.25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 s="1">
        <v>78.55</v>
      </c>
      <c r="H103">
        <v>9</v>
      </c>
      <c r="I103" s="1">
        <v>35.347499999999997</v>
      </c>
      <c r="J103" s="1">
        <v>742.29750000000001</v>
      </c>
      <c r="K103" s="3">
        <v>43468</v>
      </c>
      <c r="L103" s="2">
        <v>0.55694444444444446</v>
      </c>
      <c r="M103" t="s">
        <v>29</v>
      </c>
      <c r="N103" s="1">
        <v>706.95</v>
      </c>
      <c r="O103" s="1">
        <v>4.7619047620000003</v>
      </c>
      <c r="P103" s="1">
        <v>35.347499999999997</v>
      </c>
      <c r="Q103">
        <v>7.2</v>
      </c>
      <c r="R103" s="13">
        <v>43525</v>
      </c>
      <c r="S103">
        <f t="shared" si="4"/>
        <v>3</v>
      </c>
      <c r="T103">
        <f t="shared" si="5"/>
        <v>13</v>
      </c>
      <c r="U103">
        <f t="shared" si="6"/>
        <v>1</v>
      </c>
      <c r="V103" s="13" t="str">
        <f t="shared" si="7"/>
        <v>Friday</v>
      </c>
    </row>
    <row r="104" spans="1:22" x14ac:dyDescent="0.25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 s="1">
        <v>23.07</v>
      </c>
      <c r="H104">
        <v>9</v>
      </c>
      <c r="I104" s="1">
        <v>10.381500000000001</v>
      </c>
      <c r="J104" s="1">
        <v>218.01150000000001</v>
      </c>
      <c r="K104" s="3">
        <v>43467</v>
      </c>
      <c r="L104" s="2">
        <v>0.47708333333333336</v>
      </c>
      <c r="M104" t="s">
        <v>29</v>
      </c>
      <c r="N104" s="1">
        <v>207.63</v>
      </c>
      <c r="O104" s="1">
        <v>4.7619047620000003</v>
      </c>
      <c r="P104" s="1">
        <v>10.381500000000001</v>
      </c>
      <c r="Q104">
        <v>4.9000000000000004</v>
      </c>
      <c r="R104" s="13">
        <v>43497</v>
      </c>
      <c r="S104">
        <f t="shared" si="4"/>
        <v>2</v>
      </c>
      <c r="T104">
        <f t="shared" si="5"/>
        <v>11</v>
      </c>
      <c r="U104">
        <f t="shared" si="6"/>
        <v>1</v>
      </c>
      <c r="V104" s="13" t="str">
        <f t="shared" si="7"/>
        <v>Friday</v>
      </c>
    </row>
    <row r="105" spans="1:22" x14ac:dyDescent="0.25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 s="1">
        <v>58.26</v>
      </c>
      <c r="H105">
        <v>6</v>
      </c>
      <c r="I105" s="1">
        <v>17.478000000000002</v>
      </c>
      <c r="J105" s="1">
        <v>367.03800000000001</v>
      </c>
      <c r="K105" s="3" t="s">
        <v>171</v>
      </c>
      <c r="L105" s="2">
        <v>0.69722222222222219</v>
      </c>
      <c r="M105" t="s">
        <v>29</v>
      </c>
      <c r="N105" s="1">
        <v>349.56</v>
      </c>
      <c r="O105" s="1">
        <v>4.7619047620000003</v>
      </c>
      <c r="P105" s="1">
        <v>17.478000000000002</v>
      </c>
      <c r="Q105">
        <v>9.9</v>
      </c>
      <c r="R105" s="13">
        <v>43552</v>
      </c>
      <c r="S105">
        <f t="shared" si="4"/>
        <v>3</v>
      </c>
      <c r="T105">
        <f t="shared" si="5"/>
        <v>16</v>
      </c>
      <c r="U105">
        <f t="shared" si="6"/>
        <v>28</v>
      </c>
      <c r="V105" s="13" t="str">
        <f t="shared" si="7"/>
        <v>Thursday</v>
      </c>
    </row>
    <row r="106" spans="1:22" x14ac:dyDescent="0.25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 s="1">
        <v>30.35</v>
      </c>
      <c r="H106">
        <v>7</v>
      </c>
      <c r="I106" s="1">
        <v>10.6225</v>
      </c>
      <c r="J106" s="1">
        <v>223.07249999999999</v>
      </c>
      <c r="K106" s="3" t="s">
        <v>103</v>
      </c>
      <c r="L106" s="2">
        <v>0.7631944444444444</v>
      </c>
      <c r="M106" t="s">
        <v>29</v>
      </c>
      <c r="N106" s="1">
        <v>212.45</v>
      </c>
      <c r="O106" s="1">
        <v>4.7619047620000003</v>
      </c>
      <c r="P106" s="1">
        <v>10.6225</v>
      </c>
      <c r="Q106">
        <v>8</v>
      </c>
      <c r="R106" s="13">
        <v>43543</v>
      </c>
      <c r="S106">
        <f t="shared" si="4"/>
        <v>3</v>
      </c>
      <c r="T106">
        <f t="shared" si="5"/>
        <v>18</v>
      </c>
      <c r="U106">
        <f t="shared" si="6"/>
        <v>19</v>
      </c>
      <c r="V106" s="13" t="str">
        <f t="shared" si="7"/>
        <v>Tuesday</v>
      </c>
    </row>
    <row r="107" spans="1:22" x14ac:dyDescent="0.25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 s="1">
        <v>88.67</v>
      </c>
      <c r="H107">
        <v>10</v>
      </c>
      <c r="I107" s="1">
        <v>44.335000000000001</v>
      </c>
      <c r="J107" s="1">
        <v>931.03499999999997</v>
      </c>
      <c r="K107" s="3">
        <v>43800</v>
      </c>
      <c r="L107" s="2">
        <v>0.61805555555555558</v>
      </c>
      <c r="M107" t="s">
        <v>23</v>
      </c>
      <c r="N107" s="1">
        <v>886.7</v>
      </c>
      <c r="O107" s="1">
        <v>4.7619047620000003</v>
      </c>
      <c r="P107" s="1">
        <v>44.335000000000001</v>
      </c>
      <c r="Q107">
        <v>7.3</v>
      </c>
      <c r="R107" s="13">
        <v>43477</v>
      </c>
      <c r="S107">
        <f t="shared" si="4"/>
        <v>1</v>
      </c>
      <c r="T107">
        <f t="shared" si="5"/>
        <v>14</v>
      </c>
      <c r="U107">
        <f t="shared" si="6"/>
        <v>12</v>
      </c>
      <c r="V107" s="13" t="str">
        <f t="shared" si="7"/>
        <v>Saturday</v>
      </c>
    </row>
    <row r="108" spans="1:22" x14ac:dyDescent="0.25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 s="1">
        <v>27.38</v>
      </c>
      <c r="H108">
        <v>6</v>
      </c>
      <c r="I108" s="1">
        <v>8.2140000000000004</v>
      </c>
      <c r="J108" s="1">
        <v>172.494</v>
      </c>
      <c r="K108" s="3">
        <v>43586</v>
      </c>
      <c r="L108" s="2">
        <v>0.87083333333333335</v>
      </c>
      <c r="M108" t="s">
        <v>33</v>
      </c>
      <c r="N108" s="1">
        <v>164.28</v>
      </c>
      <c r="O108" s="1">
        <v>4.7619047620000003</v>
      </c>
      <c r="P108" s="1">
        <v>8.2140000000000004</v>
      </c>
      <c r="Q108">
        <v>7.9</v>
      </c>
      <c r="R108" s="13">
        <v>43470</v>
      </c>
      <c r="S108">
        <f t="shared" si="4"/>
        <v>1</v>
      </c>
      <c r="T108">
        <f t="shared" si="5"/>
        <v>20</v>
      </c>
      <c r="U108">
        <f t="shared" si="6"/>
        <v>5</v>
      </c>
      <c r="V108" s="13" t="str">
        <f t="shared" si="7"/>
        <v>Saturday</v>
      </c>
    </row>
    <row r="109" spans="1:22" x14ac:dyDescent="0.25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 s="1">
        <v>62.13</v>
      </c>
      <c r="H109">
        <v>6</v>
      </c>
      <c r="I109" s="1">
        <v>18.638999999999999</v>
      </c>
      <c r="J109" s="1">
        <v>391.41899999999998</v>
      </c>
      <c r="K109" s="3" t="s">
        <v>72</v>
      </c>
      <c r="L109" s="2">
        <v>0.84652777777777777</v>
      </c>
      <c r="M109" t="s">
        <v>29</v>
      </c>
      <c r="N109" s="1">
        <v>372.78</v>
      </c>
      <c r="O109" s="1">
        <v>4.7619047620000003</v>
      </c>
      <c r="P109" s="1">
        <v>18.638999999999999</v>
      </c>
      <c r="Q109">
        <v>7.4</v>
      </c>
      <c r="R109" s="13">
        <v>43546</v>
      </c>
      <c r="S109">
        <f t="shared" si="4"/>
        <v>3</v>
      </c>
      <c r="T109">
        <f t="shared" si="5"/>
        <v>20</v>
      </c>
      <c r="U109">
        <f t="shared" si="6"/>
        <v>22</v>
      </c>
      <c r="V109" s="13" t="str">
        <f t="shared" si="7"/>
        <v>Friday</v>
      </c>
    </row>
    <row r="110" spans="1:22" x14ac:dyDescent="0.25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 s="1">
        <v>33.979999999999997</v>
      </c>
      <c r="H110">
        <v>9</v>
      </c>
      <c r="I110" s="1">
        <v>15.291</v>
      </c>
      <c r="J110" s="1">
        <v>321.11099999999999</v>
      </c>
      <c r="K110" s="3" t="s">
        <v>177</v>
      </c>
      <c r="L110" s="2">
        <v>0.4465277777777778</v>
      </c>
      <c r="M110" t="s">
        <v>29</v>
      </c>
      <c r="N110" s="1">
        <v>305.82</v>
      </c>
      <c r="O110" s="1">
        <v>4.7619047620000003</v>
      </c>
      <c r="P110" s="1">
        <v>15.291</v>
      </c>
      <c r="Q110">
        <v>4.2</v>
      </c>
      <c r="R110" s="13">
        <v>43548</v>
      </c>
      <c r="S110">
        <f t="shared" si="4"/>
        <v>3</v>
      </c>
      <c r="T110">
        <f t="shared" si="5"/>
        <v>10</v>
      </c>
      <c r="U110">
        <f t="shared" si="6"/>
        <v>24</v>
      </c>
      <c r="V110" s="13" t="str">
        <f t="shared" si="7"/>
        <v>Sunday</v>
      </c>
    </row>
    <row r="111" spans="1:22" x14ac:dyDescent="0.25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 s="1">
        <v>81.97</v>
      </c>
      <c r="H111">
        <v>10</v>
      </c>
      <c r="I111" s="1">
        <v>40.984999999999999</v>
      </c>
      <c r="J111" s="1">
        <v>860.68499999999995</v>
      </c>
      <c r="K111" s="3">
        <v>43527</v>
      </c>
      <c r="L111" s="2">
        <v>0.60416666666666663</v>
      </c>
      <c r="M111" t="s">
        <v>29</v>
      </c>
      <c r="N111" s="1">
        <v>819.7</v>
      </c>
      <c r="O111" s="1">
        <v>4.7619047620000003</v>
      </c>
      <c r="P111" s="1">
        <v>40.984999999999999</v>
      </c>
      <c r="Q111">
        <v>9.1999999999999993</v>
      </c>
      <c r="R111" s="13">
        <v>43527</v>
      </c>
      <c r="S111">
        <f t="shared" si="4"/>
        <v>3</v>
      </c>
      <c r="T111">
        <f t="shared" si="5"/>
        <v>14</v>
      </c>
      <c r="U111">
        <f t="shared" si="6"/>
        <v>3</v>
      </c>
      <c r="V111" s="13" t="str">
        <f t="shared" si="7"/>
        <v>Sunday</v>
      </c>
    </row>
    <row r="112" spans="1:22" x14ac:dyDescent="0.25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 s="1">
        <v>16.489999999999998</v>
      </c>
      <c r="H112">
        <v>2</v>
      </c>
      <c r="I112" s="1">
        <v>1.649</v>
      </c>
      <c r="J112" s="1">
        <v>34.628999999999998</v>
      </c>
      <c r="K112" s="3">
        <v>43587</v>
      </c>
      <c r="L112" s="2">
        <v>0.48055555555555557</v>
      </c>
      <c r="M112" t="s">
        <v>23</v>
      </c>
      <c r="N112" s="1">
        <v>32.979999999999997</v>
      </c>
      <c r="O112" s="1">
        <v>4.7619047620000003</v>
      </c>
      <c r="P112" s="1">
        <v>1.649</v>
      </c>
      <c r="Q112">
        <v>4.5999999999999996</v>
      </c>
      <c r="R112" s="13">
        <v>43501</v>
      </c>
      <c r="S112">
        <f t="shared" si="4"/>
        <v>2</v>
      </c>
      <c r="T112">
        <f t="shared" si="5"/>
        <v>11</v>
      </c>
      <c r="U112">
        <f t="shared" si="6"/>
        <v>5</v>
      </c>
      <c r="V112" s="13" t="str">
        <f t="shared" si="7"/>
        <v>Tuesday</v>
      </c>
    </row>
    <row r="113" spans="1:22" x14ac:dyDescent="0.25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 s="1">
        <v>98.21</v>
      </c>
      <c r="H113">
        <v>3</v>
      </c>
      <c r="I113" s="1">
        <v>14.7315</v>
      </c>
      <c r="J113" s="1">
        <v>309.36149999999998</v>
      </c>
      <c r="K113" s="3">
        <v>43587</v>
      </c>
      <c r="L113" s="2">
        <v>0.44513888888888886</v>
      </c>
      <c r="M113" t="s">
        <v>33</v>
      </c>
      <c r="N113" s="1">
        <v>294.63</v>
      </c>
      <c r="O113" s="1">
        <v>4.7619047620000003</v>
      </c>
      <c r="P113" s="1">
        <v>14.7315</v>
      </c>
      <c r="Q113">
        <v>7.8</v>
      </c>
      <c r="R113" s="13">
        <v>43501</v>
      </c>
      <c r="S113">
        <f t="shared" si="4"/>
        <v>2</v>
      </c>
      <c r="T113">
        <f t="shared" si="5"/>
        <v>10</v>
      </c>
      <c r="U113">
        <f t="shared" si="6"/>
        <v>5</v>
      </c>
      <c r="V113" s="13" t="str">
        <f t="shared" si="7"/>
        <v>Tuesday</v>
      </c>
    </row>
    <row r="114" spans="1:22" x14ac:dyDescent="0.25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 s="1">
        <v>72.84</v>
      </c>
      <c r="H114">
        <v>7</v>
      </c>
      <c r="I114" s="1">
        <v>25.494</v>
      </c>
      <c r="J114" s="1">
        <v>535.37400000000002</v>
      </c>
      <c r="K114" s="3" t="s">
        <v>118</v>
      </c>
      <c r="L114" s="2">
        <v>0.53055555555555556</v>
      </c>
      <c r="M114" t="s">
        <v>29</v>
      </c>
      <c r="N114" s="1">
        <v>509.88</v>
      </c>
      <c r="O114" s="1">
        <v>4.7619047620000003</v>
      </c>
      <c r="P114" s="1">
        <v>25.494</v>
      </c>
      <c r="Q114">
        <v>8.4</v>
      </c>
      <c r="R114" s="13">
        <v>43511</v>
      </c>
      <c r="S114">
        <f t="shared" si="4"/>
        <v>2</v>
      </c>
      <c r="T114">
        <f t="shared" si="5"/>
        <v>12</v>
      </c>
      <c r="U114">
        <f t="shared" si="6"/>
        <v>15</v>
      </c>
      <c r="V114" s="13" t="str">
        <f t="shared" si="7"/>
        <v>Friday</v>
      </c>
    </row>
    <row r="115" spans="1:22" x14ac:dyDescent="0.25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 s="1">
        <v>58.07</v>
      </c>
      <c r="H115">
        <v>9</v>
      </c>
      <c r="I115" s="1">
        <v>26.131499999999999</v>
      </c>
      <c r="J115" s="1">
        <v>548.76149999999996</v>
      </c>
      <c r="K115" s="3" t="s">
        <v>183</v>
      </c>
      <c r="L115" s="2">
        <v>0.83819444444444446</v>
      </c>
      <c r="M115" t="s">
        <v>23</v>
      </c>
      <c r="N115" s="1">
        <v>522.63</v>
      </c>
      <c r="O115" s="1">
        <v>4.7619047620000003</v>
      </c>
      <c r="P115" s="1">
        <v>26.131499999999999</v>
      </c>
      <c r="Q115">
        <v>4.3</v>
      </c>
      <c r="R115" s="13">
        <v>43484</v>
      </c>
      <c r="S115">
        <f t="shared" si="4"/>
        <v>1</v>
      </c>
      <c r="T115">
        <f t="shared" si="5"/>
        <v>20</v>
      </c>
      <c r="U115">
        <f t="shared" si="6"/>
        <v>19</v>
      </c>
      <c r="V115" s="13" t="str">
        <f t="shared" si="7"/>
        <v>Saturday</v>
      </c>
    </row>
    <row r="116" spans="1:22" x14ac:dyDescent="0.25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 s="1">
        <v>80.790000000000006</v>
      </c>
      <c r="H116">
        <v>9</v>
      </c>
      <c r="I116" s="1">
        <v>36.355499999999999</v>
      </c>
      <c r="J116" s="1">
        <v>763.46550000000002</v>
      </c>
      <c r="K116" s="3">
        <v>43467</v>
      </c>
      <c r="L116" s="2">
        <v>0.85486111111111107</v>
      </c>
      <c r="M116" t="s">
        <v>33</v>
      </c>
      <c r="N116" s="1">
        <v>727.11</v>
      </c>
      <c r="O116" s="1">
        <v>4.7619047620000003</v>
      </c>
      <c r="P116" s="1">
        <v>36.355499999999999</v>
      </c>
      <c r="Q116">
        <v>9.5</v>
      </c>
      <c r="R116" s="13">
        <v>43497</v>
      </c>
      <c r="S116">
        <f t="shared" si="4"/>
        <v>2</v>
      </c>
      <c r="T116">
        <f t="shared" si="5"/>
        <v>20</v>
      </c>
      <c r="U116">
        <f t="shared" si="6"/>
        <v>1</v>
      </c>
      <c r="V116" s="13" t="str">
        <f t="shared" si="7"/>
        <v>Friday</v>
      </c>
    </row>
    <row r="117" spans="1:22" x14ac:dyDescent="0.25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 s="1">
        <v>27.02</v>
      </c>
      <c r="H117">
        <v>3</v>
      </c>
      <c r="I117" s="1">
        <v>4.0529999999999999</v>
      </c>
      <c r="J117" s="1">
        <v>85.113</v>
      </c>
      <c r="K117" s="3">
        <v>43499</v>
      </c>
      <c r="L117" s="2">
        <v>0.54236111111111107</v>
      </c>
      <c r="M117" t="s">
        <v>33</v>
      </c>
      <c r="N117" s="1">
        <v>81.06</v>
      </c>
      <c r="O117" s="1">
        <v>4.7619047620000003</v>
      </c>
      <c r="P117" s="1">
        <v>4.0529999999999999</v>
      </c>
      <c r="Q117">
        <v>7.1</v>
      </c>
      <c r="R117" s="13">
        <v>43526</v>
      </c>
      <c r="S117">
        <f t="shared" si="4"/>
        <v>3</v>
      </c>
      <c r="T117">
        <f t="shared" si="5"/>
        <v>13</v>
      </c>
      <c r="U117">
        <f t="shared" si="6"/>
        <v>2</v>
      </c>
      <c r="V117" s="13" t="str">
        <f t="shared" si="7"/>
        <v>Saturday</v>
      </c>
    </row>
    <row r="118" spans="1:22" x14ac:dyDescent="0.25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 s="1">
        <v>21.94</v>
      </c>
      <c r="H118">
        <v>5</v>
      </c>
      <c r="I118" s="1">
        <v>5.4850000000000003</v>
      </c>
      <c r="J118" s="1">
        <v>115.185</v>
      </c>
      <c r="K118" s="3">
        <v>43588</v>
      </c>
      <c r="L118" s="2">
        <v>0.52013888888888893</v>
      </c>
      <c r="M118" t="s">
        <v>23</v>
      </c>
      <c r="N118" s="1">
        <v>109.7</v>
      </c>
      <c r="O118" s="1">
        <v>4.7619047620000003</v>
      </c>
      <c r="P118" s="1">
        <v>5.4850000000000003</v>
      </c>
      <c r="Q118">
        <v>5.3</v>
      </c>
      <c r="R118" s="13">
        <v>43529</v>
      </c>
      <c r="S118">
        <f t="shared" si="4"/>
        <v>3</v>
      </c>
      <c r="T118">
        <f t="shared" si="5"/>
        <v>12</v>
      </c>
      <c r="U118">
        <f t="shared" si="6"/>
        <v>5</v>
      </c>
      <c r="V118" s="13" t="str">
        <f t="shared" si="7"/>
        <v>Tuesday</v>
      </c>
    </row>
    <row r="119" spans="1:22" x14ac:dyDescent="0.25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 s="1">
        <v>51.36</v>
      </c>
      <c r="H119">
        <v>1</v>
      </c>
      <c r="I119" s="1">
        <v>2.5680000000000001</v>
      </c>
      <c r="J119" s="1">
        <v>53.927999999999997</v>
      </c>
      <c r="K119" s="3" t="s">
        <v>188</v>
      </c>
      <c r="L119" s="2">
        <v>0.6430555555555556</v>
      </c>
      <c r="M119" t="s">
        <v>23</v>
      </c>
      <c r="N119" s="1">
        <v>51.36</v>
      </c>
      <c r="O119" s="1">
        <v>4.7619047620000003</v>
      </c>
      <c r="P119" s="1">
        <v>2.5680000000000001</v>
      </c>
      <c r="Q119">
        <v>5.2</v>
      </c>
      <c r="R119" s="13">
        <v>43481</v>
      </c>
      <c r="S119">
        <f t="shared" si="4"/>
        <v>1</v>
      </c>
      <c r="T119">
        <f t="shared" si="5"/>
        <v>15</v>
      </c>
      <c r="U119">
        <f t="shared" si="6"/>
        <v>16</v>
      </c>
      <c r="V119" s="13" t="str">
        <f t="shared" si="7"/>
        <v>Wednesday</v>
      </c>
    </row>
    <row r="120" spans="1:22" x14ac:dyDescent="0.25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 s="1">
        <v>10.96</v>
      </c>
      <c r="H120">
        <v>10</v>
      </c>
      <c r="I120" s="1">
        <v>5.48</v>
      </c>
      <c r="J120" s="1">
        <v>115.08</v>
      </c>
      <c r="K120" s="3">
        <v>43498</v>
      </c>
      <c r="L120" s="2">
        <v>0.8666666666666667</v>
      </c>
      <c r="M120" t="s">
        <v>23</v>
      </c>
      <c r="N120" s="1">
        <v>109.6</v>
      </c>
      <c r="O120" s="1">
        <v>4.7619047620000003</v>
      </c>
      <c r="P120" s="1">
        <v>5.48</v>
      </c>
      <c r="Q120">
        <v>6</v>
      </c>
      <c r="R120" s="13">
        <v>43498</v>
      </c>
      <c r="S120">
        <f t="shared" si="4"/>
        <v>2</v>
      </c>
      <c r="T120">
        <f t="shared" si="5"/>
        <v>20</v>
      </c>
      <c r="U120">
        <f t="shared" si="6"/>
        <v>2</v>
      </c>
      <c r="V120" s="13" t="str">
        <f t="shared" si="7"/>
        <v>Saturday</v>
      </c>
    </row>
    <row r="121" spans="1:22" x14ac:dyDescent="0.25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 s="1">
        <v>53.44</v>
      </c>
      <c r="H121">
        <v>2</v>
      </c>
      <c r="I121" s="1">
        <v>5.3440000000000003</v>
      </c>
      <c r="J121" s="1">
        <v>112.224</v>
      </c>
      <c r="K121" s="3" t="s">
        <v>115</v>
      </c>
      <c r="L121" s="2">
        <v>0.85972222222222228</v>
      </c>
      <c r="M121" t="s">
        <v>23</v>
      </c>
      <c r="N121" s="1">
        <v>106.88</v>
      </c>
      <c r="O121" s="1">
        <v>4.7619047620000003</v>
      </c>
      <c r="P121" s="1">
        <v>5.3440000000000003</v>
      </c>
      <c r="Q121">
        <v>4.0999999999999996</v>
      </c>
      <c r="R121" s="13">
        <v>43485</v>
      </c>
      <c r="S121">
        <f t="shared" si="4"/>
        <v>1</v>
      </c>
      <c r="T121">
        <f t="shared" si="5"/>
        <v>20</v>
      </c>
      <c r="U121">
        <f t="shared" si="6"/>
        <v>20</v>
      </c>
      <c r="V121" s="13" t="str">
        <f t="shared" si="7"/>
        <v>Sunday</v>
      </c>
    </row>
    <row r="122" spans="1:22" x14ac:dyDescent="0.25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 s="1">
        <v>99.56</v>
      </c>
      <c r="H122">
        <v>8</v>
      </c>
      <c r="I122" s="1">
        <v>39.823999999999998</v>
      </c>
      <c r="J122" s="1">
        <v>836.30399999999997</v>
      </c>
      <c r="K122" s="3" t="s">
        <v>123</v>
      </c>
      <c r="L122" s="2">
        <v>0.7104166666666667</v>
      </c>
      <c r="M122" t="s">
        <v>33</v>
      </c>
      <c r="N122" s="1">
        <v>796.48</v>
      </c>
      <c r="O122" s="1">
        <v>4.7619047620000003</v>
      </c>
      <c r="P122" s="1">
        <v>39.823999999999998</v>
      </c>
      <c r="Q122">
        <v>5.2</v>
      </c>
      <c r="R122" s="13">
        <v>43510</v>
      </c>
      <c r="S122">
        <f t="shared" si="4"/>
        <v>2</v>
      </c>
      <c r="T122">
        <f t="shared" si="5"/>
        <v>17</v>
      </c>
      <c r="U122">
        <f t="shared" si="6"/>
        <v>14</v>
      </c>
      <c r="V122" s="13" t="str">
        <f t="shared" si="7"/>
        <v>Thursday</v>
      </c>
    </row>
    <row r="123" spans="1:22" x14ac:dyDescent="0.25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 s="1">
        <v>57.12</v>
      </c>
      <c r="H123">
        <v>7</v>
      </c>
      <c r="I123" s="1">
        <v>19.992000000000001</v>
      </c>
      <c r="J123" s="1">
        <v>419.83199999999999</v>
      </c>
      <c r="K123" s="3">
        <v>43800</v>
      </c>
      <c r="L123" s="2">
        <v>0.50138888888888888</v>
      </c>
      <c r="M123" t="s">
        <v>33</v>
      </c>
      <c r="N123" s="1">
        <v>399.84</v>
      </c>
      <c r="O123" s="1">
        <v>4.7619047620000003</v>
      </c>
      <c r="P123" s="1">
        <v>19.992000000000001</v>
      </c>
      <c r="Q123">
        <v>6.5</v>
      </c>
      <c r="R123" s="13">
        <v>43477</v>
      </c>
      <c r="S123">
        <f t="shared" si="4"/>
        <v>1</v>
      </c>
      <c r="T123">
        <f t="shared" si="5"/>
        <v>12</v>
      </c>
      <c r="U123">
        <f t="shared" si="6"/>
        <v>12</v>
      </c>
      <c r="V123" s="13" t="str">
        <f t="shared" si="7"/>
        <v>Saturday</v>
      </c>
    </row>
    <row r="124" spans="1:22" x14ac:dyDescent="0.25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 s="1">
        <v>99.96</v>
      </c>
      <c r="H124">
        <v>9</v>
      </c>
      <c r="I124" s="1">
        <v>44.981999999999999</v>
      </c>
      <c r="J124" s="1">
        <v>944.62199999999996</v>
      </c>
      <c r="K124" s="3">
        <v>43711</v>
      </c>
      <c r="L124" s="2">
        <v>0.72638888888888886</v>
      </c>
      <c r="M124" t="s">
        <v>33</v>
      </c>
      <c r="N124" s="1">
        <v>899.64</v>
      </c>
      <c r="O124" s="1">
        <v>4.7619047620000003</v>
      </c>
      <c r="P124" s="1">
        <v>44.981999999999999</v>
      </c>
      <c r="Q124">
        <v>4.2</v>
      </c>
      <c r="R124" s="13">
        <v>43533</v>
      </c>
      <c r="S124">
        <f t="shared" si="4"/>
        <v>3</v>
      </c>
      <c r="T124">
        <f t="shared" si="5"/>
        <v>17</v>
      </c>
      <c r="U124">
        <f t="shared" si="6"/>
        <v>9</v>
      </c>
      <c r="V124" s="13" t="str">
        <f t="shared" si="7"/>
        <v>Saturday</v>
      </c>
    </row>
    <row r="125" spans="1:22" x14ac:dyDescent="0.25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 s="1">
        <v>63.91</v>
      </c>
      <c r="H125">
        <v>8</v>
      </c>
      <c r="I125" s="1">
        <v>25.564</v>
      </c>
      <c r="J125" s="1">
        <v>536.84400000000005</v>
      </c>
      <c r="K125" s="3" t="s">
        <v>125</v>
      </c>
      <c r="L125" s="2">
        <v>0.82777777777777772</v>
      </c>
      <c r="M125" t="s">
        <v>33</v>
      </c>
      <c r="N125" s="1">
        <v>511.28</v>
      </c>
      <c r="O125" s="1">
        <v>4.7619047620000003</v>
      </c>
      <c r="P125" s="1">
        <v>25.564</v>
      </c>
      <c r="Q125">
        <v>4.5999999999999996</v>
      </c>
      <c r="R125" s="13">
        <v>43537</v>
      </c>
      <c r="S125">
        <f t="shared" si="4"/>
        <v>3</v>
      </c>
      <c r="T125">
        <f t="shared" si="5"/>
        <v>19</v>
      </c>
      <c r="U125">
        <f t="shared" si="6"/>
        <v>13</v>
      </c>
      <c r="V125" s="13" t="str">
        <f t="shared" si="7"/>
        <v>Wednesday</v>
      </c>
    </row>
    <row r="126" spans="1:22" x14ac:dyDescent="0.25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 s="1">
        <v>56.47</v>
      </c>
      <c r="H126">
        <v>8</v>
      </c>
      <c r="I126" s="1">
        <v>22.588000000000001</v>
      </c>
      <c r="J126" s="1">
        <v>474.34800000000001</v>
      </c>
      <c r="K126" s="3">
        <v>43711</v>
      </c>
      <c r="L126" s="2">
        <v>0.62291666666666667</v>
      </c>
      <c r="M126" t="s">
        <v>23</v>
      </c>
      <c r="N126" s="1">
        <v>451.76</v>
      </c>
      <c r="O126" s="1">
        <v>4.7619047620000003</v>
      </c>
      <c r="P126" s="1">
        <v>22.588000000000001</v>
      </c>
      <c r="Q126">
        <v>7.3</v>
      </c>
      <c r="R126" s="13">
        <v>43533</v>
      </c>
      <c r="S126">
        <f t="shared" si="4"/>
        <v>3</v>
      </c>
      <c r="T126">
        <f t="shared" si="5"/>
        <v>14</v>
      </c>
      <c r="U126">
        <f t="shared" si="6"/>
        <v>9</v>
      </c>
      <c r="V126" s="13" t="str">
        <f t="shared" si="7"/>
        <v>Saturday</v>
      </c>
    </row>
    <row r="127" spans="1:22" x14ac:dyDescent="0.25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 s="1">
        <v>93.69</v>
      </c>
      <c r="H127">
        <v>7</v>
      </c>
      <c r="I127" s="1">
        <v>32.791499999999999</v>
      </c>
      <c r="J127" s="1">
        <v>688.62149999999997</v>
      </c>
      <c r="K127" s="3">
        <v>43741</v>
      </c>
      <c r="L127" s="2">
        <v>0.78055555555555556</v>
      </c>
      <c r="M127" t="s">
        <v>33</v>
      </c>
      <c r="N127" s="1">
        <v>655.83</v>
      </c>
      <c r="O127" s="1">
        <v>4.7619047620000003</v>
      </c>
      <c r="P127" s="1">
        <v>32.791499999999999</v>
      </c>
      <c r="Q127">
        <v>4.5</v>
      </c>
      <c r="R127" s="13">
        <v>43534</v>
      </c>
      <c r="S127">
        <f t="shared" si="4"/>
        <v>3</v>
      </c>
      <c r="T127">
        <f t="shared" si="5"/>
        <v>18</v>
      </c>
      <c r="U127">
        <f t="shared" si="6"/>
        <v>10</v>
      </c>
      <c r="V127" s="13" t="str">
        <f t="shared" si="7"/>
        <v>Sunday</v>
      </c>
    </row>
    <row r="128" spans="1:22" x14ac:dyDescent="0.25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 s="1">
        <v>32.25</v>
      </c>
      <c r="H128">
        <v>5</v>
      </c>
      <c r="I128" s="1">
        <v>8.0625</v>
      </c>
      <c r="J128" s="1">
        <v>169.3125</v>
      </c>
      <c r="K128" s="3" t="s">
        <v>35</v>
      </c>
      <c r="L128" s="2">
        <v>0.55972222222222223</v>
      </c>
      <c r="M128" t="s">
        <v>29</v>
      </c>
      <c r="N128" s="1">
        <v>161.25</v>
      </c>
      <c r="O128" s="1">
        <v>4.7619047620000003</v>
      </c>
      <c r="P128" s="1">
        <v>8.0625</v>
      </c>
      <c r="Q128">
        <v>9</v>
      </c>
      <c r="R128" s="13">
        <v>43492</v>
      </c>
      <c r="S128">
        <f t="shared" si="4"/>
        <v>1</v>
      </c>
      <c r="T128">
        <f t="shared" si="5"/>
        <v>13</v>
      </c>
      <c r="U128">
        <f t="shared" si="6"/>
        <v>27</v>
      </c>
      <c r="V128" s="13" t="str">
        <f t="shared" si="7"/>
        <v>Sunday</v>
      </c>
    </row>
    <row r="129" spans="1:22" x14ac:dyDescent="0.25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 s="1">
        <v>31.73</v>
      </c>
      <c r="H129">
        <v>9</v>
      </c>
      <c r="I129" s="1">
        <v>14.278499999999999</v>
      </c>
      <c r="J129" s="1">
        <v>299.8485</v>
      </c>
      <c r="K129" s="3">
        <v>43678</v>
      </c>
      <c r="L129" s="2">
        <v>0.67847222222222225</v>
      </c>
      <c r="M129" t="s">
        <v>33</v>
      </c>
      <c r="N129" s="1">
        <v>285.57</v>
      </c>
      <c r="O129" s="1">
        <v>4.7619047620000003</v>
      </c>
      <c r="P129" s="1">
        <v>14.278499999999999</v>
      </c>
      <c r="Q129">
        <v>5.9</v>
      </c>
      <c r="R129" s="13">
        <v>43473</v>
      </c>
      <c r="S129">
        <f t="shared" si="4"/>
        <v>1</v>
      </c>
      <c r="T129">
        <f t="shared" si="5"/>
        <v>16</v>
      </c>
      <c r="U129">
        <f t="shared" si="6"/>
        <v>8</v>
      </c>
      <c r="V129" s="13" t="str">
        <f t="shared" si="7"/>
        <v>Tuesday</v>
      </c>
    </row>
    <row r="130" spans="1:22" x14ac:dyDescent="0.25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 s="1">
        <v>68.540000000000006</v>
      </c>
      <c r="H130">
        <v>8</v>
      </c>
      <c r="I130" s="1">
        <v>27.416</v>
      </c>
      <c r="J130" s="1">
        <v>575.73599999999999</v>
      </c>
      <c r="K130" s="3">
        <v>43678</v>
      </c>
      <c r="L130" s="2">
        <v>0.6645833333333333</v>
      </c>
      <c r="M130" t="s">
        <v>23</v>
      </c>
      <c r="N130" s="1">
        <v>548.32000000000005</v>
      </c>
      <c r="O130" s="1">
        <v>4.7619047620000003</v>
      </c>
      <c r="P130" s="1">
        <v>27.416</v>
      </c>
      <c r="Q130">
        <v>8.5</v>
      </c>
      <c r="R130" s="13">
        <v>43473</v>
      </c>
      <c r="S130">
        <f t="shared" si="4"/>
        <v>1</v>
      </c>
      <c r="T130">
        <f t="shared" si="5"/>
        <v>15</v>
      </c>
      <c r="U130">
        <f t="shared" si="6"/>
        <v>8</v>
      </c>
      <c r="V130" s="13" t="str">
        <f t="shared" si="7"/>
        <v>Tuesday</v>
      </c>
    </row>
    <row r="131" spans="1:22" x14ac:dyDescent="0.25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 s="1">
        <v>90.28</v>
      </c>
      <c r="H131">
        <v>9</v>
      </c>
      <c r="I131" s="1">
        <v>40.625999999999998</v>
      </c>
      <c r="J131" s="1">
        <v>853.14599999999996</v>
      </c>
      <c r="K131" s="3">
        <v>43679</v>
      </c>
      <c r="L131" s="2">
        <v>0.46875</v>
      </c>
      <c r="M131" t="s">
        <v>23</v>
      </c>
      <c r="N131" s="1">
        <v>812.52</v>
      </c>
      <c r="O131" s="1">
        <v>4.7619047620000003</v>
      </c>
      <c r="P131" s="1">
        <v>40.625999999999998</v>
      </c>
      <c r="Q131">
        <v>7.2</v>
      </c>
      <c r="R131" s="13">
        <v>43504</v>
      </c>
      <c r="S131">
        <f t="shared" ref="S131:S194" si="8">MONTH(R131)</f>
        <v>2</v>
      </c>
      <c r="T131">
        <f t="shared" ref="T131:T194" si="9">HOUR(L131)</f>
        <v>11</v>
      </c>
      <c r="U131">
        <f t="shared" ref="U131:U194" si="10">DAY(R131)</f>
        <v>8</v>
      </c>
      <c r="V131" s="13" t="str">
        <f t="shared" ref="V131:V194" si="11">TEXT(R131,"DDDD")</f>
        <v>Friday</v>
      </c>
    </row>
    <row r="132" spans="1:22" x14ac:dyDescent="0.25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 s="1">
        <v>39.619999999999997</v>
      </c>
      <c r="H132">
        <v>7</v>
      </c>
      <c r="I132" s="1">
        <v>13.867000000000001</v>
      </c>
      <c r="J132" s="1">
        <v>291.20699999999999</v>
      </c>
      <c r="K132" s="3" t="s">
        <v>76</v>
      </c>
      <c r="L132" s="2">
        <v>0.5541666666666667</v>
      </c>
      <c r="M132" t="s">
        <v>29</v>
      </c>
      <c r="N132" s="1">
        <v>277.33999999999997</v>
      </c>
      <c r="O132" s="1">
        <v>4.7619047620000003</v>
      </c>
      <c r="P132" s="1">
        <v>13.867000000000001</v>
      </c>
      <c r="Q132">
        <v>7.5</v>
      </c>
      <c r="R132" s="13">
        <v>43490</v>
      </c>
      <c r="S132">
        <f t="shared" si="8"/>
        <v>1</v>
      </c>
      <c r="T132">
        <f t="shared" si="9"/>
        <v>13</v>
      </c>
      <c r="U132">
        <f t="shared" si="10"/>
        <v>25</v>
      </c>
      <c r="V132" s="13" t="str">
        <f t="shared" si="11"/>
        <v>Friday</v>
      </c>
    </row>
    <row r="133" spans="1:22" x14ac:dyDescent="0.25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 s="1">
        <v>92.13</v>
      </c>
      <c r="H133">
        <v>6</v>
      </c>
      <c r="I133" s="1">
        <v>27.638999999999999</v>
      </c>
      <c r="J133" s="1">
        <v>580.41899999999998</v>
      </c>
      <c r="K133" s="3">
        <v>43619</v>
      </c>
      <c r="L133" s="2">
        <v>0.8569444444444444</v>
      </c>
      <c r="M133" t="s">
        <v>29</v>
      </c>
      <c r="N133" s="1">
        <v>552.78</v>
      </c>
      <c r="O133" s="1">
        <v>4.7619047620000003</v>
      </c>
      <c r="P133" s="1">
        <v>27.638999999999999</v>
      </c>
      <c r="Q133">
        <v>8.3000000000000007</v>
      </c>
      <c r="R133" s="13">
        <v>43530</v>
      </c>
      <c r="S133">
        <f t="shared" si="8"/>
        <v>3</v>
      </c>
      <c r="T133">
        <f t="shared" si="9"/>
        <v>20</v>
      </c>
      <c r="U133">
        <f t="shared" si="10"/>
        <v>6</v>
      </c>
      <c r="V133" s="13" t="str">
        <f t="shared" si="11"/>
        <v>Wednesday</v>
      </c>
    </row>
    <row r="134" spans="1:22" x14ac:dyDescent="0.25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 s="1">
        <v>34.840000000000003</v>
      </c>
      <c r="H134">
        <v>4</v>
      </c>
      <c r="I134" s="1">
        <v>6.968</v>
      </c>
      <c r="J134" s="1">
        <v>146.328</v>
      </c>
      <c r="K134" s="3">
        <v>43740</v>
      </c>
      <c r="L134" s="2">
        <v>0.77500000000000002</v>
      </c>
      <c r="M134" t="s">
        <v>29</v>
      </c>
      <c r="N134" s="1">
        <v>139.36000000000001</v>
      </c>
      <c r="O134" s="1">
        <v>4.7619047620000003</v>
      </c>
      <c r="P134" s="1">
        <v>6.968</v>
      </c>
      <c r="Q134">
        <v>7.4</v>
      </c>
      <c r="R134" s="13">
        <v>43506</v>
      </c>
      <c r="S134">
        <f t="shared" si="8"/>
        <v>2</v>
      </c>
      <c r="T134">
        <f t="shared" si="9"/>
        <v>18</v>
      </c>
      <c r="U134">
        <f t="shared" si="10"/>
        <v>10</v>
      </c>
      <c r="V134" s="13" t="str">
        <f t="shared" si="11"/>
        <v>Sunday</v>
      </c>
    </row>
    <row r="135" spans="1:22" x14ac:dyDescent="0.25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 s="1">
        <v>87.45</v>
      </c>
      <c r="H135">
        <v>6</v>
      </c>
      <c r="I135" s="1">
        <v>26.234999999999999</v>
      </c>
      <c r="J135" s="1">
        <v>550.93499999999995</v>
      </c>
      <c r="K135" s="3" t="s">
        <v>69</v>
      </c>
      <c r="L135" s="2">
        <v>0.61111111111111116</v>
      </c>
      <c r="M135" t="s">
        <v>33</v>
      </c>
      <c r="N135" s="1">
        <v>524.70000000000005</v>
      </c>
      <c r="O135" s="1">
        <v>4.7619047620000003</v>
      </c>
      <c r="P135" s="1">
        <v>26.234999999999999</v>
      </c>
      <c r="Q135">
        <v>8.8000000000000007</v>
      </c>
      <c r="R135" s="13">
        <v>43513</v>
      </c>
      <c r="S135">
        <f t="shared" si="8"/>
        <v>2</v>
      </c>
      <c r="T135">
        <f t="shared" si="9"/>
        <v>14</v>
      </c>
      <c r="U135">
        <f t="shared" si="10"/>
        <v>17</v>
      </c>
      <c r="V135" s="13" t="str">
        <f t="shared" si="11"/>
        <v>Sunday</v>
      </c>
    </row>
    <row r="136" spans="1:22" x14ac:dyDescent="0.25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 s="1">
        <v>81.3</v>
      </c>
      <c r="H136">
        <v>6</v>
      </c>
      <c r="I136" s="1">
        <v>24.39</v>
      </c>
      <c r="J136" s="1">
        <v>512.19000000000005</v>
      </c>
      <c r="K136" s="3">
        <v>43680</v>
      </c>
      <c r="L136" s="2">
        <v>0.69652777777777775</v>
      </c>
      <c r="M136" t="s">
        <v>23</v>
      </c>
      <c r="N136" s="1">
        <v>487.8</v>
      </c>
      <c r="O136" s="1">
        <v>4.7619047620000003</v>
      </c>
      <c r="P136" s="1">
        <v>24.39</v>
      </c>
      <c r="Q136">
        <v>5.3</v>
      </c>
      <c r="R136" s="13">
        <v>43532</v>
      </c>
      <c r="S136">
        <f t="shared" si="8"/>
        <v>3</v>
      </c>
      <c r="T136">
        <f t="shared" si="9"/>
        <v>16</v>
      </c>
      <c r="U136">
        <f t="shared" si="10"/>
        <v>8</v>
      </c>
      <c r="V136" s="13" t="str">
        <f t="shared" si="11"/>
        <v>Friday</v>
      </c>
    </row>
    <row r="137" spans="1:22" x14ac:dyDescent="0.25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 s="1">
        <v>90.22</v>
      </c>
      <c r="H137">
        <v>3</v>
      </c>
      <c r="I137" s="1">
        <v>13.532999999999999</v>
      </c>
      <c r="J137" s="1">
        <v>284.19299999999998</v>
      </c>
      <c r="K137" s="3" t="s">
        <v>207</v>
      </c>
      <c r="L137" s="2">
        <v>0.81874999999999998</v>
      </c>
      <c r="M137" t="s">
        <v>29</v>
      </c>
      <c r="N137" s="1">
        <v>270.66000000000003</v>
      </c>
      <c r="O137" s="1">
        <v>4.7619047620000003</v>
      </c>
      <c r="P137" s="1">
        <v>13.532999999999999</v>
      </c>
      <c r="Q137">
        <v>6.2</v>
      </c>
      <c r="R137" s="13">
        <v>43514</v>
      </c>
      <c r="S137">
        <f t="shared" si="8"/>
        <v>2</v>
      </c>
      <c r="T137">
        <f t="shared" si="9"/>
        <v>19</v>
      </c>
      <c r="U137">
        <f t="shared" si="10"/>
        <v>18</v>
      </c>
      <c r="V137" s="13" t="str">
        <f t="shared" si="11"/>
        <v>Monday</v>
      </c>
    </row>
    <row r="138" spans="1:22" x14ac:dyDescent="0.25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 s="1">
        <v>26.31</v>
      </c>
      <c r="H138">
        <v>5</v>
      </c>
      <c r="I138" s="1">
        <v>6.5774999999999997</v>
      </c>
      <c r="J138" s="1">
        <v>138.1275</v>
      </c>
      <c r="K138" s="3" t="s">
        <v>209</v>
      </c>
      <c r="L138" s="2">
        <v>0.87430555555555556</v>
      </c>
      <c r="M138" t="s">
        <v>33</v>
      </c>
      <c r="N138" s="1">
        <v>131.55000000000001</v>
      </c>
      <c r="O138" s="1">
        <v>4.7619047620000003</v>
      </c>
      <c r="P138" s="1">
        <v>6.5774999999999997</v>
      </c>
      <c r="Q138">
        <v>8.8000000000000007</v>
      </c>
      <c r="R138" s="13">
        <v>43483</v>
      </c>
      <c r="S138">
        <f t="shared" si="8"/>
        <v>1</v>
      </c>
      <c r="T138">
        <f t="shared" si="9"/>
        <v>20</v>
      </c>
      <c r="U138">
        <f t="shared" si="10"/>
        <v>18</v>
      </c>
      <c r="V138" s="13" t="str">
        <f t="shared" si="11"/>
        <v>Friday</v>
      </c>
    </row>
    <row r="139" spans="1:22" x14ac:dyDescent="0.25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 s="1">
        <v>34.42</v>
      </c>
      <c r="H139">
        <v>6</v>
      </c>
      <c r="I139" s="1">
        <v>10.326000000000001</v>
      </c>
      <c r="J139" s="1">
        <v>216.846</v>
      </c>
      <c r="K139" s="3" t="s">
        <v>207</v>
      </c>
      <c r="L139" s="2">
        <v>0.65208333333333335</v>
      </c>
      <c r="M139" t="s">
        <v>29</v>
      </c>
      <c r="N139" s="1">
        <v>206.52</v>
      </c>
      <c r="O139" s="1">
        <v>4.7619047620000003</v>
      </c>
      <c r="P139" s="1">
        <v>10.326000000000001</v>
      </c>
      <c r="Q139">
        <v>9.8000000000000007</v>
      </c>
      <c r="R139" s="13">
        <v>43514</v>
      </c>
      <c r="S139">
        <f t="shared" si="8"/>
        <v>2</v>
      </c>
      <c r="T139">
        <f t="shared" si="9"/>
        <v>15</v>
      </c>
      <c r="U139">
        <f t="shared" si="10"/>
        <v>18</v>
      </c>
      <c r="V139" s="13" t="str">
        <f t="shared" si="11"/>
        <v>Monday</v>
      </c>
    </row>
    <row r="140" spans="1:22" x14ac:dyDescent="0.25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 s="1">
        <v>51.91</v>
      </c>
      <c r="H140">
        <v>10</v>
      </c>
      <c r="I140" s="1">
        <v>25.954999999999998</v>
      </c>
      <c r="J140" s="1">
        <v>545.05499999999995</v>
      </c>
      <c r="K140" s="3" t="s">
        <v>212</v>
      </c>
      <c r="L140" s="2">
        <v>0.51458333333333328</v>
      </c>
      <c r="M140" t="s">
        <v>29</v>
      </c>
      <c r="N140" s="1">
        <v>519.1</v>
      </c>
      <c r="O140" s="1">
        <v>4.7619047620000003</v>
      </c>
      <c r="P140" s="1">
        <v>25.954999999999998</v>
      </c>
      <c r="Q140">
        <v>8.1999999999999993</v>
      </c>
      <c r="R140" s="13">
        <v>43512</v>
      </c>
      <c r="S140">
        <f t="shared" si="8"/>
        <v>2</v>
      </c>
      <c r="T140">
        <f t="shared" si="9"/>
        <v>12</v>
      </c>
      <c r="U140">
        <f t="shared" si="10"/>
        <v>16</v>
      </c>
      <c r="V140" s="13" t="str">
        <f t="shared" si="11"/>
        <v>Saturday</v>
      </c>
    </row>
    <row r="141" spans="1:22" x14ac:dyDescent="0.25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 s="1">
        <v>72.5</v>
      </c>
      <c r="H141">
        <v>8</v>
      </c>
      <c r="I141" s="1">
        <v>29</v>
      </c>
      <c r="J141" s="1">
        <v>609</v>
      </c>
      <c r="K141" s="3" t="s">
        <v>96</v>
      </c>
      <c r="L141" s="2">
        <v>0.80902777777777779</v>
      </c>
      <c r="M141" t="s">
        <v>23</v>
      </c>
      <c r="N141" s="1">
        <v>580</v>
      </c>
      <c r="O141" s="1">
        <v>4.7619047620000003</v>
      </c>
      <c r="P141" s="1">
        <v>29</v>
      </c>
      <c r="Q141">
        <v>9.1999999999999993</v>
      </c>
      <c r="R141" s="13">
        <v>43540</v>
      </c>
      <c r="S141">
        <f t="shared" si="8"/>
        <v>3</v>
      </c>
      <c r="T141">
        <f t="shared" si="9"/>
        <v>19</v>
      </c>
      <c r="U141">
        <f t="shared" si="10"/>
        <v>16</v>
      </c>
      <c r="V141" s="13" t="str">
        <f t="shared" si="11"/>
        <v>Saturday</v>
      </c>
    </row>
    <row r="142" spans="1:22" x14ac:dyDescent="0.25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 s="1">
        <v>89.8</v>
      </c>
      <c r="H142">
        <v>10</v>
      </c>
      <c r="I142" s="1">
        <v>44.9</v>
      </c>
      <c r="J142" s="1">
        <v>942.9</v>
      </c>
      <c r="K142" s="3" t="s">
        <v>147</v>
      </c>
      <c r="L142" s="2">
        <v>0.54166666666666663</v>
      </c>
      <c r="M142" t="s">
        <v>33</v>
      </c>
      <c r="N142" s="1">
        <v>898</v>
      </c>
      <c r="O142" s="1">
        <v>4.7619047620000003</v>
      </c>
      <c r="P142" s="1">
        <v>44.9</v>
      </c>
      <c r="Q142">
        <v>5.4</v>
      </c>
      <c r="R142" s="13">
        <v>43488</v>
      </c>
      <c r="S142">
        <f t="shared" si="8"/>
        <v>1</v>
      </c>
      <c r="T142">
        <f t="shared" si="9"/>
        <v>13</v>
      </c>
      <c r="U142">
        <f t="shared" si="10"/>
        <v>23</v>
      </c>
      <c r="V142" s="13" t="str">
        <f t="shared" si="11"/>
        <v>Wednesday</v>
      </c>
    </row>
    <row r="143" spans="1:22" x14ac:dyDescent="0.25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 s="1">
        <v>90.5</v>
      </c>
      <c r="H143">
        <v>10</v>
      </c>
      <c r="I143" s="1">
        <v>45.25</v>
      </c>
      <c r="J143" s="1">
        <v>950.25</v>
      </c>
      <c r="K143" s="3" t="s">
        <v>76</v>
      </c>
      <c r="L143" s="2">
        <v>0.57499999999999996</v>
      </c>
      <c r="M143" t="s">
        <v>29</v>
      </c>
      <c r="N143" s="1">
        <v>905</v>
      </c>
      <c r="O143" s="1">
        <v>4.7619047620000003</v>
      </c>
      <c r="P143" s="1">
        <v>45.25</v>
      </c>
      <c r="Q143">
        <v>8.1</v>
      </c>
      <c r="R143" s="13">
        <v>43490</v>
      </c>
      <c r="S143">
        <f t="shared" si="8"/>
        <v>1</v>
      </c>
      <c r="T143">
        <f t="shared" si="9"/>
        <v>13</v>
      </c>
      <c r="U143">
        <f t="shared" si="10"/>
        <v>25</v>
      </c>
      <c r="V143" s="13" t="str">
        <f t="shared" si="11"/>
        <v>Friday</v>
      </c>
    </row>
    <row r="144" spans="1:22" x14ac:dyDescent="0.25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 s="1">
        <v>68.599999999999994</v>
      </c>
      <c r="H144">
        <v>10</v>
      </c>
      <c r="I144" s="1">
        <v>34.299999999999997</v>
      </c>
      <c r="J144" s="1">
        <v>720.3</v>
      </c>
      <c r="K144" s="3">
        <v>43587</v>
      </c>
      <c r="L144" s="2">
        <v>0.83125000000000004</v>
      </c>
      <c r="M144" t="s">
        <v>29</v>
      </c>
      <c r="N144" s="1">
        <v>686</v>
      </c>
      <c r="O144" s="1">
        <v>4.7619047620000003</v>
      </c>
      <c r="P144" s="1">
        <v>34.299999999999997</v>
      </c>
      <c r="Q144">
        <v>9.1</v>
      </c>
      <c r="R144" s="13">
        <v>43501</v>
      </c>
      <c r="S144">
        <f t="shared" si="8"/>
        <v>2</v>
      </c>
      <c r="T144">
        <f t="shared" si="9"/>
        <v>19</v>
      </c>
      <c r="U144">
        <f t="shared" si="10"/>
        <v>5</v>
      </c>
      <c r="V144" s="13" t="str">
        <f t="shared" si="11"/>
        <v>Tuesday</v>
      </c>
    </row>
    <row r="145" spans="1:22" x14ac:dyDescent="0.25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 s="1">
        <v>30.41</v>
      </c>
      <c r="H145">
        <v>1</v>
      </c>
      <c r="I145" s="1">
        <v>1.5205</v>
      </c>
      <c r="J145" s="1">
        <v>31.930499999999999</v>
      </c>
      <c r="K145" s="3" t="s">
        <v>218</v>
      </c>
      <c r="L145" s="2">
        <v>0.44166666666666665</v>
      </c>
      <c r="M145" t="s">
        <v>33</v>
      </c>
      <c r="N145" s="1">
        <v>30.41</v>
      </c>
      <c r="O145" s="1">
        <v>4.7619047620000003</v>
      </c>
      <c r="P145" s="1">
        <v>1.5205</v>
      </c>
      <c r="Q145">
        <v>8.4</v>
      </c>
      <c r="R145" s="13">
        <v>43518</v>
      </c>
      <c r="S145">
        <f t="shared" si="8"/>
        <v>2</v>
      </c>
      <c r="T145">
        <f t="shared" si="9"/>
        <v>10</v>
      </c>
      <c r="U145">
        <f t="shared" si="10"/>
        <v>22</v>
      </c>
      <c r="V145" s="13" t="str">
        <f t="shared" si="11"/>
        <v>Friday</v>
      </c>
    </row>
    <row r="146" spans="1:22" x14ac:dyDescent="0.25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 s="1">
        <v>77.95</v>
      </c>
      <c r="H146">
        <v>6</v>
      </c>
      <c r="I146" s="1">
        <v>23.385000000000002</v>
      </c>
      <c r="J146" s="1">
        <v>491.08499999999998</v>
      </c>
      <c r="K146" s="3" t="s">
        <v>62</v>
      </c>
      <c r="L146" s="2">
        <v>0.69236111111111109</v>
      </c>
      <c r="M146" t="s">
        <v>23</v>
      </c>
      <c r="N146" s="1">
        <v>467.7</v>
      </c>
      <c r="O146" s="1">
        <v>4.7619047620000003</v>
      </c>
      <c r="P146" s="1">
        <v>23.385000000000002</v>
      </c>
      <c r="Q146">
        <v>8</v>
      </c>
      <c r="R146" s="13">
        <v>43486</v>
      </c>
      <c r="S146">
        <f t="shared" si="8"/>
        <v>1</v>
      </c>
      <c r="T146">
        <f t="shared" si="9"/>
        <v>16</v>
      </c>
      <c r="U146">
        <f t="shared" si="10"/>
        <v>21</v>
      </c>
      <c r="V146" s="13" t="str">
        <f t="shared" si="11"/>
        <v>Monday</v>
      </c>
    </row>
    <row r="147" spans="1:22" x14ac:dyDescent="0.25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 s="1">
        <v>46.26</v>
      </c>
      <c r="H147">
        <v>6</v>
      </c>
      <c r="I147" s="1">
        <v>13.878</v>
      </c>
      <c r="J147" s="1">
        <v>291.43799999999999</v>
      </c>
      <c r="K147" s="3">
        <v>43680</v>
      </c>
      <c r="L147" s="2">
        <v>0.71597222222222223</v>
      </c>
      <c r="M147" t="s">
        <v>33</v>
      </c>
      <c r="N147" s="1">
        <v>277.56</v>
      </c>
      <c r="O147" s="1">
        <v>4.7619047620000003</v>
      </c>
      <c r="P147" s="1">
        <v>13.878</v>
      </c>
      <c r="Q147">
        <v>9.5</v>
      </c>
      <c r="R147" s="13">
        <v>43532</v>
      </c>
      <c r="S147">
        <f t="shared" si="8"/>
        <v>3</v>
      </c>
      <c r="T147">
        <f t="shared" si="9"/>
        <v>17</v>
      </c>
      <c r="U147">
        <f t="shared" si="10"/>
        <v>8</v>
      </c>
      <c r="V147" s="13" t="str">
        <f t="shared" si="11"/>
        <v>Friday</v>
      </c>
    </row>
    <row r="148" spans="1:22" x14ac:dyDescent="0.25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 s="1">
        <v>30.14</v>
      </c>
      <c r="H148">
        <v>10</v>
      </c>
      <c r="I148" s="1">
        <v>15.07</v>
      </c>
      <c r="J148" s="1">
        <v>316.47000000000003</v>
      </c>
      <c r="K148" s="3">
        <v>43740</v>
      </c>
      <c r="L148" s="2">
        <v>0.51944444444444449</v>
      </c>
      <c r="M148" t="s">
        <v>23</v>
      </c>
      <c r="N148" s="1">
        <v>301.39999999999998</v>
      </c>
      <c r="O148" s="1">
        <v>4.7619047620000003</v>
      </c>
      <c r="P148" s="1">
        <v>15.07</v>
      </c>
      <c r="Q148">
        <v>9.1999999999999993</v>
      </c>
      <c r="R148" s="13">
        <v>43506</v>
      </c>
      <c r="S148">
        <f t="shared" si="8"/>
        <v>2</v>
      </c>
      <c r="T148">
        <f t="shared" si="9"/>
        <v>12</v>
      </c>
      <c r="U148">
        <f t="shared" si="10"/>
        <v>10</v>
      </c>
      <c r="V148" s="13" t="str">
        <f t="shared" si="11"/>
        <v>Sunday</v>
      </c>
    </row>
    <row r="149" spans="1:22" x14ac:dyDescent="0.25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 s="1">
        <v>66.14</v>
      </c>
      <c r="H149">
        <v>4</v>
      </c>
      <c r="I149" s="1">
        <v>13.228</v>
      </c>
      <c r="J149" s="1">
        <v>277.78800000000001</v>
      </c>
      <c r="K149" s="3" t="s">
        <v>103</v>
      </c>
      <c r="L149" s="2">
        <v>0.53194444444444444</v>
      </c>
      <c r="M149" t="s">
        <v>33</v>
      </c>
      <c r="N149" s="1">
        <v>264.56</v>
      </c>
      <c r="O149" s="1">
        <v>4.7619047620000003</v>
      </c>
      <c r="P149" s="1">
        <v>13.228</v>
      </c>
      <c r="Q149">
        <v>5.6</v>
      </c>
      <c r="R149" s="13">
        <v>43543</v>
      </c>
      <c r="S149">
        <f t="shared" si="8"/>
        <v>3</v>
      </c>
      <c r="T149">
        <f t="shared" si="9"/>
        <v>12</v>
      </c>
      <c r="U149">
        <f t="shared" si="10"/>
        <v>19</v>
      </c>
      <c r="V149" s="13" t="str">
        <f t="shared" si="11"/>
        <v>Tuesday</v>
      </c>
    </row>
    <row r="150" spans="1:22" x14ac:dyDescent="0.25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 s="1">
        <v>71.86</v>
      </c>
      <c r="H150">
        <v>8</v>
      </c>
      <c r="I150" s="1">
        <v>28.744</v>
      </c>
      <c r="J150" s="1">
        <v>603.62400000000002</v>
      </c>
      <c r="K150" s="3">
        <v>43619</v>
      </c>
      <c r="L150" s="2">
        <v>0.62986111111111109</v>
      </c>
      <c r="M150" t="s">
        <v>33</v>
      </c>
      <c r="N150" s="1">
        <v>574.88</v>
      </c>
      <c r="O150" s="1">
        <v>4.7619047620000003</v>
      </c>
      <c r="P150" s="1">
        <v>28.744</v>
      </c>
      <c r="Q150">
        <v>6.2</v>
      </c>
      <c r="R150" s="13">
        <v>43530</v>
      </c>
      <c r="S150">
        <f t="shared" si="8"/>
        <v>3</v>
      </c>
      <c r="T150">
        <f t="shared" si="9"/>
        <v>15</v>
      </c>
      <c r="U150">
        <f t="shared" si="10"/>
        <v>6</v>
      </c>
      <c r="V150" s="13" t="str">
        <f t="shared" si="11"/>
        <v>Wednesday</v>
      </c>
    </row>
    <row r="151" spans="1:22" x14ac:dyDescent="0.25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 s="1">
        <v>32.46</v>
      </c>
      <c r="H151">
        <v>8</v>
      </c>
      <c r="I151" s="1">
        <v>12.984</v>
      </c>
      <c r="J151" s="1">
        <v>272.66399999999999</v>
      </c>
      <c r="K151" s="3" t="s">
        <v>112</v>
      </c>
      <c r="L151" s="2">
        <v>0.57499999999999996</v>
      </c>
      <c r="M151" t="s">
        <v>33</v>
      </c>
      <c r="N151" s="1">
        <v>259.68</v>
      </c>
      <c r="O151" s="1">
        <v>4.7619047620000003</v>
      </c>
      <c r="P151" s="1">
        <v>12.984</v>
      </c>
      <c r="Q151">
        <v>4.9000000000000004</v>
      </c>
      <c r="R151" s="13">
        <v>43551</v>
      </c>
      <c r="S151">
        <f t="shared" si="8"/>
        <v>3</v>
      </c>
      <c r="T151">
        <f t="shared" si="9"/>
        <v>13</v>
      </c>
      <c r="U151">
        <f t="shared" si="10"/>
        <v>27</v>
      </c>
      <c r="V151" s="13" t="str">
        <f t="shared" si="11"/>
        <v>Wednesday</v>
      </c>
    </row>
    <row r="152" spans="1:22" x14ac:dyDescent="0.25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 s="1">
        <v>91.54</v>
      </c>
      <c r="H152">
        <v>4</v>
      </c>
      <c r="I152" s="1">
        <v>18.308</v>
      </c>
      <c r="J152" s="1">
        <v>384.46800000000002</v>
      </c>
      <c r="K152" s="3" t="s">
        <v>88</v>
      </c>
      <c r="L152" s="2">
        <v>0.80555555555555558</v>
      </c>
      <c r="M152" t="s">
        <v>33</v>
      </c>
      <c r="N152" s="1">
        <v>366.16</v>
      </c>
      <c r="O152" s="1">
        <v>4.7619047620000003</v>
      </c>
      <c r="P152" s="1">
        <v>18.308</v>
      </c>
      <c r="Q152">
        <v>4.8</v>
      </c>
      <c r="R152" s="13">
        <v>43547</v>
      </c>
      <c r="S152">
        <f t="shared" si="8"/>
        <v>3</v>
      </c>
      <c r="T152">
        <f t="shared" si="9"/>
        <v>19</v>
      </c>
      <c r="U152">
        <f t="shared" si="10"/>
        <v>23</v>
      </c>
      <c r="V152" s="13" t="str">
        <f t="shared" si="11"/>
        <v>Saturday</v>
      </c>
    </row>
    <row r="153" spans="1:22" x14ac:dyDescent="0.25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 s="1">
        <v>34.56</v>
      </c>
      <c r="H153">
        <v>7</v>
      </c>
      <c r="I153" s="1">
        <v>12.096</v>
      </c>
      <c r="J153" s="1">
        <v>254.01599999999999</v>
      </c>
      <c r="K153" s="3">
        <v>43772</v>
      </c>
      <c r="L153" s="2">
        <v>0.67152777777777772</v>
      </c>
      <c r="M153" t="s">
        <v>33</v>
      </c>
      <c r="N153" s="1">
        <v>241.92</v>
      </c>
      <c r="O153" s="1">
        <v>4.7619047620000003</v>
      </c>
      <c r="P153" s="1">
        <v>12.096</v>
      </c>
      <c r="Q153">
        <v>7.3</v>
      </c>
      <c r="R153" s="13">
        <v>43535</v>
      </c>
      <c r="S153">
        <f t="shared" si="8"/>
        <v>3</v>
      </c>
      <c r="T153">
        <f t="shared" si="9"/>
        <v>16</v>
      </c>
      <c r="U153">
        <f t="shared" si="10"/>
        <v>11</v>
      </c>
      <c r="V153" s="13" t="str">
        <f t="shared" si="11"/>
        <v>Monday</v>
      </c>
    </row>
    <row r="154" spans="1:22" x14ac:dyDescent="0.25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 s="1">
        <v>83.24</v>
      </c>
      <c r="H154">
        <v>9</v>
      </c>
      <c r="I154" s="1">
        <v>37.457999999999998</v>
      </c>
      <c r="J154" s="1">
        <v>786.61800000000005</v>
      </c>
      <c r="K154" s="3" t="s">
        <v>228</v>
      </c>
      <c r="L154" s="2">
        <v>0.49722222222222223</v>
      </c>
      <c r="M154" t="s">
        <v>33</v>
      </c>
      <c r="N154" s="1">
        <v>749.16</v>
      </c>
      <c r="O154" s="1">
        <v>4.7619047620000003</v>
      </c>
      <c r="P154" s="1">
        <v>37.457999999999998</v>
      </c>
      <c r="Q154">
        <v>7.4</v>
      </c>
      <c r="R154" s="13">
        <v>43494</v>
      </c>
      <c r="S154">
        <f t="shared" si="8"/>
        <v>1</v>
      </c>
      <c r="T154">
        <f t="shared" si="9"/>
        <v>11</v>
      </c>
      <c r="U154">
        <f t="shared" si="10"/>
        <v>29</v>
      </c>
      <c r="V154" s="13" t="str">
        <f t="shared" si="11"/>
        <v>Tuesday</v>
      </c>
    </row>
    <row r="155" spans="1:22" x14ac:dyDescent="0.25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 s="1">
        <v>16.48</v>
      </c>
      <c r="H155">
        <v>6</v>
      </c>
      <c r="I155" s="1">
        <v>4.944</v>
      </c>
      <c r="J155" s="1">
        <v>103.824</v>
      </c>
      <c r="K155" s="3">
        <v>43648</v>
      </c>
      <c r="L155" s="2">
        <v>0.76597222222222228</v>
      </c>
      <c r="M155" t="s">
        <v>23</v>
      </c>
      <c r="N155" s="1">
        <v>98.88</v>
      </c>
      <c r="O155" s="1">
        <v>4.7619047620000003</v>
      </c>
      <c r="P155" s="1">
        <v>4.944</v>
      </c>
      <c r="Q155">
        <v>9.9</v>
      </c>
      <c r="R155" s="13">
        <v>43503</v>
      </c>
      <c r="S155">
        <f t="shared" si="8"/>
        <v>2</v>
      </c>
      <c r="T155">
        <f t="shared" si="9"/>
        <v>18</v>
      </c>
      <c r="U155">
        <f t="shared" si="10"/>
        <v>7</v>
      </c>
      <c r="V155" s="13" t="str">
        <f t="shared" si="11"/>
        <v>Thursday</v>
      </c>
    </row>
    <row r="156" spans="1:22" x14ac:dyDescent="0.25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 s="1">
        <v>80.97</v>
      </c>
      <c r="H156">
        <v>8</v>
      </c>
      <c r="I156" s="1">
        <v>32.387999999999998</v>
      </c>
      <c r="J156" s="1">
        <v>680.14800000000002</v>
      </c>
      <c r="K156" s="3" t="s">
        <v>80</v>
      </c>
      <c r="L156" s="2">
        <v>0.54513888888888884</v>
      </c>
      <c r="M156" t="s">
        <v>29</v>
      </c>
      <c r="N156" s="1">
        <v>647.76</v>
      </c>
      <c r="O156" s="1">
        <v>4.7619047620000003</v>
      </c>
      <c r="P156" s="1">
        <v>32.387999999999998</v>
      </c>
      <c r="Q156">
        <v>9.3000000000000007</v>
      </c>
      <c r="R156" s="13">
        <v>43493</v>
      </c>
      <c r="S156">
        <f t="shared" si="8"/>
        <v>1</v>
      </c>
      <c r="T156">
        <f t="shared" si="9"/>
        <v>13</v>
      </c>
      <c r="U156">
        <f t="shared" si="10"/>
        <v>28</v>
      </c>
      <c r="V156" s="13" t="str">
        <f t="shared" si="11"/>
        <v>Monday</v>
      </c>
    </row>
    <row r="157" spans="1:22" x14ac:dyDescent="0.25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 s="1">
        <v>92.29</v>
      </c>
      <c r="H157">
        <v>5</v>
      </c>
      <c r="I157" s="1">
        <v>23.072500000000002</v>
      </c>
      <c r="J157" s="1">
        <v>484.52249999999998</v>
      </c>
      <c r="K157" s="3" t="s">
        <v>49</v>
      </c>
      <c r="L157" s="2">
        <v>0.66319444444444442</v>
      </c>
      <c r="M157" t="s">
        <v>33</v>
      </c>
      <c r="N157" s="1">
        <v>461.45</v>
      </c>
      <c r="O157" s="1">
        <v>4.7619047620000003</v>
      </c>
      <c r="P157" s="1">
        <v>23.072500000000002</v>
      </c>
      <c r="Q157">
        <v>9</v>
      </c>
      <c r="R157" s="13">
        <v>43516</v>
      </c>
      <c r="S157">
        <f t="shared" si="8"/>
        <v>2</v>
      </c>
      <c r="T157">
        <f t="shared" si="9"/>
        <v>15</v>
      </c>
      <c r="U157">
        <f t="shared" si="10"/>
        <v>20</v>
      </c>
      <c r="V157" s="13" t="str">
        <f t="shared" si="11"/>
        <v>Wednesday</v>
      </c>
    </row>
    <row r="158" spans="1:22" x14ac:dyDescent="0.25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 s="1">
        <v>72.17</v>
      </c>
      <c r="H158">
        <v>1</v>
      </c>
      <c r="I158" s="1">
        <v>3.6084999999999998</v>
      </c>
      <c r="J158" s="1">
        <v>75.778499999999994</v>
      </c>
      <c r="K158" s="3">
        <v>43556</v>
      </c>
      <c r="L158" s="2">
        <v>0.81944444444444442</v>
      </c>
      <c r="M158" t="s">
        <v>29</v>
      </c>
      <c r="N158" s="1">
        <v>72.17</v>
      </c>
      <c r="O158" s="1">
        <v>4.7619047620000003</v>
      </c>
      <c r="P158" s="1">
        <v>3.6084999999999998</v>
      </c>
      <c r="Q158">
        <v>6.1</v>
      </c>
      <c r="R158" s="13">
        <v>43469</v>
      </c>
      <c r="S158">
        <f t="shared" si="8"/>
        <v>1</v>
      </c>
      <c r="T158">
        <f t="shared" si="9"/>
        <v>19</v>
      </c>
      <c r="U158">
        <f t="shared" si="10"/>
        <v>4</v>
      </c>
      <c r="V158" s="13" t="str">
        <f t="shared" si="11"/>
        <v>Friday</v>
      </c>
    </row>
    <row r="159" spans="1:22" x14ac:dyDescent="0.25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 s="1">
        <v>50.28</v>
      </c>
      <c r="H159">
        <v>5</v>
      </c>
      <c r="I159" s="1">
        <v>12.57</v>
      </c>
      <c r="J159" s="1">
        <v>263.97000000000003</v>
      </c>
      <c r="K159" s="3">
        <v>43649</v>
      </c>
      <c r="L159" s="2">
        <v>0.58194444444444449</v>
      </c>
      <c r="M159" t="s">
        <v>23</v>
      </c>
      <c r="N159" s="1">
        <v>251.4</v>
      </c>
      <c r="O159" s="1">
        <v>4.7619047620000003</v>
      </c>
      <c r="P159" s="1">
        <v>12.57</v>
      </c>
      <c r="Q159">
        <v>9.6999999999999993</v>
      </c>
      <c r="R159" s="13">
        <v>43531</v>
      </c>
      <c r="S159">
        <f t="shared" si="8"/>
        <v>3</v>
      </c>
      <c r="T159">
        <f t="shared" si="9"/>
        <v>13</v>
      </c>
      <c r="U159">
        <f t="shared" si="10"/>
        <v>7</v>
      </c>
      <c r="V159" s="13" t="str">
        <f t="shared" si="11"/>
        <v>Thursday</v>
      </c>
    </row>
    <row r="160" spans="1:22" x14ac:dyDescent="0.25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 s="1">
        <v>97.22</v>
      </c>
      <c r="H160">
        <v>9</v>
      </c>
      <c r="I160" s="1">
        <v>43.749000000000002</v>
      </c>
      <c r="J160" s="1">
        <v>918.72900000000004</v>
      </c>
      <c r="K160" s="3" t="s">
        <v>235</v>
      </c>
      <c r="L160" s="2">
        <v>0.61319444444444449</v>
      </c>
      <c r="M160" t="s">
        <v>23</v>
      </c>
      <c r="N160" s="1">
        <v>874.98</v>
      </c>
      <c r="O160" s="1">
        <v>4.7619047620000003</v>
      </c>
      <c r="P160" s="1">
        <v>43.749000000000002</v>
      </c>
      <c r="Q160">
        <v>6</v>
      </c>
      <c r="R160" s="13">
        <v>43554</v>
      </c>
      <c r="S160">
        <f t="shared" si="8"/>
        <v>3</v>
      </c>
      <c r="T160">
        <f t="shared" si="9"/>
        <v>14</v>
      </c>
      <c r="U160">
        <f t="shared" si="10"/>
        <v>30</v>
      </c>
      <c r="V160" s="13" t="str">
        <f t="shared" si="11"/>
        <v>Saturday</v>
      </c>
    </row>
    <row r="161" spans="1:22" x14ac:dyDescent="0.25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 s="1">
        <v>93.39</v>
      </c>
      <c r="H161">
        <v>6</v>
      </c>
      <c r="I161" s="1">
        <v>28.016999999999999</v>
      </c>
      <c r="J161" s="1">
        <v>588.35699999999997</v>
      </c>
      <c r="K161" s="3" t="s">
        <v>112</v>
      </c>
      <c r="L161" s="2">
        <v>0.8041666666666667</v>
      </c>
      <c r="M161" t="s">
        <v>23</v>
      </c>
      <c r="N161" s="1">
        <v>560.34</v>
      </c>
      <c r="O161" s="1">
        <v>4.7619047620000003</v>
      </c>
      <c r="P161" s="1">
        <v>28.016999999999999</v>
      </c>
      <c r="Q161">
        <v>10</v>
      </c>
      <c r="R161" s="13">
        <v>43551</v>
      </c>
      <c r="S161">
        <f t="shared" si="8"/>
        <v>3</v>
      </c>
      <c r="T161">
        <f t="shared" si="9"/>
        <v>19</v>
      </c>
      <c r="U161">
        <f t="shared" si="10"/>
        <v>27</v>
      </c>
      <c r="V161" s="13" t="str">
        <f t="shared" si="11"/>
        <v>Wednesday</v>
      </c>
    </row>
    <row r="162" spans="1:22" x14ac:dyDescent="0.25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 s="1">
        <v>43.18</v>
      </c>
      <c r="H162">
        <v>8</v>
      </c>
      <c r="I162" s="1">
        <v>17.271999999999998</v>
      </c>
      <c r="J162" s="1">
        <v>362.71199999999999</v>
      </c>
      <c r="K162" s="3" t="s">
        <v>183</v>
      </c>
      <c r="L162" s="2">
        <v>0.81874999999999998</v>
      </c>
      <c r="M162" t="s">
        <v>33</v>
      </c>
      <c r="N162" s="1">
        <v>345.44</v>
      </c>
      <c r="O162" s="1">
        <v>4.7619047620000003</v>
      </c>
      <c r="P162" s="1">
        <v>17.271999999999998</v>
      </c>
      <c r="Q162">
        <v>8.3000000000000007</v>
      </c>
      <c r="R162" s="13">
        <v>43484</v>
      </c>
      <c r="S162">
        <f t="shared" si="8"/>
        <v>1</v>
      </c>
      <c r="T162">
        <f t="shared" si="9"/>
        <v>19</v>
      </c>
      <c r="U162">
        <f t="shared" si="10"/>
        <v>19</v>
      </c>
      <c r="V162" s="13" t="str">
        <f t="shared" si="11"/>
        <v>Saturday</v>
      </c>
    </row>
    <row r="163" spans="1:22" x14ac:dyDescent="0.25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 s="1">
        <v>63.69</v>
      </c>
      <c r="H163">
        <v>1</v>
      </c>
      <c r="I163" s="1">
        <v>3.1844999999999999</v>
      </c>
      <c r="J163" s="1">
        <v>66.874499999999998</v>
      </c>
      <c r="K163" s="3" t="s">
        <v>41</v>
      </c>
      <c r="L163" s="2">
        <v>0.68125000000000002</v>
      </c>
      <c r="M163" t="s">
        <v>29</v>
      </c>
      <c r="N163" s="1">
        <v>63.69</v>
      </c>
      <c r="O163" s="1">
        <v>4.7619047620000003</v>
      </c>
      <c r="P163" s="1">
        <v>3.1844999999999999</v>
      </c>
      <c r="Q163">
        <v>6</v>
      </c>
      <c r="R163" s="13">
        <v>43521</v>
      </c>
      <c r="S163">
        <f t="shared" si="8"/>
        <v>2</v>
      </c>
      <c r="T163">
        <f t="shared" si="9"/>
        <v>16</v>
      </c>
      <c r="U163">
        <f t="shared" si="10"/>
        <v>25</v>
      </c>
      <c r="V163" s="13" t="str">
        <f t="shared" si="11"/>
        <v>Monday</v>
      </c>
    </row>
    <row r="164" spans="1:22" x14ac:dyDescent="0.25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 s="1">
        <v>45.79</v>
      </c>
      <c r="H164">
        <v>7</v>
      </c>
      <c r="I164" s="1">
        <v>16.026499999999999</v>
      </c>
      <c r="J164" s="1">
        <v>336.55650000000003</v>
      </c>
      <c r="K164" s="3" t="s">
        <v>125</v>
      </c>
      <c r="L164" s="2">
        <v>0.82222222222222219</v>
      </c>
      <c r="M164" t="s">
        <v>33</v>
      </c>
      <c r="N164" s="1">
        <v>320.52999999999997</v>
      </c>
      <c r="O164" s="1">
        <v>4.7619047620000003</v>
      </c>
      <c r="P164" s="1">
        <v>16.026499999999999</v>
      </c>
      <c r="Q164">
        <v>7</v>
      </c>
      <c r="R164" s="13">
        <v>43537</v>
      </c>
      <c r="S164">
        <f t="shared" si="8"/>
        <v>3</v>
      </c>
      <c r="T164">
        <f t="shared" si="9"/>
        <v>19</v>
      </c>
      <c r="U164">
        <f t="shared" si="10"/>
        <v>13</v>
      </c>
      <c r="V164" s="13" t="str">
        <f t="shared" si="11"/>
        <v>Wednesday</v>
      </c>
    </row>
    <row r="165" spans="1:22" x14ac:dyDescent="0.25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 s="1">
        <v>76.400000000000006</v>
      </c>
      <c r="H165">
        <v>2</v>
      </c>
      <c r="I165" s="1">
        <v>7.64</v>
      </c>
      <c r="J165" s="1">
        <v>160.44</v>
      </c>
      <c r="K165" s="3" t="s">
        <v>241</v>
      </c>
      <c r="L165" s="2">
        <v>0.8208333333333333</v>
      </c>
      <c r="M165" t="s">
        <v>23</v>
      </c>
      <c r="N165" s="1">
        <v>152.80000000000001</v>
      </c>
      <c r="O165" s="1">
        <v>4.7619047620000003</v>
      </c>
      <c r="P165" s="1">
        <v>7.64</v>
      </c>
      <c r="Q165">
        <v>6.5</v>
      </c>
      <c r="R165" s="13">
        <v>43495</v>
      </c>
      <c r="S165">
        <f t="shared" si="8"/>
        <v>1</v>
      </c>
      <c r="T165">
        <f t="shared" si="9"/>
        <v>19</v>
      </c>
      <c r="U165">
        <f t="shared" si="10"/>
        <v>30</v>
      </c>
      <c r="V165" s="13" t="str">
        <f t="shared" si="11"/>
        <v>Wednesday</v>
      </c>
    </row>
    <row r="166" spans="1:22" x14ac:dyDescent="0.25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 s="1">
        <v>39.9</v>
      </c>
      <c r="H166">
        <v>10</v>
      </c>
      <c r="I166" s="1">
        <v>19.95</v>
      </c>
      <c r="J166" s="1">
        <v>418.95</v>
      </c>
      <c r="K166" s="3" t="s">
        <v>49</v>
      </c>
      <c r="L166" s="2">
        <v>0.64166666666666672</v>
      </c>
      <c r="M166" t="s">
        <v>33</v>
      </c>
      <c r="N166" s="1">
        <v>399</v>
      </c>
      <c r="O166" s="1">
        <v>4.7619047620000003</v>
      </c>
      <c r="P166" s="1">
        <v>19.95</v>
      </c>
      <c r="Q166">
        <v>5.9</v>
      </c>
      <c r="R166" s="13">
        <v>43516</v>
      </c>
      <c r="S166">
        <f t="shared" si="8"/>
        <v>2</v>
      </c>
      <c r="T166">
        <f t="shared" si="9"/>
        <v>15</v>
      </c>
      <c r="U166">
        <f t="shared" si="10"/>
        <v>20</v>
      </c>
      <c r="V166" s="13" t="str">
        <f t="shared" si="11"/>
        <v>Wednesday</v>
      </c>
    </row>
    <row r="167" spans="1:22" x14ac:dyDescent="0.25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 s="1">
        <v>42.57</v>
      </c>
      <c r="H167">
        <v>8</v>
      </c>
      <c r="I167" s="1">
        <v>17.027999999999999</v>
      </c>
      <c r="J167" s="1">
        <v>357.58800000000002</v>
      </c>
      <c r="K167" s="3" t="s">
        <v>41</v>
      </c>
      <c r="L167" s="2">
        <v>0.59166666666666667</v>
      </c>
      <c r="M167" t="s">
        <v>23</v>
      </c>
      <c r="N167" s="1">
        <v>340.56</v>
      </c>
      <c r="O167" s="1">
        <v>4.7619047620000003</v>
      </c>
      <c r="P167" s="1">
        <v>17.027999999999999</v>
      </c>
      <c r="Q167">
        <v>5.6</v>
      </c>
      <c r="R167" s="13">
        <v>43521</v>
      </c>
      <c r="S167">
        <f t="shared" si="8"/>
        <v>2</v>
      </c>
      <c r="T167">
        <f t="shared" si="9"/>
        <v>14</v>
      </c>
      <c r="U167">
        <f t="shared" si="10"/>
        <v>25</v>
      </c>
      <c r="V167" s="13" t="str">
        <f t="shared" si="11"/>
        <v>Monday</v>
      </c>
    </row>
    <row r="168" spans="1:22" x14ac:dyDescent="0.25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 s="1">
        <v>95.58</v>
      </c>
      <c r="H168">
        <v>10</v>
      </c>
      <c r="I168" s="1">
        <v>47.79</v>
      </c>
      <c r="J168" s="1">
        <v>1003.59</v>
      </c>
      <c r="K168" s="3" t="s">
        <v>188</v>
      </c>
      <c r="L168" s="2">
        <v>0.56388888888888888</v>
      </c>
      <c r="M168" t="s">
        <v>29</v>
      </c>
      <c r="N168" s="1">
        <v>955.8</v>
      </c>
      <c r="O168" s="1">
        <v>4.7619047620000003</v>
      </c>
      <c r="P168" s="1">
        <v>47.79</v>
      </c>
      <c r="Q168">
        <v>4.8</v>
      </c>
      <c r="R168" s="13">
        <v>43481</v>
      </c>
      <c r="S168">
        <f t="shared" si="8"/>
        <v>1</v>
      </c>
      <c r="T168">
        <f t="shared" si="9"/>
        <v>13</v>
      </c>
      <c r="U168">
        <f t="shared" si="10"/>
        <v>16</v>
      </c>
      <c r="V168" s="13" t="str">
        <f t="shared" si="11"/>
        <v>Wednesday</v>
      </c>
    </row>
    <row r="169" spans="1:22" x14ac:dyDescent="0.25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 s="1">
        <v>98.98</v>
      </c>
      <c r="H169">
        <v>10</v>
      </c>
      <c r="I169" s="1">
        <v>49.49</v>
      </c>
      <c r="J169" s="1">
        <v>1039.29</v>
      </c>
      <c r="K169" s="3">
        <v>43679</v>
      </c>
      <c r="L169" s="2">
        <v>0.68055555555555558</v>
      </c>
      <c r="M169" t="s">
        <v>33</v>
      </c>
      <c r="N169" s="1">
        <v>989.8</v>
      </c>
      <c r="O169" s="1">
        <v>4.7619047620000003</v>
      </c>
      <c r="P169" s="1">
        <v>49.49</v>
      </c>
      <c r="Q169">
        <v>8.6999999999999993</v>
      </c>
      <c r="R169" s="13">
        <v>43504</v>
      </c>
      <c r="S169">
        <f t="shared" si="8"/>
        <v>2</v>
      </c>
      <c r="T169">
        <f t="shared" si="9"/>
        <v>16</v>
      </c>
      <c r="U169">
        <f t="shared" si="10"/>
        <v>8</v>
      </c>
      <c r="V169" s="13" t="str">
        <f t="shared" si="11"/>
        <v>Friday</v>
      </c>
    </row>
    <row r="170" spans="1:22" x14ac:dyDescent="0.25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 s="1">
        <v>51.28</v>
      </c>
      <c r="H170">
        <v>6</v>
      </c>
      <c r="I170" s="1">
        <v>15.384</v>
      </c>
      <c r="J170" s="1">
        <v>323.06400000000002</v>
      </c>
      <c r="K170" s="3" t="s">
        <v>183</v>
      </c>
      <c r="L170" s="2">
        <v>0.68819444444444444</v>
      </c>
      <c r="M170" t="s">
        <v>29</v>
      </c>
      <c r="N170" s="1">
        <v>307.68</v>
      </c>
      <c r="O170" s="1">
        <v>4.7619047620000003</v>
      </c>
      <c r="P170" s="1">
        <v>15.384</v>
      </c>
      <c r="Q170">
        <v>6.5</v>
      </c>
      <c r="R170" s="13">
        <v>43484</v>
      </c>
      <c r="S170">
        <f t="shared" si="8"/>
        <v>1</v>
      </c>
      <c r="T170">
        <f t="shared" si="9"/>
        <v>16</v>
      </c>
      <c r="U170">
        <f t="shared" si="10"/>
        <v>19</v>
      </c>
      <c r="V170" s="13" t="str">
        <f t="shared" si="11"/>
        <v>Saturday</v>
      </c>
    </row>
    <row r="171" spans="1:22" x14ac:dyDescent="0.25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 s="1">
        <v>69.52</v>
      </c>
      <c r="H171">
        <v>7</v>
      </c>
      <c r="I171" s="1">
        <v>24.332000000000001</v>
      </c>
      <c r="J171" s="1">
        <v>510.97199999999998</v>
      </c>
      <c r="K171" s="3">
        <v>43467</v>
      </c>
      <c r="L171" s="2">
        <v>0.63194444444444442</v>
      </c>
      <c r="M171" t="s">
        <v>33</v>
      </c>
      <c r="N171" s="1">
        <v>486.64</v>
      </c>
      <c r="O171" s="1">
        <v>4.7619047620000003</v>
      </c>
      <c r="P171" s="1">
        <v>24.332000000000001</v>
      </c>
      <c r="Q171">
        <v>8.5</v>
      </c>
      <c r="R171" s="13">
        <v>43497</v>
      </c>
      <c r="S171">
        <f t="shared" si="8"/>
        <v>2</v>
      </c>
      <c r="T171">
        <f t="shared" si="9"/>
        <v>15</v>
      </c>
      <c r="U171">
        <f t="shared" si="10"/>
        <v>1</v>
      </c>
      <c r="V171" s="13" t="str">
        <f t="shared" si="11"/>
        <v>Friday</v>
      </c>
    </row>
    <row r="172" spans="1:22" x14ac:dyDescent="0.25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 s="1">
        <v>70.010000000000005</v>
      </c>
      <c r="H172">
        <v>5</v>
      </c>
      <c r="I172" s="1">
        <v>17.502500000000001</v>
      </c>
      <c r="J172" s="1">
        <v>367.55250000000001</v>
      </c>
      <c r="K172" s="3">
        <v>43525</v>
      </c>
      <c r="L172" s="2">
        <v>0.48333333333333334</v>
      </c>
      <c r="M172" t="s">
        <v>23</v>
      </c>
      <c r="N172" s="1">
        <v>350.05</v>
      </c>
      <c r="O172" s="1">
        <v>4.7619047620000003</v>
      </c>
      <c r="P172" s="1">
        <v>17.502500000000001</v>
      </c>
      <c r="Q172">
        <v>5.5</v>
      </c>
      <c r="R172" s="13">
        <v>43468</v>
      </c>
      <c r="S172">
        <f t="shared" si="8"/>
        <v>1</v>
      </c>
      <c r="T172">
        <f t="shared" si="9"/>
        <v>11</v>
      </c>
      <c r="U172">
        <f t="shared" si="10"/>
        <v>3</v>
      </c>
      <c r="V172" s="13" t="str">
        <f t="shared" si="11"/>
        <v>Thursday</v>
      </c>
    </row>
    <row r="173" spans="1:22" x14ac:dyDescent="0.25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 s="1">
        <v>80.05</v>
      </c>
      <c r="H173">
        <v>5</v>
      </c>
      <c r="I173" s="1">
        <v>20.012499999999999</v>
      </c>
      <c r="J173" s="1">
        <v>420.26249999999999</v>
      </c>
      <c r="K173" s="3" t="s">
        <v>145</v>
      </c>
      <c r="L173" s="2">
        <v>0.53125</v>
      </c>
      <c r="M173" t="s">
        <v>33</v>
      </c>
      <c r="N173" s="1">
        <v>400.25</v>
      </c>
      <c r="O173" s="1">
        <v>4.7619047620000003</v>
      </c>
      <c r="P173" s="1">
        <v>20.012499999999999</v>
      </c>
      <c r="Q173">
        <v>9.4</v>
      </c>
      <c r="R173" s="13">
        <v>43491</v>
      </c>
      <c r="S173">
        <f t="shared" si="8"/>
        <v>1</v>
      </c>
      <c r="T173">
        <f t="shared" si="9"/>
        <v>12</v>
      </c>
      <c r="U173">
        <f t="shared" si="10"/>
        <v>26</v>
      </c>
      <c r="V173" s="13" t="str">
        <f t="shared" si="11"/>
        <v>Saturday</v>
      </c>
    </row>
    <row r="174" spans="1:22" x14ac:dyDescent="0.25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 s="1">
        <v>20.85</v>
      </c>
      <c r="H174">
        <v>8</v>
      </c>
      <c r="I174" s="1">
        <v>8.34</v>
      </c>
      <c r="J174" s="1">
        <v>175.14</v>
      </c>
      <c r="K174" s="3">
        <v>43527</v>
      </c>
      <c r="L174" s="2">
        <v>0.80347222222222225</v>
      </c>
      <c r="M174" t="s">
        <v>29</v>
      </c>
      <c r="N174" s="1">
        <v>166.8</v>
      </c>
      <c r="O174" s="1">
        <v>4.7619047620000003</v>
      </c>
      <c r="P174" s="1">
        <v>8.34</v>
      </c>
      <c r="Q174">
        <v>6.3</v>
      </c>
      <c r="R174" s="13">
        <v>43527</v>
      </c>
      <c r="S174">
        <f t="shared" si="8"/>
        <v>3</v>
      </c>
      <c r="T174">
        <f t="shared" si="9"/>
        <v>19</v>
      </c>
      <c r="U174">
        <f t="shared" si="10"/>
        <v>3</v>
      </c>
      <c r="V174" s="13" t="str">
        <f t="shared" si="11"/>
        <v>Sunday</v>
      </c>
    </row>
    <row r="175" spans="1:22" x14ac:dyDescent="0.25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 s="1">
        <v>52.89</v>
      </c>
      <c r="H175">
        <v>6</v>
      </c>
      <c r="I175" s="1">
        <v>15.867000000000001</v>
      </c>
      <c r="J175" s="1">
        <v>333.20699999999999</v>
      </c>
      <c r="K175" s="3" t="s">
        <v>183</v>
      </c>
      <c r="L175" s="2">
        <v>0.7319444444444444</v>
      </c>
      <c r="M175" t="s">
        <v>33</v>
      </c>
      <c r="N175" s="1">
        <v>317.33999999999997</v>
      </c>
      <c r="O175" s="1">
        <v>4.7619047620000003</v>
      </c>
      <c r="P175" s="1">
        <v>15.867000000000001</v>
      </c>
      <c r="Q175">
        <v>9.8000000000000007</v>
      </c>
      <c r="R175" s="13">
        <v>43484</v>
      </c>
      <c r="S175">
        <f t="shared" si="8"/>
        <v>1</v>
      </c>
      <c r="T175">
        <f t="shared" si="9"/>
        <v>17</v>
      </c>
      <c r="U175">
        <f t="shared" si="10"/>
        <v>19</v>
      </c>
      <c r="V175" s="13" t="str">
        <f t="shared" si="11"/>
        <v>Saturday</v>
      </c>
    </row>
    <row r="176" spans="1:22" x14ac:dyDescent="0.25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 s="1">
        <v>19.79</v>
      </c>
      <c r="H176">
        <v>8</v>
      </c>
      <c r="I176" s="1">
        <v>7.9160000000000004</v>
      </c>
      <c r="J176" s="1">
        <v>166.23599999999999</v>
      </c>
      <c r="K176" s="3" t="s">
        <v>209</v>
      </c>
      <c r="L176" s="2">
        <v>0.50277777777777777</v>
      </c>
      <c r="M176" t="s">
        <v>23</v>
      </c>
      <c r="N176" s="1">
        <v>158.32</v>
      </c>
      <c r="O176" s="1">
        <v>4.7619047620000003</v>
      </c>
      <c r="P176" s="1">
        <v>7.9160000000000004</v>
      </c>
      <c r="Q176">
        <v>8.6999999999999993</v>
      </c>
      <c r="R176" s="13">
        <v>43483</v>
      </c>
      <c r="S176">
        <f t="shared" si="8"/>
        <v>1</v>
      </c>
      <c r="T176">
        <f t="shared" si="9"/>
        <v>12</v>
      </c>
      <c r="U176">
        <f t="shared" si="10"/>
        <v>18</v>
      </c>
      <c r="V176" s="13" t="str">
        <f t="shared" si="11"/>
        <v>Friday</v>
      </c>
    </row>
    <row r="177" spans="1:22" x14ac:dyDescent="0.25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 s="1">
        <v>33.840000000000003</v>
      </c>
      <c r="H177">
        <v>9</v>
      </c>
      <c r="I177" s="1">
        <v>15.228</v>
      </c>
      <c r="J177" s="1">
        <v>319.78800000000001</v>
      </c>
      <c r="K177" s="3" t="s">
        <v>254</v>
      </c>
      <c r="L177" s="2">
        <v>0.68125000000000002</v>
      </c>
      <c r="M177" t="s">
        <v>23</v>
      </c>
      <c r="N177" s="1">
        <v>304.56</v>
      </c>
      <c r="O177" s="1">
        <v>4.7619047620000003</v>
      </c>
      <c r="P177" s="1">
        <v>15.228</v>
      </c>
      <c r="Q177">
        <v>8.8000000000000007</v>
      </c>
      <c r="R177" s="13">
        <v>43545</v>
      </c>
      <c r="S177">
        <f t="shared" si="8"/>
        <v>3</v>
      </c>
      <c r="T177">
        <f t="shared" si="9"/>
        <v>16</v>
      </c>
      <c r="U177">
        <f t="shared" si="10"/>
        <v>21</v>
      </c>
      <c r="V177" s="13" t="str">
        <f t="shared" si="11"/>
        <v>Thursday</v>
      </c>
    </row>
    <row r="178" spans="1:22" x14ac:dyDescent="0.25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 s="1">
        <v>22.17</v>
      </c>
      <c r="H178">
        <v>8</v>
      </c>
      <c r="I178" s="1">
        <v>8.8680000000000003</v>
      </c>
      <c r="J178" s="1">
        <v>186.22800000000001</v>
      </c>
      <c r="K178" s="3">
        <v>43527</v>
      </c>
      <c r="L178" s="2">
        <v>0.70902777777777781</v>
      </c>
      <c r="M178" t="s">
        <v>33</v>
      </c>
      <c r="N178" s="1">
        <v>177.36</v>
      </c>
      <c r="O178" s="1">
        <v>4.7619047620000003</v>
      </c>
      <c r="P178" s="1">
        <v>8.8680000000000003</v>
      </c>
      <c r="Q178">
        <v>9.6</v>
      </c>
      <c r="R178" s="13">
        <v>43527</v>
      </c>
      <c r="S178">
        <f t="shared" si="8"/>
        <v>3</v>
      </c>
      <c r="T178">
        <f t="shared" si="9"/>
        <v>17</v>
      </c>
      <c r="U178">
        <f t="shared" si="10"/>
        <v>3</v>
      </c>
      <c r="V178" s="13" t="str">
        <f t="shared" si="11"/>
        <v>Sunday</v>
      </c>
    </row>
    <row r="179" spans="1:22" x14ac:dyDescent="0.25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 s="1">
        <v>22.51</v>
      </c>
      <c r="H179">
        <v>7</v>
      </c>
      <c r="I179" s="1">
        <v>7.8784999999999998</v>
      </c>
      <c r="J179" s="1">
        <v>165.4485</v>
      </c>
      <c r="K179" s="3" t="s">
        <v>257</v>
      </c>
      <c r="L179" s="2">
        <v>0.4513888888888889</v>
      </c>
      <c r="M179" t="s">
        <v>33</v>
      </c>
      <c r="N179" s="1">
        <v>157.57</v>
      </c>
      <c r="O179" s="1">
        <v>4.7619047620000003</v>
      </c>
      <c r="P179" s="1">
        <v>7.8784999999999998</v>
      </c>
      <c r="Q179">
        <v>4.8</v>
      </c>
      <c r="R179" s="13">
        <v>43509</v>
      </c>
      <c r="S179">
        <f t="shared" si="8"/>
        <v>2</v>
      </c>
      <c r="T179">
        <f t="shared" si="9"/>
        <v>10</v>
      </c>
      <c r="U179">
        <f t="shared" si="10"/>
        <v>13</v>
      </c>
      <c r="V179" s="13" t="str">
        <f t="shared" si="11"/>
        <v>Wednesday</v>
      </c>
    </row>
    <row r="180" spans="1:22" x14ac:dyDescent="0.25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 s="1">
        <v>73.88</v>
      </c>
      <c r="H180">
        <v>6</v>
      </c>
      <c r="I180" s="1">
        <v>22.164000000000001</v>
      </c>
      <c r="J180" s="1">
        <v>465.44400000000002</v>
      </c>
      <c r="K180" s="3" t="s">
        <v>88</v>
      </c>
      <c r="L180" s="2">
        <v>0.80277777777777781</v>
      </c>
      <c r="M180" t="s">
        <v>23</v>
      </c>
      <c r="N180" s="1">
        <v>443.28</v>
      </c>
      <c r="O180" s="1">
        <v>4.7619047620000003</v>
      </c>
      <c r="P180" s="1">
        <v>22.164000000000001</v>
      </c>
      <c r="Q180">
        <v>4.4000000000000004</v>
      </c>
      <c r="R180" s="13">
        <v>43547</v>
      </c>
      <c r="S180">
        <f t="shared" si="8"/>
        <v>3</v>
      </c>
      <c r="T180">
        <f t="shared" si="9"/>
        <v>19</v>
      </c>
      <c r="U180">
        <f t="shared" si="10"/>
        <v>23</v>
      </c>
      <c r="V180" s="13" t="str">
        <f t="shared" si="11"/>
        <v>Saturday</v>
      </c>
    </row>
    <row r="181" spans="1:22" x14ac:dyDescent="0.25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 s="1">
        <v>86.8</v>
      </c>
      <c r="H181">
        <v>3</v>
      </c>
      <c r="I181" s="1">
        <v>13.02</v>
      </c>
      <c r="J181" s="1">
        <v>273.42</v>
      </c>
      <c r="K181" s="3" t="s">
        <v>80</v>
      </c>
      <c r="L181" s="2">
        <v>0.69930555555555551</v>
      </c>
      <c r="M181" t="s">
        <v>23</v>
      </c>
      <c r="N181" s="1">
        <v>260.39999999999998</v>
      </c>
      <c r="O181" s="1">
        <v>4.7619047620000003</v>
      </c>
      <c r="P181" s="1">
        <v>13.02</v>
      </c>
      <c r="Q181">
        <v>9.9</v>
      </c>
      <c r="R181" s="13">
        <v>43493</v>
      </c>
      <c r="S181">
        <f t="shared" si="8"/>
        <v>1</v>
      </c>
      <c r="T181">
        <f t="shared" si="9"/>
        <v>16</v>
      </c>
      <c r="U181">
        <f t="shared" si="10"/>
        <v>28</v>
      </c>
      <c r="V181" s="13" t="str">
        <f t="shared" si="11"/>
        <v>Monday</v>
      </c>
    </row>
    <row r="182" spans="1:22" x14ac:dyDescent="0.25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 s="1">
        <v>64.260000000000005</v>
      </c>
      <c r="H182">
        <v>7</v>
      </c>
      <c r="I182" s="1">
        <v>22.491</v>
      </c>
      <c r="J182" s="1">
        <v>472.31099999999998</v>
      </c>
      <c r="K182" s="3">
        <v>43710</v>
      </c>
      <c r="L182" s="2">
        <v>0.41666666666666669</v>
      </c>
      <c r="M182" t="s">
        <v>29</v>
      </c>
      <c r="N182" s="1">
        <v>449.82</v>
      </c>
      <c r="O182" s="1">
        <v>4.7619047620000003</v>
      </c>
      <c r="P182" s="1">
        <v>22.491</v>
      </c>
      <c r="Q182">
        <v>5.7</v>
      </c>
      <c r="R182" s="13">
        <v>43505</v>
      </c>
      <c r="S182">
        <f t="shared" si="8"/>
        <v>2</v>
      </c>
      <c r="T182">
        <f t="shared" si="9"/>
        <v>10</v>
      </c>
      <c r="U182">
        <f t="shared" si="10"/>
        <v>9</v>
      </c>
      <c r="V182" s="13" t="str">
        <f t="shared" si="11"/>
        <v>Saturday</v>
      </c>
    </row>
    <row r="183" spans="1:22" x14ac:dyDescent="0.25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 s="1">
        <v>38.47</v>
      </c>
      <c r="H183">
        <v>8</v>
      </c>
      <c r="I183" s="1">
        <v>15.388</v>
      </c>
      <c r="J183" s="1">
        <v>323.14800000000002</v>
      </c>
      <c r="K183" s="3" t="s">
        <v>147</v>
      </c>
      <c r="L183" s="2">
        <v>0.49375000000000002</v>
      </c>
      <c r="M183" t="s">
        <v>29</v>
      </c>
      <c r="N183" s="1">
        <v>307.76</v>
      </c>
      <c r="O183" s="1">
        <v>4.7619047620000003</v>
      </c>
      <c r="P183" s="1">
        <v>15.388</v>
      </c>
      <c r="Q183">
        <v>7.7</v>
      </c>
      <c r="R183" s="13">
        <v>43488</v>
      </c>
      <c r="S183">
        <f t="shared" si="8"/>
        <v>1</v>
      </c>
      <c r="T183">
        <f t="shared" si="9"/>
        <v>11</v>
      </c>
      <c r="U183">
        <f t="shared" si="10"/>
        <v>23</v>
      </c>
      <c r="V183" s="13" t="str">
        <f t="shared" si="11"/>
        <v>Wednesday</v>
      </c>
    </row>
    <row r="184" spans="1:22" x14ac:dyDescent="0.25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 s="1">
        <v>15.5</v>
      </c>
      <c r="H184">
        <v>10</v>
      </c>
      <c r="I184" s="1">
        <v>7.75</v>
      </c>
      <c r="J184" s="1">
        <v>162.75</v>
      </c>
      <c r="K184" s="3" t="s">
        <v>88</v>
      </c>
      <c r="L184" s="2">
        <v>0.4548611111111111</v>
      </c>
      <c r="M184" t="s">
        <v>23</v>
      </c>
      <c r="N184" s="1">
        <v>155</v>
      </c>
      <c r="O184" s="1">
        <v>4.7619047620000003</v>
      </c>
      <c r="P184" s="1">
        <v>7.75</v>
      </c>
      <c r="Q184">
        <v>8</v>
      </c>
      <c r="R184" s="13">
        <v>43547</v>
      </c>
      <c r="S184">
        <f t="shared" si="8"/>
        <v>3</v>
      </c>
      <c r="T184">
        <f t="shared" si="9"/>
        <v>10</v>
      </c>
      <c r="U184">
        <f t="shared" si="10"/>
        <v>23</v>
      </c>
      <c r="V184" s="13" t="str">
        <f t="shared" si="11"/>
        <v>Saturday</v>
      </c>
    </row>
    <row r="185" spans="1:22" x14ac:dyDescent="0.25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 s="1">
        <v>34.31</v>
      </c>
      <c r="H185">
        <v>8</v>
      </c>
      <c r="I185" s="1">
        <v>13.724</v>
      </c>
      <c r="J185" s="1">
        <v>288.20400000000001</v>
      </c>
      <c r="K185" s="3" t="s">
        <v>76</v>
      </c>
      <c r="L185" s="2">
        <v>0.625</v>
      </c>
      <c r="M185" t="s">
        <v>23</v>
      </c>
      <c r="N185" s="1">
        <v>274.48</v>
      </c>
      <c r="O185" s="1">
        <v>4.7619047620000003</v>
      </c>
      <c r="P185" s="1">
        <v>13.724</v>
      </c>
      <c r="Q185">
        <v>5.7</v>
      </c>
      <c r="R185" s="13">
        <v>43490</v>
      </c>
      <c r="S185">
        <f t="shared" si="8"/>
        <v>1</v>
      </c>
      <c r="T185">
        <f t="shared" si="9"/>
        <v>15</v>
      </c>
      <c r="U185">
        <f t="shared" si="10"/>
        <v>25</v>
      </c>
      <c r="V185" s="13" t="str">
        <f t="shared" si="11"/>
        <v>Friday</v>
      </c>
    </row>
    <row r="186" spans="1:22" x14ac:dyDescent="0.25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 s="1">
        <v>12.34</v>
      </c>
      <c r="H186">
        <v>7</v>
      </c>
      <c r="I186" s="1">
        <v>4.319</v>
      </c>
      <c r="J186" s="1">
        <v>90.698999999999998</v>
      </c>
      <c r="K186" s="3">
        <v>43558</v>
      </c>
      <c r="L186" s="2">
        <v>0.47152777777777777</v>
      </c>
      <c r="M186" t="s">
        <v>33</v>
      </c>
      <c r="N186" s="1">
        <v>86.38</v>
      </c>
      <c r="O186" s="1">
        <v>4.7619047620000003</v>
      </c>
      <c r="P186" s="1">
        <v>4.319</v>
      </c>
      <c r="Q186">
        <v>6.7</v>
      </c>
      <c r="R186" s="13">
        <v>43528</v>
      </c>
      <c r="S186">
        <f t="shared" si="8"/>
        <v>3</v>
      </c>
      <c r="T186">
        <f t="shared" si="9"/>
        <v>11</v>
      </c>
      <c r="U186">
        <f t="shared" si="10"/>
        <v>4</v>
      </c>
      <c r="V186" s="13" t="str">
        <f t="shared" si="11"/>
        <v>Monday</v>
      </c>
    </row>
    <row r="187" spans="1:22" x14ac:dyDescent="0.25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 s="1">
        <v>18.079999999999998</v>
      </c>
      <c r="H187">
        <v>3</v>
      </c>
      <c r="I187" s="1">
        <v>2.7120000000000002</v>
      </c>
      <c r="J187" s="1">
        <v>56.951999999999998</v>
      </c>
      <c r="K187" s="3">
        <v>43588</v>
      </c>
      <c r="L187" s="2">
        <v>0.82361111111111107</v>
      </c>
      <c r="M187" t="s">
        <v>23</v>
      </c>
      <c r="N187" s="1">
        <v>54.24</v>
      </c>
      <c r="O187" s="1">
        <v>4.7619047620000003</v>
      </c>
      <c r="P187" s="1">
        <v>2.7120000000000002</v>
      </c>
      <c r="Q187">
        <v>8</v>
      </c>
      <c r="R187" s="13">
        <v>43529</v>
      </c>
      <c r="S187">
        <f t="shared" si="8"/>
        <v>3</v>
      </c>
      <c r="T187">
        <f t="shared" si="9"/>
        <v>19</v>
      </c>
      <c r="U187">
        <f t="shared" si="10"/>
        <v>5</v>
      </c>
      <c r="V187" s="13" t="str">
        <f t="shared" si="11"/>
        <v>Tuesday</v>
      </c>
    </row>
    <row r="188" spans="1:22" x14ac:dyDescent="0.25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 s="1">
        <v>94.49</v>
      </c>
      <c r="H188">
        <v>8</v>
      </c>
      <c r="I188" s="1">
        <v>37.795999999999999</v>
      </c>
      <c r="J188" s="1">
        <v>793.71600000000001</v>
      </c>
      <c r="K188" s="3">
        <v>43527</v>
      </c>
      <c r="L188" s="2">
        <v>0.79166666666666663</v>
      </c>
      <c r="M188" t="s">
        <v>23</v>
      </c>
      <c r="N188" s="1">
        <v>755.92</v>
      </c>
      <c r="O188" s="1">
        <v>4.7619047620000003</v>
      </c>
      <c r="P188" s="1">
        <v>37.795999999999999</v>
      </c>
      <c r="Q188">
        <v>7.5</v>
      </c>
      <c r="R188" s="13">
        <v>43527</v>
      </c>
      <c r="S188">
        <f t="shared" si="8"/>
        <v>3</v>
      </c>
      <c r="T188">
        <f t="shared" si="9"/>
        <v>19</v>
      </c>
      <c r="U188">
        <f t="shared" si="10"/>
        <v>3</v>
      </c>
      <c r="V188" s="13" t="str">
        <f t="shared" si="11"/>
        <v>Sunday</v>
      </c>
    </row>
    <row r="189" spans="1:22" x14ac:dyDescent="0.25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 s="1">
        <v>46.47</v>
      </c>
      <c r="H189">
        <v>4</v>
      </c>
      <c r="I189" s="1">
        <v>9.2940000000000005</v>
      </c>
      <c r="J189" s="1">
        <v>195.17400000000001</v>
      </c>
      <c r="K189" s="3">
        <v>43679</v>
      </c>
      <c r="L189" s="2">
        <v>0.45347222222222222</v>
      </c>
      <c r="M189" t="s">
        <v>29</v>
      </c>
      <c r="N189" s="1">
        <v>185.88</v>
      </c>
      <c r="O189" s="1">
        <v>4.7619047620000003</v>
      </c>
      <c r="P189" s="1">
        <v>9.2940000000000005</v>
      </c>
      <c r="Q189">
        <v>7</v>
      </c>
      <c r="R189" s="13">
        <v>43504</v>
      </c>
      <c r="S189">
        <f t="shared" si="8"/>
        <v>2</v>
      </c>
      <c r="T189">
        <f t="shared" si="9"/>
        <v>10</v>
      </c>
      <c r="U189">
        <f t="shared" si="10"/>
        <v>8</v>
      </c>
      <c r="V189" s="13" t="str">
        <f t="shared" si="11"/>
        <v>Friday</v>
      </c>
    </row>
    <row r="190" spans="1:22" x14ac:dyDescent="0.25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 s="1">
        <v>74.069999999999993</v>
      </c>
      <c r="H190">
        <v>1</v>
      </c>
      <c r="I190" s="1">
        <v>3.7035</v>
      </c>
      <c r="J190" s="1">
        <v>77.773499999999999</v>
      </c>
      <c r="K190" s="3">
        <v>43740</v>
      </c>
      <c r="L190" s="2">
        <v>0.53472222222222221</v>
      </c>
      <c r="M190" t="s">
        <v>23</v>
      </c>
      <c r="N190" s="1">
        <v>74.069999999999993</v>
      </c>
      <c r="O190" s="1">
        <v>4.7619047620000003</v>
      </c>
      <c r="P190" s="1">
        <v>3.7035</v>
      </c>
      <c r="Q190">
        <v>9.9</v>
      </c>
      <c r="R190" s="13">
        <v>43506</v>
      </c>
      <c r="S190">
        <f t="shared" si="8"/>
        <v>2</v>
      </c>
      <c r="T190">
        <f t="shared" si="9"/>
        <v>12</v>
      </c>
      <c r="U190">
        <f t="shared" si="10"/>
        <v>10</v>
      </c>
      <c r="V190" s="13" t="str">
        <f t="shared" si="11"/>
        <v>Sunday</v>
      </c>
    </row>
    <row r="191" spans="1:22" x14ac:dyDescent="0.25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 s="1">
        <v>69.81</v>
      </c>
      <c r="H191">
        <v>4</v>
      </c>
      <c r="I191" s="1">
        <v>13.962</v>
      </c>
      <c r="J191" s="1">
        <v>293.202</v>
      </c>
      <c r="K191" s="3" t="s">
        <v>80</v>
      </c>
      <c r="L191" s="2">
        <v>0.86805555555555558</v>
      </c>
      <c r="M191" t="s">
        <v>33</v>
      </c>
      <c r="N191" s="1">
        <v>279.24</v>
      </c>
      <c r="O191" s="1">
        <v>4.7619047620000003</v>
      </c>
      <c r="P191" s="1">
        <v>13.962</v>
      </c>
      <c r="Q191">
        <v>5.9</v>
      </c>
      <c r="R191" s="13">
        <v>43493</v>
      </c>
      <c r="S191">
        <f t="shared" si="8"/>
        <v>1</v>
      </c>
      <c r="T191">
        <f t="shared" si="9"/>
        <v>20</v>
      </c>
      <c r="U191">
        <f t="shared" si="10"/>
        <v>28</v>
      </c>
      <c r="V191" s="13" t="str">
        <f t="shared" si="11"/>
        <v>Monday</v>
      </c>
    </row>
    <row r="192" spans="1:22" x14ac:dyDescent="0.25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 s="1">
        <v>77.040000000000006</v>
      </c>
      <c r="H192">
        <v>3</v>
      </c>
      <c r="I192" s="1">
        <v>11.555999999999999</v>
      </c>
      <c r="J192" s="1">
        <v>242.67599999999999</v>
      </c>
      <c r="K192" s="3">
        <v>43771</v>
      </c>
      <c r="L192" s="2">
        <v>0.44374999999999998</v>
      </c>
      <c r="M192" t="s">
        <v>33</v>
      </c>
      <c r="N192" s="1">
        <v>231.12</v>
      </c>
      <c r="O192" s="1">
        <v>4.7619047620000003</v>
      </c>
      <c r="P192" s="1">
        <v>11.555999999999999</v>
      </c>
      <c r="Q192">
        <v>7.2</v>
      </c>
      <c r="R192" s="13">
        <v>43507</v>
      </c>
      <c r="S192">
        <f t="shared" si="8"/>
        <v>2</v>
      </c>
      <c r="T192">
        <f t="shared" si="9"/>
        <v>10</v>
      </c>
      <c r="U192">
        <f t="shared" si="10"/>
        <v>11</v>
      </c>
      <c r="V192" s="13" t="str">
        <f t="shared" si="11"/>
        <v>Monday</v>
      </c>
    </row>
    <row r="193" spans="1:22" x14ac:dyDescent="0.25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 s="1">
        <v>73.52</v>
      </c>
      <c r="H193">
        <v>2</v>
      </c>
      <c r="I193" s="1">
        <v>7.3520000000000003</v>
      </c>
      <c r="J193" s="1">
        <v>154.392</v>
      </c>
      <c r="K193" s="3" t="s">
        <v>58</v>
      </c>
      <c r="L193" s="2">
        <v>0.57013888888888886</v>
      </c>
      <c r="M193" t="s">
        <v>23</v>
      </c>
      <c r="N193" s="1">
        <v>147.04</v>
      </c>
      <c r="O193" s="1">
        <v>4.7619047620000003</v>
      </c>
      <c r="P193" s="1">
        <v>7.3520000000000003</v>
      </c>
      <c r="Q193">
        <v>4.5999999999999996</v>
      </c>
      <c r="R193" s="13">
        <v>43480</v>
      </c>
      <c r="S193">
        <f t="shared" si="8"/>
        <v>1</v>
      </c>
      <c r="T193">
        <f t="shared" si="9"/>
        <v>13</v>
      </c>
      <c r="U193">
        <f t="shared" si="10"/>
        <v>15</v>
      </c>
      <c r="V193" s="13" t="str">
        <f t="shared" si="11"/>
        <v>Tuesday</v>
      </c>
    </row>
    <row r="194" spans="1:22" x14ac:dyDescent="0.25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 s="1">
        <v>87.8</v>
      </c>
      <c r="H194">
        <v>9</v>
      </c>
      <c r="I194" s="1">
        <v>39.51</v>
      </c>
      <c r="J194" s="1">
        <v>829.71</v>
      </c>
      <c r="K194" s="3" t="s">
        <v>96</v>
      </c>
      <c r="L194" s="2">
        <v>0.79722222222222228</v>
      </c>
      <c r="M194" t="s">
        <v>29</v>
      </c>
      <c r="N194" s="1">
        <v>790.2</v>
      </c>
      <c r="O194" s="1">
        <v>4.7619047620000003</v>
      </c>
      <c r="P194" s="1">
        <v>39.51</v>
      </c>
      <c r="Q194">
        <v>9.1999999999999993</v>
      </c>
      <c r="R194" s="13">
        <v>43540</v>
      </c>
      <c r="S194">
        <f t="shared" si="8"/>
        <v>3</v>
      </c>
      <c r="T194">
        <f t="shared" si="9"/>
        <v>19</v>
      </c>
      <c r="U194">
        <f t="shared" si="10"/>
        <v>16</v>
      </c>
      <c r="V194" s="13" t="str">
        <f t="shared" si="11"/>
        <v>Saturday</v>
      </c>
    </row>
    <row r="195" spans="1:22" x14ac:dyDescent="0.25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 s="1">
        <v>25.55</v>
      </c>
      <c r="H195">
        <v>4</v>
      </c>
      <c r="I195" s="1">
        <v>5.1100000000000003</v>
      </c>
      <c r="J195" s="1">
        <v>107.31</v>
      </c>
      <c r="K195" s="3" t="s">
        <v>145</v>
      </c>
      <c r="L195" s="2">
        <v>0.84930555555555554</v>
      </c>
      <c r="M195" t="s">
        <v>23</v>
      </c>
      <c r="N195" s="1">
        <v>102.2</v>
      </c>
      <c r="O195" s="1">
        <v>4.7619047620000003</v>
      </c>
      <c r="P195" s="1">
        <v>5.1100000000000003</v>
      </c>
      <c r="Q195">
        <v>5.7</v>
      </c>
      <c r="R195" s="13">
        <v>43491</v>
      </c>
      <c r="S195">
        <f t="shared" ref="S195:S258" si="12">MONTH(R195)</f>
        <v>1</v>
      </c>
      <c r="T195">
        <f t="shared" ref="T195:T258" si="13">HOUR(L195)</f>
        <v>20</v>
      </c>
      <c r="U195">
        <f t="shared" ref="U195:U258" si="14">DAY(R195)</f>
        <v>26</v>
      </c>
      <c r="V195" s="13" t="str">
        <f t="shared" ref="V195:V258" si="15">TEXT(R195,"DDDD")</f>
        <v>Saturday</v>
      </c>
    </row>
    <row r="196" spans="1:22" x14ac:dyDescent="0.25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 s="1">
        <v>32.71</v>
      </c>
      <c r="H196">
        <v>5</v>
      </c>
      <c r="I196" s="1">
        <v>8.1775000000000002</v>
      </c>
      <c r="J196" s="1">
        <v>171.72749999999999</v>
      </c>
      <c r="K196" s="3" t="s">
        <v>103</v>
      </c>
      <c r="L196" s="2">
        <v>0.47916666666666669</v>
      </c>
      <c r="M196" t="s">
        <v>33</v>
      </c>
      <c r="N196" s="1">
        <v>163.55000000000001</v>
      </c>
      <c r="O196" s="1">
        <v>4.7619047620000003</v>
      </c>
      <c r="P196" s="1">
        <v>8.1775000000000002</v>
      </c>
      <c r="Q196">
        <v>9.9</v>
      </c>
      <c r="R196" s="13">
        <v>43543</v>
      </c>
      <c r="S196">
        <f t="shared" si="12"/>
        <v>3</v>
      </c>
      <c r="T196">
        <f t="shared" si="13"/>
        <v>11</v>
      </c>
      <c r="U196">
        <f t="shared" si="14"/>
        <v>19</v>
      </c>
      <c r="V196" s="13" t="str">
        <f t="shared" si="15"/>
        <v>Tuesday</v>
      </c>
    </row>
    <row r="197" spans="1:22" x14ac:dyDescent="0.25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 s="1">
        <v>74.290000000000006</v>
      </c>
      <c r="H197">
        <v>1</v>
      </c>
      <c r="I197" s="1">
        <v>3.7145000000000001</v>
      </c>
      <c r="J197" s="1">
        <v>78.004499999999993</v>
      </c>
      <c r="K197" s="3" t="s">
        <v>138</v>
      </c>
      <c r="L197" s="2">
        <v>0.8125</v>
      </c>
      <c r="M197" t="s">
        <v>29</v>
      </c>
      <c r="N197" s="1">
        <v>74.290000000000006</v>
      </c>
      <c r="O197" s="1">
        <v>4.7619047620000003</v>
      </c>
      <c r="P197" s="1">
        <v>3.7145000000000001</v>
      </c>
      <c r="Q197">
        <v>5</v>
      </c>
      <c r="R197" s="13">
        <v>43478</v>
      </c>
      <c r="S197">
        <f t="shared" si="12"/>
        <v>1</v>
      </c>
      <c r="T197">
        <f t="shared" si="13"/>
        <v>19</v>
      </c>
      <c r="U197">
        <f t="shared" si="14"/>
        <v>13</v>
      </c>
      <c r="V197" s="13" t="str">
        <f t="shared" si="15"/>
        <v>Sunday</v>
      </c>
    </row>
    <row r="198" spans="1:22" x14ac:dyDescent="0.25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 s="1">
        <v>43.7</v>
      </c>
      <c r="H198">
        <v>2</v>
      </c>
      <c r="I198" s="1">
        <v>4.37</v>
      </c>
      <c r="J198" s="1">
        <v>91.77</v>
      </c>
      <c r="K198" s="3" t="s">
        <v>167</v>
      </c>
      <c r="L198" s="2">
        <v>0.75208333333333333</v>
      </c>
      <c r="M198" t="s">
        <v>29</v>
      </c>
      <c r="N198" s="1">
        <v>87.4</v>
      </c>
      <c r="O198" s="1">
        <v>4.7619047620000003</v>
      </c>
      <c r="P198" s="1">
        <v>4.37</v>
      </c>
      <c r="Q198">
        <v>4.9000000000000004</v>
      </c>
      <c r="R198" s="13">
        <v>43550</v>
      </c>
      <c r="S198">
        <f t="shared" si="12"/>
        <v>3</v>
      </c>
      <c r="T198">
        <f t="shared" si="13"/>
        <v>18</v>
      </c>
      <c r="U198">
        <f t="shared" si="14"/>
        <v>26</v>
      </c>
      <c r="V198" s="13" t="str">
        <f t="shared" si="15"/>
        <v>Tuesday</v>
      </c>
    </row>
    <row r="199" spans="1:22" x14ac:dyDescent="0.25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 s="1">
        <v>25.29</v>
      </c>
      <c r="H199">
        <v>1</v>
      </c>
      <c r="I199" s="1">
        <v>1.2645</v>
      </c>
      <c r="J199" s="1">
        <v>26.554500000000001</v>
      </c>
      <c r="K199" s="3" t="s">
        <v>88</v>
      </c>
      <c r="L199" s="2">
        <v>0.42569444444444443</v>
      </c>
      <c r="M199" t="s">
        <v>23</v>
      </c>
      <c r="N199" s="1">
        <v>25.29</v>
      </c>
      <c r="O199" s="1">
        <v>4.7619047620000003</v>
      </c>
      <c r="P199" s="1">
        <v>1.2645</v>
      </c>
      <c r="Q199">
        <v>6.1</v>
      </c>
      <c r="R199" s="13">
        <v>43547</v>
      </c>
      <c r="S199">
        <f t="shared" si="12"/>
        <v>3</v>
      </c>
      <c r="T199">
        <f t="shared" si="13"/>
        <v>10</v>
      </c>
      <c r="U199">
        <f t="shared" si="14"/>
        <v>23</v>
      </c>
      <c r="V199" s="13" t="str">
        <f t="shared" si="15"/>
        <v>Saturday</v>
      </c>
    </row>
    <row r="200" spans="1:22" x14ac:dyDescent="0.25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 s="1">
        <v>41.5</v>
      </c>
      <c r="H200">
        <v>4</v>
      </c>
      <c r="I200" s="1">
        <v>8.3000000000000007</v>
      </c>
      <c r="J200" s="1">
        <v>174.3</v>
      </c>
      <c r="K200" s="3">
        <v>43802</v>
      </c>
      <c r="L200" s="2">
        <v>0.83194444444444449</v>
      </c>
      <c r="M200" t="s">
        <v>33</v>
      </c>
      <c r="N200" s="1">
        <v>166</v>
      </c>
      <c r="O200" s="1">
        <v>4.7619047620000003</v>
      </c>
      <c r="P200" s="1">
        <v>8.3000000000000007</v>
      </c>
      <c r="Q200">
        <v>8.1999999999999993</v>
      </c>
      <c r="R200" s="13">
        <v>43536</v>
      </c>
      <c r="S200">
        <f t="shared" si="12"/>
        <v>3</v>
      </c>
      <c r="T200">
        <f t="shared" si="13"/>
        <v>19</v>
      </c>
      <c r="U200">
        <f t="shared" si="14"/>
        <v>12</v>
      </c>
      <c r="V200" s="13" t="str">
        <f t="shared" si="15"/>
        <v>Tuesday</v>
      </c>
    </row>
    <row r="201" spans="1:22" x14ac:dyDescent="0.25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 s="1">
        <v>71.39</v>
      </c>
      <c r="H201">
        <v>5</v>
      </c>
      <c r="I201" s="1">
        <v>17.8475</v>
      </c>
      <c r="J201" s="1">
        <v>374.79750000000001</v>
      </c>
      <c r="K201" s="3" t="s">
        <v>69</v>
      </c>
      <c r="L201" s="2">
        <v>0.83125000000000004</v>
      </c>
      <c r="M201" t="s">
        <v>33</v>
      </c>
      <c r="N201" s="1">
        <v>356.95</v>
      </c>
      <c r="O201" s="1">
        <v>4.7619047620000003</v>
      </c>
      <c r="P201" s="1">
        <v>17.8475</v>
      </c>
      <c r="Q201">
        <v>5.5</v>
      </c>
      <c r="R201" s="13">
        <v>43513</v>
      </c>
      <c r="S201">
        <f t="shared" si="12"/>
        <v>2</v>
      </c>
      <c r="T201">
        <f t="shared" si="13"/>
        <v>19</v>
      </c>
      <c r="U201">
        <f t="shared" si="14"/>
        <v>17</v>
      </c>
      <c r="V201" s="13" t="str">
        <f t="shared" si="15"/>
        <v>Sunday</v>
      </c>
    </row>
    <row r="202" spans="1:22" x14ac:dyDescent="0.25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 s="1">
        <v>19.149999999999999</v>
      </c>
      <c r="H202">
        <v>6</v>
      </c>
      <c r="I202" s="1">
        <v>5.7450000000000001</v>
      </c>
      <c r="J202" s="1">
        <v>120.645</v>
      </c>
      <c r="K202" s="3" t="s">
        <v>228</v>
      </c>
      <c r="L202" s="2">
        <v>0.41736111111111113</v>
      </c>
      <c r="M202" t="s">
        <v>33</v>
      </c>
      <c r="N202" s="1">
        <v>114.9</v>
      </c>
      <c r="O202" s="1">
        <v>4.7619047620000003</v>
      </c>
      <c r="P202" s="1">
        <v>5.7450000000000001</v>
      </c>
      <c r="Q202">
        <v>6.8</v>
      </c>
      <c r="R202" s="13">
        <v>43494</v>
      </c>
      <c r="S202">
        <f t="shared" si="12"/>
        <v>1</v>
      </c>
      <c r="T202">
        <f t="shared" si="13"/>
        <v>10</v>
      </c>
      <c r="U202">
        <f t="shared" si="14"/>
        <v>29</v>
      </c>
      <c r="V202" s="13" t="str">
        <f t="shared" si="15"/>
        <v>Tuesday</v>
      </c>
    </row>
    <row r="203" spans="1:22" x14ac:dyDescent="0.25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 s="1">
        <v>57.49</v>
      </c>
      <c r="H203">
        <v>4</v>
      </c>
      <c r="I203" s="1">
        <v>11.497999999999999</v>
      </c>
      <c r="J203" s="1">
        <v>241.458</v>
      </c>
      <c r="K203" s="3" t="s">
        <v>67</v>
      </c>
      <c r="L203" s="2">
        <v>0.49791666666666667</v>
      </c>
      <c r="M203" t="s">
        <v>29</v>
      </c>
      <c r="N203" s="1">
        <v>229.96</v>
      </c>
      <c r="O203" s="1">
        <v>4.7619047620000003</v>
      </c>
      <c r="P203" s="1">
        <v>11.497999999999999</v>
      </c>
      <c r="Q203">
        <v>6.6</v>
      </c>
      <c r="R203" s="13">
        <v>43539</v>
      </c>
      <c r="S203">
        <f t="shared" si="12"/>
        <v>3</v>
      </c>
      <c r="T203">
        <f t="shared" si="13"/>
        <v>11</v>
      </c>
      <c r="U203">
        <f t="shared" si="14"/>
        <v>15</v>
      </c>
      <c r="V203" s="13" t="str">
        <f t="shared" si="15"/>
        <v>Friday</v>
      </c>
    </row>
    <row r="204" spans="1:22" x14ac:dyDescent="0.25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 s="1">
        <v>61.41</v>
      </c>
      <c r="H204">
        <v>7</v>
      </c>
      <c r="I204" s="1">
        <v>21.493500000000001</v>
      </c>
      <c r="J204" s="1">
        <v>451.36349999999999</v>
      </c>
      <c r="K204" s="3" t="s">
        <v>283</v>
      </c>
      <c r="L204" s="2">
        <v>0.41805555555555557</v>
      </c>
      <c r="M204" t="s">
        <v>29</v>
      </c>
      <c r="N204" s="1">
        <v>429.87</v>
      </c>
      <c r="O204" s="1">
        <v>4.7619047620000003</v>
      </c>
      <c r="P204" s="1">
        <v>21.493500000000001</v>
      </c>
      <c r="Q204">
        <v>9.8000000000000007</v>
      </c>
      <c r="R204" s="13">
        <v>43479</v>
      </c>
      <c r="S204">
        <f t="shared" si="12"/>
        <v>1</v>
      </c>
      <c r="T204">
        <f t="shared" si="13"/>
        <v>10</v>
      </c>
      <c r="U204">
        <f t="shared" si="14"/>
        <v>14</v>
      </c>
      <c r="V204" s="13" t="str">
        <f t="shared" si="15"/>
        <v>Monday</v>
      </c>
    </row>
    <row r="205" spans="1:22" x14ac:dyDescent="0.25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 s="1">
        <v>25.9</v>
      </c>
      <c r="H205">
        <v>10</v>
      </c>
      <c r="I205" s="1">
        <v>12.95</v>
      </c>
      <c r="J205" s="1">
        <v>271.95</v>
      </c>
      <c r="K205" s="3">
        <v>43618</v>
      </c>
      <c r="L205" s="2">
        <v>0.61875000000000002</v>
      </c>
      <c r="M205" t="s">
        <v>23</v>
      </c>
      <c r="N205" s="1">
        <v>259</v>
      </c>
      <c r="O205" s="1">
        <v>4.7619047620000003</v>
      </c>
      <c r="P205" s="1">
        <v>12.95</v>
      </c>
      <c r="Q205">
        <v>8.6999999999999993</v>
      </c>
      <c r="R205" s="13">
        <v>43502</v>
      </c>
      <c r="S205">
        <f t="shared" si="12"/>
        <v>2</v>
      </c>
      <c r="T205">
        <f t="shared" si="13"/>
        <v>14</v>
      </c>
      <c r="U205">
        <f t="shared" si="14"/>
        <v>6</v>
      </c>
      <c r="V205" s="13" t="str">
        <f t="shared" si="15"/>
        <v>Wednesday</v>
      </c>
    </row>
    <row r="206" spans="1:22" x14ac:dyDescent="0.25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 s="1">
        <v>17.77</v>
      </c>
      <c r="H206">
        <v>5</v>
      </c>
      <c r="I206" s="1">
        <v>4.4424999999999999</v>
      </c>
      <c r="J206" s="1">
        <v>93.292500000000004</v>
      </c>
      <c r="K206" s="3" t="s">
        <v>118</v>
      </c>
      <c r="L206" s="2">
        <v>0.52916666666666667</v>
      </c>
      <c r="M206" t="s">
        <v>33</v>
      </c>
      <c r="N206" s="1">
        <v>88.85</v>
      </c>
      <c r="O206" s="1">
        <v>4.7619047620000003</v>
      </c>
      <c r="P206" s="1">
        <v>4.4424999999999999</v>
      </c>
      <c r="Q206">
        <v>5.4</v>
      </c>
      <c r="R206" s="13">
        <v>43511</v>
      </c>
      <c r="S206">
        <f t="shared" si="12"/>
        <v>2</v>
      </c>
      <c r="T206">
        <f t="shared" si="13"/>
        <v>12</v>
      </c>
      <c r="U206">
        <f t="shared" si="14"/>
        <v>15</v>
      </c>
      <c r="V206" s="13" t="str">
        <f t="shared" si="15"/>
        <v>Friday</v>
      </c>
    </row>
    <row r="207" spans="1:22" x14ac:dyDescent="0.25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 s="1">
        <v>23.03</v>
      </c>
      <c r="H207">
        <v>9</v>
      </c>
      <c r="I207" s="1">
        <v>10.3635</v>
      </c>
      <c r="J207" s="1">
        <v>217.6335</v>
      </c>
      <c r="K207" s="3">
        <v>43525</v>
      </c>
      <c r="L207" s="2">
        <v>0.50138888888888888</v>
      </c>
      <c r="M207" t="s">
        <v>23</v>
      </c>
      <c r="N207" s="1">
        <v>207.27</v>
      </c>
      <c r="O207" s="1">
        <v>4.7619047620000003</v>
      </c>
      <c r="P207" s="1">
        <v>10.3635</v>
      </c>
      <c r="Q207">
        <v>7.9</v>
      </c>
      <c r="R207" s="13">
        <v>43468</v>
      </c>
      <c r="S207">
        <f t="shared" si="12"/>
        <v>1</v>
      </c>
      <c r="T207">
        <f t="shared" si="13"/>
        <v>12</v>
      </c>
      <c r="U207">
        <f t="shared" si="14"/>
        <v>3</v>
      </c>
      <c r="V207" s="13" t="str">
        <f t="shared" si="15"/>
        <v>Thursday</v>
      </c>
    </row>
    <row r="208" spans="1:22" x14ac:dyDescent="0.25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 s="1">
        <v>66.650000000000006</v>
      </c>
      <c r="H208">
        <v>9</v>
      </c>
      <c r="I208" s="1">
        <v>29.9925</v>
      </c>
      <c r="J208" s="1">
        <v>629.84249999999997</v>
      </c>
      <c r="K208" s="3">
        <v>43556</v>
      </c>
      <c r="L208" s="2">
        <v>0.7631944444444444</v>
      </c>
      <c r="M208" t="s">
        <v>33</v>
      </c>
      <c r="N208" s="1">
        <v>599.85</v>
      </c>
      <c r="O208" s="1">
        <v>4.7619047620000003</v>
      </c>
      <c r="P208" s="1">
        <v>29.9925</v>
      </c>
      <c r="Q208">
        <v>9.6999999999999993</v>
      </c>
      <c r="R208" s="13">
        <v>43469</v>
      </c>
      <c r="S208">
        <f t="shared" si="12"/>
        <v>1</v>
      </c>
      <c r="T208">
        <f t="shared" si="13"/>
        <v>18</v>
      </c>
      <c r="U208">
        <f t="shared" si="14"/>
        <v>4</v>
      </c>
      <c r="V208" s="13" t="str">
        <f t="shared" si="15"/>
        <v>Friday</v>
      </c>
    </row>
    <row r="209" spans="1:22" x14ac:dyDescent="0.25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 s="1">
        <v>28.53</v>
      </c>
      <c r="H209">
        <v>10</v>
      </c>
      <c r="I209" s="1">
        <v>14.265000000000001</v>
      </c>
      <c r="J209" s="1">
        <v>299.565</v>
      </c>
      <c r="K209" s="3" t="s">
        <v>289</v>
      </c>
      <c r="L209" s="2">
        <v>0.73472222222222228</v>
      </c>
      <c r="M209" t="s">
        <v>23</v>
      </c>
      <c r="N209" s="1">
        <v>285.3</v>
      </c>
      <c r="O209" s="1">
        <v>4.7619047620000003</v>
      </c>
      <c r="P209" s="1">
        <v>14.265000000000001</v>
      </c>
      <c r="Q209">
        <v>7.8</v>
      </c>
      <c r="R209" s="13">
        <v>43542</v>
      </c>
      <c r="S209">
        <f t="shared" si="12"/>
        <v>3</v>
      </c>
      <c r="T209">
        <f t="shared" si="13"/>
        <v>17</v>
      </c>
      <c r="U209">
        <f t="shared" si="14"/>
        <v>18</v>
      </c>
      <c r="V209" s="13" t="str">
        <f t="shared" si="15"/>
        <v>Monday</v>
      </c>
    </row>
    <row r="210" spans="1:22" x14ac:dyDescent="0.25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 s="1">
        <v>30.37</v>
      </c>
      <c r="H210">
        <v>3</v>
      </c>
      <c r="I210" s="1">
        <v>4.5555000000000003</v>
      </c>
      <c r="J210" s="1">
        <v>95.665499999999994</v>
      </c>
      <c r="K210" s="3" t="s">
        <v>171</v>
      </c>
      <c r="L210" s="2">
        <v>0.57013888888888886</v>
      </c>
      <c r="M210" t="s">
        <v>23</v>
      </c>
      <c r="N210" s="1">
        <v>91.11</v>
      </c>
      <c r="O210" s="1">
        <v>4.7619047620000003</v>
      </c>
      <c r="P210" s="1">
        <v>4.5555000000000003</v>
      </c>
      <c r="Q210">
        <v>5.0999999999999996</v>
      </c>
      <c r="R210" s="13">
        <v>43552</v>
      </c>
      <c r="S210">
        <f t="shared" si="12"/>
        <v>3</v>
      </c>
      <c r="T210">
        <f t="shared" si="13"/>
        <v>13</v>
      </c>
      <c r="U210">
        <f t="shared" si="14"/>
        <v>28</v>
      </c>
      <c r="V210" s="13" t="str">
        <f t="shared" si="15"/>
        <v>Thursday</v>
      </c>
    </row>
    <row r="211" spans="1:22" x14ac:dyDescent="0.25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 s="1">
        <v>99.73</v>
      </c>
      <c r="H211">
        <v>9</v>
      </c>
      <c r="I211" s="1">
        <v>44.878500000000003</v>
      </c>
      <c r="J211" s="1">
        <v>942.44849999999997</v>
      </c>
      <c r="K211" s="3">
        <v>43499</v>
      </c>
      <c r="L211" s="2">
        <v>0.8208333333333333</v>
      </c>
      <c r="M211" t="s">
        <v>33</v>
      </c>
      <c r="N211" s="1">
        <v>897.57</v>
      </c>
      <c r="O211" s="1">
        <v>4.7619047620000003</v>
      </c>
      <c r="P211" s="1">
        <v>44.878500000000003</v>
      </c>
      <c r="Q211">
        <v>6.5</v>
      </c>
      <c r="R211" s="13">
        <v>43526</v>
      </c>
      <c r="S211">
        <f t="shared" si="12"/>
        <v>3</v>
      </c>
      <c r="T211">
        <f t="shared" si="13"/>
        <v>19</v>
      </c>
      <c r="U211">
        <f t="shared" si="14"/>
        <v>2</v>
      </c>
      <c r="V211" s="13" t="str">
        <f t="shared" si="15"/>
        <v>Saturday</v>
      </c>
    </row>
    <row r="212" spans="1:22" x14ac:dyDescent="0.25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 s="1">
        <v>26.23</v>
      </c>
      <c r="H212">
        <v>9</v>
      </c>
      <c r="I212" s="1">
        <v>11.8035</v>
      </c>
      <c r="J212" s="1">
        <v>247.87350000000001</v>
      </c>
      <c r="K212" s="3" t="s">
        <v>76</v>
      </c>
      <c r="L212" s="2">
        <v>0.85</v>
      </c>
      <c r="M212" t="s">
        <v>23</v>
      </c>
      <c r="N212" s="1">
        <v>236.07</v>
      </c>
      <c r="O212" s="1">
        <v>4.7619047620000003</v>
      </c>
      <c r="P212" s="1">
        <v>11.8035</v>
      </c>
      <c r="Q212">
        <v>5.9</v>
      </c>
      <c r="R212" s="13">
        <v>43490</v>
      </c>
      <c r="S212">
        <f t="shared" si="12"/>
        <v>1</v>
      </c>
      <c r="T212">
        <f t="shared" si="13"/>
        <v>20</v>
      </c>
      <c r="U212">
        <f t="shared" si="14"/>
        <v>25</v>
      </c>
      <c r="V212" s="13" t="str">
        <f t="shared" si="15"/>
        <v>Friday</v>
      </c>
    </row>
    <row r="213" spans="1:22" x14ac:dyDescent="0.25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 s="1">
        <v>93.26</v>
      </c>
      <c r="H213">
        <v>9</v>
      </c>
      <c r="I213" s="1">
        <v>41.966999999999999</v>
      </c>
      <c r="J213" s="1">
        <v>881.30700000000002</v>
      </c>
      <c r="K213" s="3" t="s">
        <v>188</v>
      </c>
      <c r="L213" s="2">
        <v>0.75555555555555554</v>
      </c>
      <c r="M213" t="s">
        <v>29</v>
      </c>
      <c r="N213" s="1">
        <v>839.34</v>
      </c>
      <c r="O213" s="1">
        <v>4.7619047620000003</v>
      </c>
      <c r="P213" s="1">
        <v>41.966999999999999</v>
      </c>
      <c r="Q213">
        <v>8.8000000000000007</v>
      </c>
      <c r="R213" s="13">
        <v>43481</v>
      </c>
      <c r="S213">
        <f t="shared" si="12"/>
        <v>1</v>
      </c>
      <c r="T213">
        <f t="shared" si="13"/>
        <v>18</v>
      </c>
      <c r="U213">
        <f t="shared" si="14"/>
        <v>16</v>
      </c>
      <c r="V213" s="13" t="str">
        <f t="shared" si="15"/>
        <v>Wednesday</v>
      </c>
    </row>
    <row r="214" spans="1:22" x14ac:dyDescent="0.25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 s="1">
        <v>92.36</v>
      </c>
      <c r="H214">
        <v>5</v>
      </c>
      <c r="I214" s="1">
        <v>23.09</v>
      </c>
      <c r="J214" s="1">
        <v>484.89</v>
      </c>
      <c r="K214" s="3" t="s">
        <v>295</v>
      </c>
      <c r="L214" s="2">
        <v>0.80347222222222225</v>
      </c>
      <c r="M214" t="s">
        <v>23</v>
      </c>
      <c r="N214" s="1">
        <v>461.8</v>
      </c>
      <c r="O214" s="1">
        <v>4.7619047620000003</v>
      </c>
      <c r="P214" s="1">
        <v>23.09</v>
      </c>
      <c r="Q214">
        <v>4.9000000000000004</v>
      </c>
      <c r="R214" s="13">
        <v>43544</v>
      </c>
      <c r="S214">
        <f t="shared" si="12"/>
        <v>3</v>
      </c>
      <c r="T214">
        <f t="shared" si="13"/>
        <v>19</v>
      </c>
      <c r="U214">
        <f t="shared" si="14"/>
        <v>20</v>
      </c>
      <c r="V214" s="13" t="str">
        <f t="shared" si="15"/>
        <v>Wednesday</v>
      </c>
    </row>
    <row r="215" spans="1:22" x14ac:dyDescent="0.25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 s="1">
        <v>46.42</v>
      </c>
      <c r="H215">
        <v>3</v>
      </c>
      <c r="I215" s="1">
        <v>6.9630000000000001</v>
      </c>
      <c r="J215" s="1">
        <v>146.22300000000001</v>
      </c>
      <c r="K215" s="3">
        <v>43556</v>
      </c>
      <c r="L215" s="2">
        <v>0.55833333333333335</v>
      </c>
      <c r="M215" t="s">
        <v>33</v>
      </c>
      <c r="N215" s="1">
        <v>139.26</v>
      </c>
      <c r="O215" s="1">
        <v>4.7619047620000003</v>
      </c>
      <c r="P215" s="1">
        <v>6.9630000000000001</v>
      </c>
      <c r="Q215">
        <v>4.4000000000000004</v>
      </c>
      <c r="R215" s="13">
        <v>43469</v>
      </c>
      <c r="S215">
        <f t="shared" si="12"/>
        <v>1</v>
      </c>
      <c r="T215">
        <f t="shared" si="13"/>
        <v>13</v>
      </c>
      <c r="U215">
        <f t="shared" si="14"/>
        <v>4</v>
      </c>
      <c r="V215" s="13" t="str">
        <f t="shared" si="15"/>
        <v>Friday</v>
      </c>
    </row>
    <row r="216" spans="1:22" x14ac:dyDescent="0.25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 s="1">
        <v>29.61</v>
      </c>
      <c r="H216">
        <v>7</v>
      </c>
      <c r="I216" s="1">
        <v>10.3635</v>
      </c>
      <c r="J216" s="1">
        <v>217.6335</v>
      </c>
      <c r="K216" s="3">
        <v>43772</v>
      </c>
      <c r="L216" s="2">
        <v>0.66180555555555554</v>
      </c>
      <c r="M216" t="s">
        <v>29</v>
      </c>
      <c r="N216" s="1">
        <v>207.27</v>
      </c>
      <c r="O216" s="1">
        <v>4.7619047620000003</v>
      </c>
      <c r="P216" s="1">
        <v>10.3635</v>
      </c>
      <c r="Q216">
        <v>6.5</v>
      </c>
      <c r="R216" s="13">
        <v>43535</v>
      </c>
      <c r="S216">
        <f t="shared" si="12"/>
        <v>3</v>
      </c>
      <c r="T216">
        <f t="shared" si="13"/>
        <v>15</v>
      </c>
      <c r="U216">
        <f t="shared" si="14"/>
        <v>11</v>
      </c>
      <c r="V216" s="13" t="str">
        <f t="shared" si="15"/>
        <v>Monday</v>
      </c>
    </row>
    <row r="217" spans="1:22" x14ac:dyDescent="0.25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 s="1">
        <v>18.28</v>
      </c>
      <c r="H217">
        <v>1</v>
      </c>
      <c r="I217" s="1">
        <v>0.91400000000000003</v>
      </c>
      <c r="J217" s="1">
        <v>19.193999999999999</v>
      </c>
      <c r="K217" s="3" t="s">
        <v>72</v>
      </c>
      <c r="L217" s="2">
        <v>0.62847222222222221</v>
      </c>
      <c r="M217" t="s">
        <v>33</v>
      </c>
      <c r="N217" s="1">
        <v>18.28</v>
      </c>
      <c r="O217" s="1">
        <v>4.7619047620000003</v>
      </c>
      <c r="P217" s="1">
        <v>0.91400000000000003</v>
      </c>
      <c r="Q217">
        <v>8.3000000000000007</v>
      </c>
      <c r="R217" s="13">
        <v>43546</v>
      </c>
      <c r="S217">
        <f t="shared" si="12"/>
        <v>3</v>
      </c>
      <c r="T217">
        <f t="shared" si="13"/>
        <v>15</v>
      </c>
      <c r="U217">
        <f t="shared" si="14"/>
        <v>22</v>
      </c>
      <c r="V217" s="13" t="str">
        <f t="shared" si="15"/>
        <v>Friday</v>
      </c>
    </row>
    <row r="218" spans="1:22" x14ac:dyDescent="0.25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 s="1">
        <v>24.77</v>
      </c>
      <c r="H218">
        <v>5</v>
      </c>
      <c r="I218" s="1">
        <v>6.1924999999999999</v>
      </c>
      <c r="J218" s="1">
        <v>130.04249999999999</v>
      </c>
      <c r="K218" s="3" t="s">
        <v>177</v>
      </c>
      <c r="L218" s="2">
        <v>0.76875000000000004</v>
      </c>
      <c r="M218" t="s">
        <v>29</v>
      </c>
      <c r="N218" s="1">
        <v>123.85</v>
      </c>
      <c r="O218" s="1">
        <v>4.7619047620000003</v>
      </c>
      <c r="P218" s="1">
        <v>6.1924999999999999</v>
      </c>
      <c r="Q218">
        <v>8.5</v>
      </c>
      <c r="R218" s="13">
        <v>43548</v>
      </c>
      <c r="S218">
        <f t="shared" si="12"/>
        <v>3</v>
      </c>
      <c r="T218">
        <f t="shared" si="13"/>
        <v>18</v>
      </c>
      <c r="U218">
        <f t="shared" si="14"/>
        <v>24</v>
      </c>
      <c r="V218" s="13" t="str">
        <f t="shared" si="15"/>
        <v>Sunday</v>
      </c>
    </row>
    <row r="219" spans="1:22" x14ac:dyDescent="0.25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 s="1">
        <v>94.64</v>
      </c>
      <c r="H219">
        <v>3</v>
      </c>
      <c r="I219" s="1">
        <v>14.196</v>
      </c>
      <c r="J219" s="1">
        <v>298.11599999999999</v>
      </c>
      <c r="K219" s="3" t="s">
        <v>301</v>
      </c>
      <c r="L219" s="2">
        <v>0.70486111111111116</v>
      </c>
      <c r="M219" t="s">
        <v>29</v>
      </c>
      <c r="N219" s="1">
        <v>283.92</v>
      </c>
      <c r="O219" s="1">
        <v>4.7619047620000003</v>
      </c>
      <c r="P219" s="1">
        <v>14.196</v>
      </c>
      <c r="Q219">
        <v>5.5</v>
      </c>
      <c r="R219" s="13">
        <v>43517</v>
      </c>
      <c r="S219">
        <f t="shared" si="12"/>
        <v>2</v>
      </c>
      <c r="T219">
        <f t="shared" si="13"/>
        <v>16</v>
      </c>
      <c r="U219">
        <f t="shared" si="14"/>
        <v>21</v>
      </c>
      <c r="V219" s="13" t="str">
        <f t="shared" si="15"/>
        <v>Thursday</v>
      </c>
    </row>
    <row r="220" spans="1:22" x14ac:dyDescent="0.25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 s="1">
        <v>94.87</v>
      </c>
      <c r="H220">
        <v>8</v>
      </c>
      <c r="I220" s="1">
        <v>37.948</v>
      </c>
      <c r="J220" s="1">
        <v>796.90800000000002</v>
      </c>
      <c r="K220" s="3">
        <v>43801</v>
      </c>
      <c r="L220" s="2">
        <v>0.54027777777777775</v>
      </c>
      <c r="M220" t="s">
        <v>23</v>
      </c>
      <c r="N220" s="1">
        <v>758.96</v>
      </c>
      <c r="O220" s="1">
        <v>4.7619047620000003</v>
      </c>
      <c r="P220" s="1">
        <v>37.948</v>
      </c>
      <c r="Q220">
        <v>8.6999999999999993</v>
      </c>
      <c r="R220" s="13">
        <v>43508</v>
      </c>
      <c r="S220">
        <f t="shared" si="12"/>
        <v>2</v>
      </c>
      <c r="T220">
        <f t="shared" si="13"/>
        <v>12</v>
      </c>
      <c r="U220">
        <f t="shared" si="14"/>
        <v>12</v>
      </c>
      <c r="V220" s="13" t="str">
        <f t="shared" si="15"/>
        <v>Tuesday</v>
      </c>
    </row>
    <row r="221" spans="1:22" x14ac:dyDescent="0.25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 s="1">
        <v>57.34</v>
      </c>
      <c r="H221">
        <v>3</v>
      </c>
      <c r="I221" s="1">
        <v>8.6010000000000009</v>
      </c>
      <c r="J221" s="1">
        <v>180.62100000000001</v>
      </c>
      <c r="K221" s="3">
        <v>43741</v>
      </c>
      <c r="L221" s="2">
        <v>0.79097222222222219</v>
      </c>
      <c r="M221" t="s">
        <v>33</v>
      </c>
      <c r="N221" s="1">
        <v>172.02</v>
      </c>
      <c r="O221" s="1">
        <v>4.7619047620000003</v>
      </c>
      <c r="P221" s="1">
        <v>8.6010000000000009</v>
      </c>
      <c r="Q221">
        <v>7.9</v>
      </c>
      <c r="R221" s="13">
        <v>43534</v>
      </c>
      <c r="S221">
        <f t="shared" si="12"/>
        <v>3</v>
      </c>
      <c r="T221">
        <f t="shared" si="13"/>
        <v>18</v>
      </c>
      <c r="U221">
        <f t="shared" si="14"/>
        <v>10</v>
      </c>
      <c r="V221" s="13" t="str">
        <f t="shared" si="15"/>
        <v>Sunday</v>
      </c>
    </row>
    <row r="222" spans="1:22" x14ac:dyDescent="0.25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 s="1">
        <v>45.35</v>
      </c>
      <c r="H222">
        <v>6</v>
      </c>
      <c r="I222" s="1">
        <v>13.605</v>
      </c>
      <c r="J222" s="1">
        <v>285.70499999999998</v>
      </c>
      <c r="K222" s="3" t="s">
        <v>305</v>
      </c>
      <c r="L222" s="2">
        <v>0.57222222222222219</v>
      </c>
      <c r="M222" t="s">
        <v>23</v>
      </c>
      <c r="N222" s="1">
        <v>272.10000000000002</v>
      </c>
      <c r="O222" s="1">
        <v>4.7619047620000003</v>
      </c>
      <c r="P222" s="1">
        <v>13.605</v>
      </c>
      <c r="Q222">
        <v>6.1</v>
      </c>
      <c r="R222" s="13">
        <v>43496</v>
      </c>
      <c r="S222">
        <f t="shared" si="12"/>
        <v>1</v>
      </c>
      <c r="T222">
        <f t="shared" si="13"/>
        <v>13</v>
      </c>
      <c r="U222">
        <f t="shared" si="14"/>
        <v>31</v>
      </c>
      <c r="V222" s="13" t="str">
        <f t="shared" si="15"/>
        <v>Thursday</v>
      </c>
    </row>
    <row r="223" spans="1:22" x14ac:dyDescent="0.25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 s="1">
        <v>62.08</v>
      </c>
      <c r="H223">
        <v>7</v>
      </c>
      <c r="I223" s="1">
        <v>21.728000000000002</v>
      </c>
      <c r="J223" s="1">
        <v>456.28800000000001</v>
      </c>
      <c r="K223" s="3">
        <v>43619</v>
      </c>
      <c r="L223" s="2">
        <v>0.57361111111111107</v>
      </c>
      <c r="M223" t="s">
        <v>23</v>
      </c>
      <c r="N223" s="1">
        <v>434.56</v>
      </c>
      <c r="O223" s="1">
        <v>4.7619047620000003</v>
      </c>
      <c r="P223" s="1">
        <v>21.728000000000002</v>
      </c>
      <c r="Q223">
        <v>5.4</v>
      </c>
      <c r="R223" s="13">
        <v>43530</v>
      </c>
      <c r="S223">
        <f t="shared" si="12"/>
        <v>3</v>
      </c>
      <c r="T223">
        <f t="shared" si="13"/>
        <v>13</v>
      </c>
      <c r="U223">
        <f t="shared" si="14"/>
        <v>6</v>
      </c>
      <c r="V223" s="13" t="str">
        <f t="shared" si="15"/>
        <v>Wednesday</v>
      </c>
    </row>
    <row r="224" spans="1:22" x14ac:dyDescent="0.25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 s="1">
        <v>11.81</v>
      </c>
      <c r="H224">
        <v>5</v>
      </c>
      <c r="I224" s="1">
        <v>2.9525000000000001</v>
      </c>
      <c r="J224" s="1">
        <v>62.002499999999998</v>
      </c>
      <c r="K224" s="3" t="s">
        <v>69</v>
      </c>
      <c r="L224" s="2">
        <v>0.75416666666666665</v>
      </c>
      <c r="M224" t="s">
        <v>29</v>
      </c>
      <c r="N224" s="1">
        <v>59.05</v>
      </c>
      <c r="O224" s="1">
        <v>4.7619047620000003</v>
      </c>
      <c r="P224" s="1">
        <v>2.9525000000000001</v>
      </c>
      <c r="Q224">
        <v>9.4</v>
      </c>
      <c r="R224" s="13">
        <v>43513</v>
      </c>
      <c r="S224">
        <f t="shared" si="12"/>
        <v>2</v>
      </c>
      <c r="T224">
        <f t="shared" si="13"/>
        <v>18</v>
      </c>
      <c r="U224">
        <f t="shared" si="14"/>
        <v>17</v>
      </c>
      <c r="V224" s="13" t="str">
        <f t="shared" si="15"/>
        <v>Sunday</v>
      </c>
    </row>
    <row r="225" spans="1:22" x14ac:dyDescent="0.25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 s="1">
        <v>12.54</v>
      </c>
      <c r="H225">
        <v>1</v>
      </c>
      <c r="I225" s="1">
        <v>0.627</v>
      </c>
      <c r="J225" s="1">
        <v>13.167</v>
      </c>
      <c r="K225" s="3" t="s">
        <v>301</v>
      </c>
      <c r="L225" s="2">
        <v>0.52638888888888891</v>
      </c>
      <c r="M225" t="s">
        <v>29</v>
      </c>
      <c r="N225" s="1">
        <v>12.54</v>
      </c>
      <c r="O225" s="1">
        <v>4.7619047620000003</v>
      </c>
      <c r="P225" s="1">
        <v>0.627</v>
      </c>
      <c r="Q225">
        <v>8.1999999999999993</v>
      </c>
      <c r="R225" s="13">
        <v>43517</v>
      </c>
      <c r="S225">
        <f t="shared" si="12"/>
        <v>2</v>
      </c>
      <c r="T225">
        <f t="shared" si="13"/>
        <v>12</v>
      </c>
      <c r="U225">
        <f t="shared" si="14"/>
        <v>21</v>
      </c>
      <c r="V225" s="13" t="str">
        <f t="shared" si="15"/>
        <v>Thursday</v>
      </c>
    </row>
    <row r="226" spans="1:22" x14ac:dyDescent="0.25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 s="1">
        <v>43.25</v>
      </c>
      <c r="H226">
        <v>2</v>
      </c>
      <c r="I226" s="1">
        <v>4.3250000000000002</v>
      </c>
      <c r="J226" s="1">
        <v>90.825000000000003</v>
      </c>
      <c r="K226" s="3" t="s">
        <v>295</v>
      </c>
      <c r="L226" s="2">
        <v>0.66388888888888886</v>
      </c>
      <c r="M226" t="s">
        <v>29</v>
      </c>
      <c r="N226" s="1">
        <v>86.5</v>
      </c>
      <c r="O226" s="1">
        <v>4.7619047620000003</v>
      </c>
      <c r="P226" s="1">
        <v>4.3250000000000002</v>
      </c>
      <c r="Q226">
        <v>6.2</v>
      </c>
      <c r="R226" s="13">
        <v>43544</v>
      </c>
      <c r="S226">
        <f t="shared" si="12"/>
        <v>3</v>
      </c>
      <c r="T226">
        <f t="shared" si="13"/>
        <v>15</v>
      </c>
      <c r="U226">
        <f t="shared" si="14"/>
        <v>20</v>
      </c>
      <c r="V226" s="13" t="str">
        <f t="shared" si="15"/>
        <v>Wednesday</v>
      </c>
    </row>
    <row r="227" spans="1:22" x14ac:dyDescent="0.25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 s="1">
        <v>87.16</v>
      </c>
      <c r="H227">
        <v>2</v>
      </c>
      <c r="I227" s="1">
        <v>8.7159999999999993</v>
      </c>
      <c r="J227" s="1">
        <v>183.036</v>
      </c>
      <c r="K227" s="3">
        <v>43770</v>
      </c>
      <c r="L227" s="2">
        <v>0.60347222222222219</v>
      </c>
      <c r="M227" t="s">
        <v>33</v>
      </c>
      <c r="N227" s="1">
        <v>174.32</v>
      </c>
      <c r="O227" s="1">
        <v>4.7619047620000003</v>
      </c>
      <c r="P227" s="1">
        <v>8.7159999999999993</v>
      </c>
      <c r="Q227">
        <v>9.6999999999999993</v>
      </c>
      <c r="R227" s="13">
        <v>43476</v>
      </c>
      <c r="S227">
        <f t="shared" si="12"/>
        <v>1</v>
      </c>
      <c r="T227">
        <f t="shared" si="13"/>
        <v>14</v>
      </c>
      <c r="U227">
        <f t="shared" si="14"/>
        <v>11</v>
      </c>
      <c r="V227" s="13" t="str">
        <f t="shared" si="15"/>
        <v>Friday</v>
      </c>
    </row>
    <row r="228" spans="1:22" x14ac:dyDescent="0.25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 s="1">
        <v>69.37</v>
      </c>
      <c r="H228">
        <v>9</v>
      </c>
      <c r="I228" s="1">
        <v>31.2165</v>
      </c>
      <c r="J228" s="1">
        <v>655.54650000000004</v>
      </c>
      <c r="K228" s="3" t="s">
        <v>145</v>
      </c>
      <c r="L228" s="2">
        <v>0.80138888888888893</v>
      </c>
      <c r="M228" t="s">
        <v>23</v>
      </c>
      <c r="N228" s="1">
        <v>624.33000000000004</v>
      </c>
      <c r="O228" s="1">
        <v>4.7619047620000003</v>
      </c>
      <c r="P228" s="1">
        <v>31.2165</v>
      </c>
      <c r="Q228">
        <v>4</v>
      </c>
      <c r="R228" s="13">
        <v>43491</v>
      </c>
      <c r="S228">
        <f t="shared" si="12"/>
        <v>1</v>
      </c>
      <c r="T228">
        <f t="shared" si="13"/>
        <v>19</v>
      </c>
      <c r="U228">
        <f t="shared" si="14"/>
        <v>26</v>
      </c>
      <c r="V228" s="13" t="str">
        <f t="shared" si="15"/>
        <v>Saturday</v>
      </c>
    </row>
    <row r="229" spans="1:22" x14ac:dyDescent="0.25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 s="1">
        <v>37.06</v>
      </c>
      <c r="H229">
        <v>4</v>
      </c>
      <c r="I229" s="1">
        <v>7.4119999999999999</v>
      </c>
      <c r="J229" s="1">
        <v>155.65199999999999</v>
      </c>
      <c r="K229" s="3" t="s">
        <v>305</v>
      </c>
      <c r="L229" s="2">
        <v>0.68333333333333335</v>
      </c>
      <c r="M229" t="s">
        <v>23</v>
      </c>
      <c r="N229" s="1">
        <v>148.24</v>
      </c>
      <c r="O229" s="1">
        <v>4.7619047620000003</v>
      </c>
      <c r="P229" s="1">
        <v>7.4119999999999999</v>
      </c>
      <c r="Q229">
        <v>9.6999999999999993</v>
      </c>
      <c r="R229" s="13">
        <v>43496</v>
      </c>
      <c r="S229">
        <f t="shared" si="12"/>
        <v>1</v>
      </c>
      <c r="T229">
        <f t="shared" si="13"/>
        <v>16</v>
      </c>
      <c r="U229">
        <f t="shared" si="14"/>
        <v>31</v>
      </c>
      <c r="V229" s="13" t="str">
        <f t="shared" si="15"/>
        <v>Thursday</v>
      </c>
    </row>
    <row r="230" spans="1:22" x14ac:dyDescent="0.25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 s="1">
        <v>90.7</v>
      </c>
      <c r="H230">
        <v>6</v>
      </c>
      <c r="I230" s="1">
        <v>27.21</v>
      </c>
      <c r="J230" s="1">
        <v>571.41</v>
      </c>
      <c r="K230" s="3" t="s">
        <v>314</v>
      </c>
      <c r="L230" s="2">
        <v>0.45277777777777778</v>
      </c>
      <c r="M230" t="s">
        <v>29</v>
      </c>
      <c r="N230" s="1">
        <v>544.20000000000005</v>
      </c>
      <c r="O230" s="1">
        <v>4.7619047620000003</v>
      </c>
      <c r="P230" s="1">
        <v>27.21</v>
      </c>
      <c r="Q230">
        <v>5.3</v>
      </c>
      <c r="R230" s="13">
        <v>43522</v>
      </c>
      <c r="S230">
        <f t="shared" si="12"/>
        <v>2</v>
      </c>
      <c r="T230">
        <f t="shared" si="13"/>
        <v>10</v>
      </c>
      <c r="U230">
        <f t="shared" si="14"/>
        <v>26</v>
      </c>
      <c r="V230" s="13" t="str">
        <f t="shared" si="15"/>
        <v>Tuesday</v>
      </c>
    </row>
    <row r="231" spans="1:22" x14ac:dyDescent="0.25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 s="1">
        <v>63.42</v>
      </c>
      <c r="H231">
        <v>8</v>
      </c>
      <c r="I231" s="1">
        <v>25.367999999999999</v>
      </c>
      <c r="J231" s="1">
        <v>532.72799999999995</v>
      </c>
      <c r="K231" s="3">
        <v>43772</v>
      </c>
      <c r="L231" s="2">
        <v>0.53819444444444442</v>
      </c>
      <c r="M231" t="s">
        <v>23</v>
      </c>
      <c r="N231" s="1">
        <v>507.36</v>
      </c>
      <c r="O231" s="1">
        <v>4.7619047620000003</v>
      </c>
      <c r="P231" s="1">
        <v>25.367999999999999</v>
      </c>
      <c r="Q231">
        <v>7.4</v>
      </c>
      <c r="R231" s="13">
        <v>43535</v>
      </c>
      <c r="S231">
        <f t="shared" si="12"/>
        <v>3</v>
      </c>
      <c r="T231">
        <f t="shared" si="13"/>
        <v>12</v>
      </c>
      <c r="U231">
        <f t="shared" si="14"/>
        <v>11</v>
      </c>
      <c r="V231" s="13" t="str">
        <f t="shared" si="15"/>
        <v>Monday</v>
      </c>
    </row>
    <row r="232" spans="1:22" x14ac:dyDescent="0.25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 s="1">
        <v>81.37</v>
      </c>
      <c r="H232">
        <v>2</v>
      </c>
      <c r="I232" s="1">
        <v>8.1370000000000005</v>
      </c>
      <c r="J232" s="1">
        <v>170.87700000000001</v>
      </c>
      <c r="K232" s="3" t="s">
        <v>145</v>
      </c>
      <c r="L232" s="2">
        <v>0.81111111111111112</v>
      </c>
      <c r="M232" t="s">
        <v>29</v>
      </c>
      <c r="N232" s="1">
        <v>162.74</v>
      </c>
      <c r="O232" s="1">
        <v>4.7619047620000003</v>
      </c>
      <c r="P232" s="1">
        <v>8.1370000000000005</v>
      </c>
      <c r="Q232">
        <v>6.5</v>
      </c>
      <c r="R232" s="13">
        <v>43491</v>
      </c>
      <c r="S232">
        <f t="shared" si="12"/>
        <v>1</v>
      </c>
      <c r="T232">
        <f t="shared" si="13"/>
        <v>19</v>
      </c>
      <c r="U232">
        <f t="shared" si="14"/>
        <v>26</v>
      </c>
      <c r="V232" s="13" t="str">
        <f t="shared" si="15"/>
        <v>Saturday</v>
      </c>
    </row>
    <row r="233" spans="1:22" x14ac:dyDescent="0.25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 s="1">
        <v>10.59</v>
      </c>
      <c r="H233">
        <v>3</v>
      </c>
      <c r="I233" s="1">
        <v>1.5885</v>
      </c>
      <c r="J233" s="1">
        <v>33.358499999999999</v>
      </c>
      <c r="K233" s="3">
        <v>43802</v>
      </c>
      <c r="L233" s="2">
        <v>0.57777777777777772</v>
      </c>
      <c r="M233" t="s">
        <v>33</v>
      </c>
      <c r="N233" s="1">
        <v>31.77</v>
      </c>
      <c r="O233" s="1">
        <v>4.7619047620000003</v>
      </c>
      <c r="P233" s="1">
        <v>1.5885</v>
      </c>
      <c r="Q233">
        <v>8.6999999999999993</v>
      </c>
      <c r="R233" s="13">
        <v>43536</v>
      </c>
      <c r="S233">
        <f t="shared" si="12"/>
        <v>3</v>
      </c>
      <c r="T233">
        <f t="shared" si="13"/>
        <v>13</v>
      </c>
      <c r="U233">
        <f t="shared" si="14"/>
        <v>12</v>
      </c>
      <c r="V233" s="13" t="str">
        <f t="shared" si="15"/>
        <v>Tuesday</v>
      </c>
    </row>
    <row r="234" spans="1:22" x14ac:dyDescent="0.25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 s="1">
        <v>84.09</v>
      </c>
      <c r="H234">
        <v>9</v>
      </c>
      <c r="I234" s="1">
        <v>37.840499999999999</v>
      </c>
      <c r="J234" s="1">
        <v>794.65049999999997</v>
      </c>
      <c r="K234" s="3">
        <v>43771</v>
      </c>
      <c r="L234" s="2">
        <v>0.45416666666666666</v>
      </c>
      <c r="M234" t="s">
        <v>29</v>
      </c>
      <c r="N234" s="1">
        <v>756.81</v>
      </c>
      <c r="O234" s="1">
        <v>4.7619047620000003</v>
      </c>
      <c r="P234" s="1">
        <v>37.840499999999999</v>
      </c>
      <c r="Q234">
        <v>8</v>
      </c>
      <c r="R234" s="13">
        <v>43507</v>
      </c>
      <c r="S234">
        <f t="shared" si="12"/>
        <v>2</v>
      </c>
      <c r="T234">
        <f t="shared" si="13"/>
        <v>10</v>
      </c>
      <c r="U234">
        <f t="shared" si="14"/>
        <v>11</v>
      </c>
      <c r="V234" s="13" t="str">
        <f t="shared" si="15"/>
        <v>Monday</v>
      </c>
    </row>
    <row r="235" spans="1:22" x14ac:dyDescent="0.25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 s="1">
        <v>73.819999999999993</v>
      </c>
      <c r="H235">
        <v>4</v>
      </c>
      <c r="I235" s="1">
        <v>14.763999999999999</v>
      </c>
      <c r="J235" s="1">
        <v>310.04399999999998</v>
      </c>
      <c r="K235" s="3" t="s">
        <v>301</v>
      </c>
      <c r="L235" s="2">
        <v>0.77152777777777781</v>
      </c>
      <c r="M235" t="s">
        <v>29</v>
      </c>
      <c r="N235" s="1">
        <v>295.27999999999997</v>
      </c>
      <c r="O235" s="1">
        <v>4.7619047620000003</v>
      </c>
      <c r="P235" s="1">
        <v>14.763999999999999</v>
      </c>
      <c r="Q235">
        <v>6.7</v>
      </c>
      <c r="R235" s="13">
        <v>43517</v>
      </c>
      <c r="S235">
        <f t="shared" si="12"/>
        <v>2</v>
      </c>
      <c r="T235">
        <f t="shared" si="13"/>
        <v>18</v>
      </c>
      <c r="U235">
        <f t="shared" si="14"/>
        <v>21</v>
      </c>
      <c r="V235" s="13" t="str">
        <f t="shared" si="15"/>
        <v>Thursday</v>
      </c>
    </row>
    <row r="236" spans="1:22" x14ac:dyDescent="0.25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 s="1">
        <v>51.94</v>
      </c>
      <c r="H236">
        <v>10</v>
      </c>
      <c r="I236" s="1">
        <v>25.97</v>
      </c>
      <c r="J236" s="1">
        <v>545.37</v>
      </c>
      <c r="K236" s="3">
        <v>43711</v>
      </c>
      <c r="L236" s="2">
        <v>0.76666666666666672</v>
      </c>
      <c r="M236" t="s">
        <v>23</v>
      </c>
      <c r="N236" s="1">
        <v>519.4</v>
      </c>
      <c r="O236" s="1">
        <v>4.7619047620000003</v>
      </c>
      <c r="P236" s="1">
        <v>25.97</v>
      </c>
      <c r="Q236">
        <v>6.5</v>
      </c>
      <c r="R236" s="13">
        <v>43533</v>
      </c>
      <c r="S236">
        <f t="shared" si="12"/>
        <v>3</v>
      </c>
      <c r="T236">
        <f t="shared" si="13"/>
        <v>18</v>
      </c>
      <c r="U236">
        <f t="shared" si="14"/>
        <v>9</v>
      </c>
      <c r="V236" s="13" t="str">
        <f t="shared" si="15"/>
        <v>Saturday</v>
      </c>
    </row>
    <row r="237" spans="1:22" x14ac:dyDescent="0.25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 s="1">
        <v>93.14</v>
      </c>
      <c r="H237">
        <v>2</v>
      </c>
      <c r="I237" s="1">
        <v>9.3140000000000001</v>
      </c>
      <c r="J237" s="1">
        <v>195.59399999999999</v>
      </c>
      <c r="K237" s="3" t="s">
        <v>115</v>
      </c>
      <c r="L237" s="2">
        <v>0.75624999999999998</v>
      </c>
      <c r="M237" t="s">
        <v>23</v>
      </c>
      <c r="N237" s="1">
        <v>186.28</v>
      </c>
      <c r="O237" s="1">
        <v>4.7619047620000003</v>
      </c>
      <c r="P237" s="1">
        <v>9.3140000000000001</v>
      </c>
      <c r="Q237">
        <v>4.0999999999999996</v>
      </c>
      <c r="R237" s="13">
        <v>43485</v>
      </c>
      <c r="S237">
        <f t="shared" si="12"/>
        <v>1</v>
      </c>
      <c r="T237">
        <f t="shared" si="13"/>
        <v>18</v>
      </c>
      <c r="U237">
        <f t="shared" si="14"/>
        <v>20</v>
      </c>
      <c r="V237" s="13" t="str">
        <f t="shared" si="15"/>
        <v>Sunday</v>
      </c>
    </row>
    <row r="238" spans="1:22" x14ac:dyDescent="0.25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 s="1">
        <v>17.41</v>
      </c>
      <c r="H238">
        <v>5</v>
      </c>
      <c r="I238" s="1">
        <v>4.3525</v>
      </c>
      <c r="J238" s="1">
        <v>91.402500000000003</v>
      </c>
      <c r="K238" s="3" t="s">
        <v>80</v>
      </c>
      <c r="L238" s="2">
        <v>0.63611111111111107</v>
      </c>
      <c r="M238" t="s">
        <v>33</v>
      </c>
      <c r="N238" s="1">
        <v>87.05</v>
      </c>
      <c r="O238" s="1">
        <v>4.7619047620000003</v>
      </c>
      <c r="P238" s="1">
        <v>4.3525</v>
      </c>
      <c r="Q238">
        <v>4.9000000000000004</v>
      </c>
      <c r="R238" s="13">
        <v>43493</v>
      </c>
      <c r="S238">
        <f t="shared" si="12"/>
        <v>1</v>
      </c>
      <c r="T238">
        <f t="shared" si="13"/>
        <v>15</v>
      </c>
      <c r="U238">
        <f t="shared" si="14"/>
        <v>28</v>
      </c>
      <c r="V238" s="13" t="str">
        <f t="shared" si="15"/>
        <v>Monday</v>
      </c>
    </row>
    <row r="239" spans="1:22" x14ac:dyDescent="0.25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 s="1">
        <v>44.22</v>
      </c>
      <c r="H239">
        <v>5</v>
      </c>
      <c r="I239" s="1">
        <v>11.055</v>
      </c>
      <c r="J239" s="1">
        <v>232.155</v>
      </c>
      <c r="K239" s="3">
        <v>43588</v>
      </c>
      <c r="L239" s="2">
        <v>0.71319444444444446</v>
      </c>
      <c r="M239" t="s">
        <v>33</v>
      </c>
      <c r="N239" s="1">
        <v>221.1</v>
      </c>
      <c r="O239" s="1">
        <v>4.7619047620000003</v>
      </c>
      <c r="P239" s="1">
        <v>11.055</v>
      </c>
      <c r="Q239">
        <v>8.6</v>
      </c>
      <c r="R239" s="13">
        <v>43529</v>
      </c>
      <c r="S239">
        <f t="shared" si="12"/>
        <v>3</v>
      </c>
      <c r="T239">
        <f t="shared" si="13"/>
        <v>17</v>
      </c>
      <c r="U239">
        <f t="shared" si="14"/>
        <v>5</v>
      </c>
      <c r="V239" s="13" t="str">
        <f t="shared" si="15"/>
        <v>Tuesday</v>
      </c>
    </row>
    <row r="240" spans="1:22" x14ac:dyDescent="0.25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 s="1">
        <v>13.22</v>
      </c>
      <c r="H240">
        <v>5</v>
      </c>
      <c r="I240" s="1">
        <v>3.3050000000000002</v>
      </c>
      <c r="J240" s="1">
        <v>69.405000000000001</v>
      </c>
      <c r="K240" s="3">
        <v>43499</v>
      </c>
      <c r="L240" s="2">
        <v>0.80972222222222223</v>
      </c>
      <c r="M240" t="s">
        <v>29</v>
      </c>
      <c r="N240" s="1">
        <v>66.099999999999994</v>
      </c>
      <c r="O240" s="1">
        <v>4.7619047620000003</v>
      </c>
      <c r="P240" s="1">
        <v>3.3050000000000002</v>
      </c>
      <c r="Q240">
        <v>4.3</v>
      </c>
      <c r="R240" s="13">
        <v>43526</v>
      </c>
      <c r="S240">
        <f t="shared" si="12"/>
        <v>3</v>
      </c>
      <c r="T240">
        <f t="shared" si="13"/>
        <v>19</v>
      </c>
      <c r="U240">
        <f t="shared" si="14"/>
        <v>2</v>
      </c>
      <c r="V240" s="13" t="str">
        <f t="shared" si="15"/>
        <v>Saturday</v>
      </c>
    </row>
    <row r="241" spans="1:22" x14ac:dyDescent="0.25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 s="1">
        <v>89.69</v>
      </c>
      <c r="H241">
        <v>1</v>
      </c>
      <c r="I241" s="1">
        <v>4.4844999999999997</v>
      </c>
      <c r="J241" s="1">
        <v>94.174499999999995</v>
      </c>
      <c r="K241" s="3">
        <v>43770</v>
      </c>
      <c r="L241" s="2">
        <v>0.47222222222222221</v>
      </c>
      <c r="M241" t="s">
        <v>23</v>
      </c>
      <c r="N241" s="1">
        <v>89.69</v>
      </c>
      <c r="O241" s="1">
        <v>4.7619047620000003</v>
      </c>
      <c r="P241" s="1">
        <v>4.4844999999999997</v>
      </c>
      <c r="Q241">
        <v>4.9000000000000004</v>
      </c>
      <c r="R241" s="13">
        <v>43476</v>
      </c>
      <c r="S241">
        <f t="shared" si="12"/>
        <v>1</v>
      </c>
      <c r="T241">
        <f t="shared" si="13"/>
        <v>11</v>
      </c>
      <c r="U241">
        <f t="shared" si="14"/>
        <v>11</v>
      </c>
      <c r="V241" s="13" t="str">
        <f t="shared" si="15"/>
        <v>Friday</v>
      </c>
    </row>
    <row r="242" spans="1:22" x14ac:dyDescent="0.25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 s="1">
        <v>24.94</v>
      </c>
      <c r="H242">
        <v>9</v>
      </c>
      <c r="I242" s="1">
        <v>11.223000000000001</v>
      </c>
      <c r="J242" s="1">
        <v>235.68299999999999</v>
      </c>
      <c r="K242" s="3">
        <v>43770</v>
      </c>
      <c r="L242" s="2">
        <v>0.7006944444444444</v>
      </c>
      <c r="M242" t="s">
        <v>33</v>
      </c>
      <c r="N242" s="1">
        <v>224.46</v>
      </c>
      <c r="O242" s="1">
        <v>4.7619047620000003</v>
      </c>
      <c r="P242" s="1">
        <v>11.223000000000001</v>
      </c>
      <c r="Q242">
        <v>5.6</v>
      </c>
      <c r="R242" s="13">
        <v>43476</v>
      </c>
      <c r="S242">
        <f t="shared" si="12"/>
        <v>1</v>
      </c>
      <c r="T242">
        <f t="shared" si="13"/>
        <v>16</v>
      </c>
      <c r="U242">
        <f t="shared" si="14"/>
        <v>11</v>
      </c>
      <c r="V242" s="13" t="str">
        <f t="shared" si="15"/>
        <v>Friday</v>
      </c>
    </row>
    <row r="243" spans="1:22" x14ac:dyDescent="0.25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 s="1">
        <v>59.77</v>
      </c>
      <c r="H243">
        <v>2</v>
      </c>
      <c r="I243" s="1">
        <v>5.9770000000000003</v>
      </c>
      <c r="J243" s="1">
        <v>125.517</v>
      </c>
      <c r="K243" s="3">
        <v>43772</v>
      </c>
      <c r="L243" s="2">
        <v>0.50069444444444444</v>
      </c>
      <c r="M243" t="s">
        <v>33</v>
      </c>
      <c r="N243" s="1">
        <v>119.54</v>
      </c>
      <c r="O243" s="1">
        <v>4.7619047620000003</v>
      </c>
      <c r="P243" s="1">
        <v>5.9770000000000003</v>
      </c>
      <c r="Q243">
        <v>5.8</v>
      </c>
      <c r="R243" s="13">
        <v>43535</v>
      </c>
      <c r="S243">
        <f t="shared" si="12"/>
        <v>3</v>
      </c>
      <c r="T243">
        <f t="shared" si="13"/>
        <v>12</v>
      </c>
      <c r="U243">
        <f t="shared" si="14"/>
        <v>11</v>
      </c>
      <c r="V243" s="13" t="str">
        <f t="shared" si="15"/>
        <v>Monday</v>
      </c>
    </row>
    <row r="244" spans="1:22" x14ac:dyDescent="0.25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 s="1">
        <v>93.2</v>
      </c>
      <c r="H244">
        <v>2</v>
      </c>
      <c r="I244" s="1">
        <v>9.32</v>
      </c>
      <c r="J244" s="1">
        <v>195.72</v>
      </c>
      <c r="K244" s="3" t="s">
        <v>110</v>
      </c>
      <c r="L244" s="2">
        <v>0.77569444444444446</v>
      </c>
      <c r="M244" t="s">
        <v>33</v>
      </c>
      <c r="N244" s="1">
        <v>186.4</v>
      </c>
      <c r="O244" s="1">
        <v>4.7619047620000003</v>
      </c>
      <c r="P244" s="1">
        <v>9.32</v>
      </c>
      <c r="Q244">
        <v>6</v>
      </c>
      <c r="R244" s="13">
        <v>43524</v>
      </c>
      <c r="S244">
        <f t="shared" si="12"/>
        <v>2</v>
      </c>
      <c r="T244">
        <f t="shared" si="13"/>
        <v>18</v>
      </c>
      <c r="U244">
        <f t="shared" si="14"/>
        <v>28</v>
      </c>
      <c r="V244" s="13" t="str">
        <f t="shared" si="15"/>
        <v>Thursday</v>
      </c>
    </row>
    <row r="245" spans="1:22" x14ac:dyDescent="0.25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 s="1">
        <v>62.65</v>
      </c>
      <c r="H245">
        <v>4</v>
      </c>
      <c r="I245" s="1">
        <v>12.53</v>
      </c>
      <c r="J245" s="1">
        <v>263.13</v>
      </c>
      <c r="K245" s="3">
        <v>43586</v>
      </c>
      <c r="L245" s="2">
        <v>0.47569444444444442</v>
      </c>
      <c r="M245" t="s">
        <v>29</v>
      </c>
      <c r="N245" s="1">
        <v>250.6</v>
      </c>
      <c r="O245" s="1">
        <v>4.7619047620000003</v>
      </c>
      <c r="P245" s="1">
        <v>12.53</v>
      </c>
      <c r="Q245">
        <v>4.2</v>
      </c>
      <c r="R245" s="13">
        <v>43470</v>
      </c>
      <c r="S245">
        <f t="shared" si="12"/>
        <v>1</v>
      </c>
      <c r="T245">
        <f t="shared" si="13"/>
        <v>11</v>
      </c>
      <c r="U245">
        <f t="shared" si="14"/>
        <v>5</v>
      </c>
      <c r="V245" s="13" t="str">
        <f t="shared" si="15"/>
        <v>Saturday</v>
      </c>
    </row>
    <row r="246" spans="1:22" x14ac:dyDescent="0.25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 s="1">
        <v>93.87</v>
      </c>
      <c r="H246">
        <v>8</v>
      </c>
      <c r="I246" s="1">
        <v>37.548000000000002</v>
      </c>
      <c r="J246" s="1">
        <v>788.50800000000004</v>
      </c>
      <c r="K246" s="3">
        <v>43498</v>
      </c>
      <c r="L246" s="2">
        <v>0.77916666666666667</v>
      </c>
      <c r="M246" t="s">
        <v>33</v>
      </c>
      <c r="N246" s="1">
        <v>750.96</v>
      </c>
      <c r="O246" s="1">
        <v>4.7619047620000003</v>
      </c>
      <c r="P246" s="1">
        <v>37.548000000000002</v>
      </c>
      <c r="Q246">
        <v>8.3000000000000007</v>
      </c>
      <c r="R246" s="13">
        <v>43498</v>
      </c>
      <c r="S246">
        <f t="shared" si="12"/>
        <v>2</v>
      </c>
      <c r="T246">
        <f t="shared" si="13"/>
        <v>18</v>
      </c>
      <c r="U246">
        <f t="shared" si="14"/>
        <v>2</v>
      </c>
      <c r="V246" s="13" t="str">
        <f t="shared" si="15"/>
        <v>Saturday</v>
      </c>
    </row>
    <row r="247" spans="1:22" x14ac:dyDescent="0.25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 s="1">
        <v>47.59</v>
      </c>
      <c r="H247">
        <v>8</v>
      </c>
      <c r="I247" s="1">
        <v>19.036000000000001</v>
      </c>
      <c r="J247" s="1">
        <v>399.75599999999997</v>
      </c>
      <c r="K247" s="3">
        <v>43466</v>
      </c>
      <c r="L247" s="2">
        <v>0.61597222222222225</v>
      </c>
      <c r="M247" t="s">
        <v>29</v>
      </c>
      <c r="N247" s="1">
        <v>380.72</v>
      </c>
      <c r="O247" s="1">
        <v>4.7619047620000003</v>
      </c>
      <c r="P247" s="1">
        <v>19.036000000000001</v>
      </c>
      <c r="Q247">
        <v>5.7</v>
      </c>
      <c r="R247" s="13">
        <v>43466</v>
      </c>
      <c r="S247">
        <f t="shared" si="12"/>
        <v>1</v>
      </c>
      <c r="T247">
        <f t="shared" si="13"/>
        <v>14</v>
      </c>
      <c r="U247">
        <f t="shared" si="14"/>
        <v>1</v>
      </c>
      <c r="V247" s="13" t="str">
        <f t="shared" si="15"/>
        <v>Tuesday</v>
      </c>
    </row>
    <row r="248" spans="1:22" x14ac:dyDescent="0.25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 s="1">
        <v>81.400000000000006</v>
      </c>
      <c r="H248">
        <v>3</v>
      </c>
      <c r="I248" s="1">
        <v>12.21</v>
      </c>
      <c r="J248" s="1">
        <v>256.41000000000003</v>
      </c>
      <c r="K248" s="3">
        <v>43710</v>
      </c>
      <c r="L248" s="2">
        <v>0.82152777777777775</v>
      </c>
      <c r="M248" t="s">
        <v>29</v>
      </c>
      <c r="N248" s="1">
        <v>244.2</v>
      </c>
      <c r="O248" s="1">
        <v>4.7619047620000003</v>
      </c>
      <c r="P248" s="1">
        <v>12.21</v>
      </c>
      <c r="Q248">
        <v>4.8</v>
      </c>
      <c r="R248" s="13">
        <v>43505</v>
      </c>
      <c r="S248">
        <f t="shared" si="12"/>
        <v>2</v>
      </c>
      <c r="T248">
        <f t="shared" si="13"/>
        <v>19</v>
      </c>
      <c r="U248">
        <f t="shared" si="14"/>
        <v>9</v>
      </c>
      <c r="V248" s="13" t="str">
        <f t="shared" si="15"/>
        <v>Saturday</v>
      </c>
    </row>
    <row r="249" spans="1:22" x14ac:dyDescent="0.25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 s="1">
        <v>17.940000000000001</v>
      </c>
      <c r="H249">
        <v>5</v>
      </c>
      <c r="I249" s="1">
        <v>4.4850000000000003</v>
      </c>
      <c r="J249" s="1">
        <v>94.185000000000002</v>
      </c>
      <c r="K249" s="3" t="s">
        <v>147</v>
      </c>
      <c r="L249" s="2">
        <v>0.58611111111111114</v>
      </c>
      <c r="M249" t="s">
        <v>23</v>
      </c>
      <c r="N249" s="1">
        <v>89.7</v>
      </c>
      <c r="O249" s="1">
        <v>4.7619047620000003</v>
      </c>
      <c r="P249" s="1">
        <v>4.4850000000000003</v>
      </c>
      <c r="Q249">
        <v>6.8</v>
      </c>
      <c r="R249" s="13">
        <v>43488</v>
      </c>
      <c r="S249">
        <f t="shared" si="12"/>
        <v>1</v>
      </c>
      <c r="T249">
        <f t="shared" si="13"/>
        <v>14</v>
      </c>
      <c r="U249">
        <f t="shared" si="14"/>
        <v>23</v>
      </c>
      <c r="V249" s="13" t="str">
        <f t="shared" si="15"/>
        <v>Wednesday</v>
      </c>
    </row>
    <row r="250" spans="1:22" x14ac:dyDescent="0.25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 s="1">
        <v>77.72</v>
      </c>
      <c r="H250">
        <v>4</v>
      </c>
      <c r="I250" s="1">
        <v>15.544</v>
      </c>
      <c r="J250" s="1">
        <v>326.42399999999998</v>
      </c>
      <c r="K250" s="3">
        <v>43647</v>
      </c>
      <c r="L250" s="2">
        <v>0.6743055555555556</v>
      </c>
      <c r="M250" t="s">
        <v>33</v>
      </c>
      <c r="N250" s="1">
        <v>310.88</v>
      </c>
      <c r="O250" s="1">
        <v>4.7619047620000003</v>
      </c>
      <c r="P250" s="1">
        <v>15.544</v>
      </c>
      <c r="Q250">
        <v>8.8000000000000007</v>
      </c>
      <c r="R250" s="13">
        <v>43472</v>
      </c>
      <c r="S250">
        <f t="shared" si="12"/>
        <v>1</v>
      </c>
      <c r="T250">
        <f t="shared" si="13"/>
        <v>16</v>
      </c>
      <c r="U250">
        <f t="shared" si="14"/>
        <v>7</v>
      </c>
      <c r="V250" s="13" t="str">
        <f t="shared" si="15"/>
        <v>Monday</v>
      </c>
    </row>
    <row r="251" spans="1:22" x14ac:dyDescent="0.25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 s="1">
        <v>73.06</v>
      </c>
      <c r="H251">
        <v>7</v>
      </c>
      <c r="I251" s="1">
        <v>25.571000000000002</v>
      </c>
      <c r="J251" s="1">
        <v>536.99099999999999</v>
      </c>
      <c r="K251" s="3" t="s">
        <v>283</v>
      </c>
      <c r="L251" s="2">
        <v>0.79583333333333328</v>
      </c>
      <c r="M251" t="s">
        <v>33</v>
      </c>
      <c r="N251" s="1">
        <v>511.42</v>
      </c>
      <c r="O251" s="1">
        <v>4.7619047620000003</v>
      </c>
      <c r="P251" s="1">
        <v>25.571000000000002</v>
      </c>
      <c r="Q251">
        <v>4.2</v>
      </c>
      <c r="R251" s="13">
        <v>43479</v>
      </c>
      <c r="S251">
        <f t="shared" si="12"/>
        <v>1</v>
      </c>
      <c r="T251">
        <f t="shared" si="13"/>
        <v>19</v>
      </c>
      <c r="U251">
        <f t="shared" si="14"/>
        <v>14</v>
      </c>
      <c r="V251" s="13" t="str">
        <f t="shared" si="15"/>
        <v>Monday</v>
      </c>
    </row>
    <row r="252" spans="1:22" x14ac:dyDescent="0.25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 s="1">
        <v>46.55</v>
      </c>
      <c r="H252">
        <v>9</v>
      </c>
      <c r="I252" s="1">
        <v>20.947500000000002</v>
      </c>
      <c r="J252" s="1">
        <v>439.89749999999998</v>
      </c>
      <c r="K252" s="3">
        <v>43498</v>
      </c>
      <c r="L252" s="2">
        <v>0.64861111111111114</v>
      </c>
      <c r="M252" t="s">
        <v>23</v>
      </c>
      <c r="N252" s="1">
        <v>418.95</v>
      </c>
      <c r="O252" s="1">
        <v>4.7619047620000003</v>
      </c>
      <c r="P252" s="1">
        <v>20.947500000000002</v>
      </c>
      <c r="Q252">
        <v>6.4</v>
      </c>
      <c r="R252" s="13">
        <v>43498</v>
      </c>
      <c r="S252">
        <f t="shared" si="12"/>
        <v>2</v>
      </c>
      <c r="T252">
        <f t="shared" si="13"/>
        <v>15</v>
      </c>
      <c r="U252">
        <f t="shared" si="14"/>
        <v>2</v>
      </c>
      <c r="V252" s="13" t="str">
        <f t="shared" si="15"/>
        <v>Saturday</v>
      </c>
    </row>
    <row r="253" spans="1:22" x14ac:dyDescent="0.25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 s="1">
        <v>35.19</v>
      </c>
      <c r="H253">
        <v>10</v>
      </c>
      <c r="I253" s="1">
        <v>17.594999999999999</v>
      </c>
      <c r="J253" s="1">
        <v>369.495</v>
      </c>
      <c r="K253" s="3" t="s">
        <v>338</v>
      </c>
      <c r="L253" s="2">
        <v>0.79583333333333328</v>
      </c>
      <c r="M253" t="s">
        <v>33</v>
      </c>
      <c r="N253" s="1">
        <v>351.9</v>
      </c>
      <c r="O253" s="1">
        <v>4.7619047620000003</v>
      </c>
      <c r="P253" s="1">
        <v>17.594999999999999</v>
      </c>
      <c r="Q253">
        <v>8.4</v>
      </c>
      <c r="R253" s="13">
        <v>43541</v>
      </c>
      <c r="S253">
        <f t="shared" si="12"/>
        <v>3</v>
      </c>
      <c r="T253">
        <f t="shared" si="13"/>
        <v>19</v>
      </c>
      <c r="U253">
        <f t="shared" si="14"/>
        <v>17</v>
      </c>
      <c r="V253" s="13" t="str">
        <f t="shared" si="15"/>
        <v>Sunday</v>
      </c>
    </row>
    <row r="254" spans="1:22" x14ac:dyDescent="0.25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 s="1">
        <v>14.39</v>
      </c>
      <c r="H254">
        <v>2</v>
      </c>
      <c r="I254" s="1">
        <v>1.4390000000000001</v>
      </c>
      <c r="J254" s="1">
        <v>30.219000000000001</v>
      </c>
      <c r="K254" s="3">
        <v>43499</v>
      </c>
      <c r="L254" s="2">
        <v>0.82222222222222219</v>
      </c>
      <c r="M254" t="s">
        <v>33</v>
      </c>
      <c r="N254" s="1">
        <v>28.78</v>
      </c>
      <c r="O254" s="1">
        <v>4.7619047620000003</v>
      </c>
      <c r="P254" s="1">
        <v>1.4390000000000001</v>
      </c>
      <c r="Q254">
        <v>7.2</v>
      </c>
      <c r="R254" s="13">
        <v>43526</v>
      </c>
      <c r="S254">
        <f t="shared" si="12"/>
        <v>3</v>
      </c>
      <c r="T254">
        <f t="shared" si="13"/>
        <v>19</v>
      </c>
      <c r="U254">
        <f t="shared" si="14"/>
        <v>2</v>
      </c>
      <c r="V254" s="13" t="str">
        <f t="shared" si="15"/>
        <v>Saturday</v>
      </c>
    </row>
    <row r="255" spans="1:22" x14ac:dyDescent="0.25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 s="1">
        <v>23.75</v>
      </c>
      <c r="H255">
        <v>4</v>
      </c>
      <c r="I255" s="1">
        <v>4.75</v>
      </c>
      <c r="J255" s="1">
        <v>99.75</v>
      </c>
      <c r="K255" s="3" t="s">
        <v>96</v>
      </c>
      <c r="L255" s="2">
        <v>0.47361111111111109</v>
      </c>
      <c r="M255" t="s">
        <v>29</v>
      </c>
      <c r="N255" s="1">
        <v>95</v>
      </c>
      <c r="O255" s="1">
        <v>4.7619047620000003</v>
      </c>
      <c r="P255" s="1">
        <v>4.75</v>
      </c>
      <c r="Q255">
        <v>5.2</v>
      </c>
      <c r="R255" s="13">
        <v>43540</v>
      </c>
      <c r="S255">
        <f t="shared" si="12"/>
        <v>3</v>
      </c>
      <c r="T255">
        <f t="shared" si="13"/>
        <v>11</v>
      </c>
      <c r="U255">
        <f t="shared" si="14"/>
        <v>16</v>
      </c>
      <c r="V255" s="13" t="str">
        <f t="shared" si="15"/>
        <v>Saturday</v>
      </c>
    </row>
    <row r="256" spans="1:22" x14ac:dyDescent="0.25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 s="1">
        <v>58.9</v>
      </c>
      <c r="H256">
        <v>8</v>
      </c>
      <c r="I256" s="1">
        <v>23.56</v>
      </c>
      <c r="J256" s="1">
        <v>494.76</v>
      </c>
      <c r="K256" s="3">
        <v>43617</v>
      </c>
      <c r="L256" s="2">
        <v>0.47430555555555554</v>
      </c>
      <c r="M256" t="s">
        <v>29</v>
      </c>
      <c r="N256" s="1">
        <v>471.2</v>
      </c>
      <c r="O256" s="1">
        <v>4.7619047620000003</v>
      </c>
      <c r="P256" s="1">
        <v>23.56</v>
      </c>
      <c r="Q256">
        <v>8.9</v>
      </c>
      <c r="R256" s="13">
        <v>43471</v>
      </c>
      <c r="S256">
        <f t="shared" si="12"/>
        <v>1</v>
      </c>
      <c r="T256">
        <f t="shared" si="13"/>
        <v>11</v>
      </c>
      <c r="U256">
        <f t="shared" si="14"/>
        <v>6</v>
      </c>
      <c r="V256" s="13" t="str">
        <f t="shared" si="15"/>
        <v>Sunday</v>
      </c>
    </row>
    <row r="257" spans="1:22" x14ac:dyDescent="0.25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 s="1">
        <v>32.619999999999997</v>
      </c>
      <c r="H257">
        <v>4</v>
      </c>
      <c r="I257" s="1">
        <v>6.524</v>
      </c>
      <c r="J257" s="1">
        <v>137.00399999999999</v>
      </c>
      <c r="K257" s="3" t="s">
        <v>228</v>
      </c>
      <c r="L257" s="2">
        <v>0.59166666666666667</v>
      </c>
      <c r="M257" t="s">
        <v>29</v>
      </c>
      <c r="N257" s="1">
        <v>130.47999999999999</v>
      </c>
      <c r="O257" s="1">
        <v>4.7619047620000003</v>
      </c>
      <c r="P257" s="1">
        <v>6.524</v>
      </c>
      <c r="Q257">
        <v>9</v>
      </c>
      <c r="R257" s="13">
        <v>43494</v>
      </c>
      <c r="S257">
        <f t="shared" si="12"/>
        <v>1</v>
      </c>
      <c r="T257">
        <f t="shared" si="13"/>
        <v>14</v>
      </c>
      <c r="U257">
        <f t="shared" si="14"/>
        <v>29</v>
      </c>
      <c r="V257" s="13" t="str">
        <f t="shared" si="15"/>
        <v>Tuesday</v>
      </c>
    </row>
    <row r="258" spans="1:22" x14ac:dyDescent="0.25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 s="1">
        <v>66.349999999999994</v>
      </c>
      <c r="H258">
        <v>1</v>
      </c>
      <c r="I258" s="1">
        <v>3.3174999999999999</v>
      </c>
      <c r="J258" s="1">
        <v>69.667500000000004</v>
      </c>
      <c r="K258" s="3" t="s">
        <v>305</v>
      </c>
      <c r="L258" s="2">
        <v>0.44861111111111113</v>
      </c>
      <c r="M258" t="s">
        <v>33</v>
      </c>
      <c r="N258" s="1">
        <v>66.349999999999994</v>
      </c>
      <c r="O258" s="1">
        <v>4.7619047620000003</v>
      </c>
      <c r="P258" s="1">
        <v>3.3174999999999999</v>
      </c>
      <c r="Q258">
        <v>9.6999999999999993</v>
      </c>
      <c r="R258" s="13">
        <v>43496</v>
      </c>
      <c r="S258">
        <f t="shared" si="12"/>
        <v>1</v>
      </c>
      <c r="T258">
        <f t="shared" si="13"/>
        <v>10</v>
      </c>
      <c r="U258">
        <f t="shared" si="14"/>
        <v>31</v>
      </c>
      <c r="V258" s="13" t="str">
        <f t="shared" si="15"/>
        <v>Thursday</v>
      </c>
    </row>
    <row r="259" spans="1:22" x14ac:dyDescent="0.25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 s="1">
        <v>25.91</v>
      </c>
      <c r="H259">
        <v>6</v>
      </c>
      <c r="I259" s="1">
        <v>7.7729999999999997</v>
      </c>
      <c r="J259" s="1">
        <v>163.233</v>
      </c>
      <c r="K259" s="3">
        <v>43587</v>
      </c>
      <c r="L259" s="2">
        <v>0.42777777777777776</v>
      </c>
      <c r="M259" t="s">
        <v>23</v>
      </c>
      <c r="N259" s="1">
        <v>155.46</v>
      </c>
      <c r="O259" s="1">
        <v>4.7619047620000003</v>
      </c>
      <c r="P259" s="1">
        <v>7.7729999999999997</v>
      </c>
      <c r="Q259">
        <v>8.6999999999999993</v>
      </c>
      <c r="R259" s="13">
        <v>43501</v>
      </c>
      <c r="S259">
        <f t="shared" ref="S259:S322" si="16">MONTH(R259)</f>
        <v>2</v>
      </c>
      <c r="T259">
        <f t="shared" ref="T259:T322" si="17">HOUR(L259)</f>
        <v>10</v>
      </c>
      <c r="U259">
        <f t="shared" ref="U259:U322" si="18">DAY(R259)</f>
        <v>5</v>
      </c>
      <c r="V259" s="13" t="str">
        <f t="shared" ref="V259:V322" si="19">TEXT(R259,"DDDD")</f>
        <v>Tuesday</v>
      </c>
    </row>
    <row r="260" spans="1:22" x14ac:dyDescent="0.25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 s="1">
        <v>32.25</v>
      </c>
      <c r="H260">
        <v>4</v>
      </c>
      <c r="I260" s="1">
        <v>6.45</v>
      </c>
      <c r="J260" s="1">
        <v>135.44999999999999</v>
      </c>
      <c r="K260" s="3" t="s">
        <v>257</v>
      </c>
      <c r="L260" s="2">
        <v>0.52638888888888891</v>
      </c>
      <c r="M260" t="s">
        <v>23</v>
      </c>
      <c r="N260" s="1">
        <v>129</v>
      </c>
      <c r="O260" s="1">
        <v>4.7619047620000003</v>
      </c>
      <c r="P260" s="1">
        <v>6.45</v>
      </c>
      <c r="Q260">
        <v>6.5</v>
      </c>
      <c r="R260" s="13">
        <v>43509</v>
      </c>
      <c r="S260">
        <f t="shared" si="16"/>
        <v>2</v>
      </c>
      <c r="T260">
        <f t="shared" si="17"/>
        <v>12</v>
      </c>
      <c r="U260">
        <f t="shared" si="18"/>
        <v>13</v>
      </c>
      <c r="V260" s="13" t="str">
        <f t="shared" si="19"/>
        <v>Wednesday</v>
      </c>
    </row>
    <row r="261" spans="1:22" x14ac:dyDescent="0.25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 s="1">
        <v>65.94</v>
      </c>
      <c r="H261">
        <v>4</v>
      </c>
      <c r="I261" s="1">
        <v>13.188000000000001</v>
      </c>
      <c r="J261" s="1">
        <v>276.94799999999998</v>
      </c>
      <c r="K261" s="3">
        <v>43648</v>
      </c>
      <c r="L261" s="2">
        <v>0.54513888888888884</v>
      </c>
      <c r="M261" t="s">
        <v>33</v>
      </c>
      <c r="N261" s="1">
        <v>263.76</v>
      </c>
      <c r="O261" s="1">
        <v>4.7619047620000003</v>
      </c>
      <c r="P261" s="1">
        <v>13.188000000000001</v>
      </c>
      <c r="Q261">
        <v>6.9</v>
      </c>
      <c r="R261" s="13">
        <v>43503</v>
      </c>
      <c r="S261">
        <f t="shared" si="16"/>
        <v>2</v>
      </c>
      <c r="T261">
        <f t="shared" si="17"/>
        <v>13</v>
      </c>
      <c r="U261">
        <f t="shared" si="18"/>
        <v>7</v>
      </c>
      <c r="V261" s="13" t="str">
        <f t="shared" si="19"/>
        <v>Thursday</v>
      </c>
    </row>
    <row r="262" spans="1:22" x14ac:dyDescent="0.25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 s="1">
        <v>75.06</v>
      </c>
      <c r="H262">
        <v>9</v>
      </c>
      <c r="I262" s="1">
        <v>33.777000000000001</v>
      </c>
      <c r="J262" s="1">
        <v>709.31700000000001</v>
      </c>
      <c r="K262" s="3" t="s">
        <v>103</v>
      </c>
      <c r="L262" s="2">
        <v>0.55902777777777779</v>
      </c>
      <c r="M262" t="s">
        <v>23</v>
      </c>
      <c r="N262" s="1">
        <v>675.54</v>
      </c>
      <c r="O262" s="1">
        <v>4.7619047620000003</v>
      </c>
      <c r="P262" s="1">
        <v>33.777000000000001</v>
      </c>
      <c r="Q262">
        <v>6.2</v>
      </c>
      <c r="R262" s="13">
        <v>43543</v>
      </c>
      <c r="S262">
        <f t="shared" si="16"/>
        <v>3</v>
      </c>
      <c r="T262">
        <f t="shared" si="17"/>
        <v>13</v>
      </c>
      <c r="U262">
        <f t="shared" si="18"/>
        <v>19</v>
      </c>
      <c r="V262" s="13" t="str">
        <f t="shared" si="19"/>
        <v>Tuesday</v>
      </c>
    </row>
    <row r="263" spans="1:22" x14ac:dyDescent="0.25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 s="1">
        <v>16.45</v>
      </c>
      <c r="H263">
        <v>4</v>
      </c>
      <c r="I263" s="1">
        <v>3.29</v>
      </c>
      <c r="J263" s="1">
        <v>69.09</v>
      </c>
      <c r="K263" s="3">
        <v>43649</v>
      </c>
      <c r="L263" s="2">
        <v>0.62013888888888891</v>
      </c>
      <c r="M263" t="s">
        <v>23</v>
      </c>
      <c r="N263" s="1">
        <v>65.8</v>
      </c>
      <c r="O263" s="1">
        <v>4.7619047620000003</v>
      </c>
      <c r="P263" s="1">
        <v>3.29</v>
      </c>
      <c r="Q263">
        <v>5.6</v>
      </c>
      <c r="R263" s="13">
        <v>43531</v>
      </c>
      <c r="S263">
        <f t="shared" si="16"/>
        <v>3</v>
      </c>
      <c r="T263">
        <f t="shared" si="17"/>
        <v>14</v>
      </c>
      <c r="U263">
        <f t="shared" si="18"/>
        <v>7</v>
      </c>
      <c r="V263" s="13" t="str">
        <f t="shared" si="19"/>
        <v>Thursday</v>
      </c>
    </row>
    <row r="264" spans="1:22" x14ac:dyDescent="0.25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 s="1">
        <v>38.299999999999997</v>
      </c>
      <c r="H264">
        <v>4</v>
      </c>
      <c r="I264" s="1">
        <v>7.66</v>
      </c>
      <c r="J264" s="1">
        <v>160.86000000000001</v>
      </c>
      <c r="K264" s="3" t="s">
        <v>125</v>
      </c>
      <c r="L264" s="2">
        <v>0.80694444444444446</v>
      </c>
      <c r="M264" t="s">
        <v>29</v>
      </c>
      <c r="N264" s="1">
        <v>153.19999999999999</v>
      </c>
      <c r="O264" s="1">
        <v>4.7619047620000003</v>
      </c>
      <c r="P264" s="1">
        <v>7.66</v>
      </c>
      <c r="Q264">
        <v>5.7</v>
      </c>
      <c r="R264" s="13">
        <v>43537</v>
      </c>
      <c r="S264">
        <f t="shared" si="16"/>
        <v>3</v>
      </c>
      <c r="T264">
        <f t="shared" si="17"/>
        <v>19</v>
      </c>
      <c r="U264">
        <f t="shared" si="18"/>
        <v>13</v>
      </c>
      <c r="V264" s="13" t="str">
        <f t="shared" si="19"/>
        <v>Wednesday</v>
      </c>
    </row>
    <row r="265" spans="1:22" x14ac:dyDescent="0.25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 s="1">
        <v>22.24</v>
      </c>
      <c r="H265">
        <v>10</v>
      </c>
      <c r="I265" s="1">
        <v>11.12</v>
      </c>
      <c r="J265" s="1">
        <v>233.52</v>
      </c>
      <c r="K265" s="3">
        <v>43710</v>
      </c>
      <c r="L265" s="2">
        <v>0.45833333333333331</v>
      </c>
      <c r="M265" t="s">
        <v>29</v>
      </c>
      <c r="N265" s="1">
        <v>222.4</v>
      </c>
      <c r="O265" s="1">
        <v>4.7619047620000003</v>
      </c>
      <c r="P265" s="1">
        <v>11.12</v>
      </c>
      <c r="Q265">
        <v>4.2</v>
      </c>
      <c r="R265" s="13">
        <v>43505</v>
      </c>
      <c r="S265">
        <f t="shared" si="16"/>
        <v>2</v>
      </c>
      <c r="T265">
        <f t="shared" si="17"/>
        <v>11</v>
      </c>
      <c r="U265">
        <f t="shared" si="18"/>
        <v>9</v>
      </c>
      <c r="V265" s="13" t="str">
        <f t="shared" si="19"/>
        <v>Saturday</v>
      </c>
    </row>
    <row r="266" spans="1:22" x14ac:dyDescent="0.25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 s="1">
        <v>54.45</v>
      </c>
      <c r="H266">
        <v>1</v>
      </c>
      <c r="I266" s="1">
        <v>2.7225000000000001</v>
      </c>
      <c r="J266" s="1">
        <v>57.172499999999999</v>
      </c>
      <c r="K266" s="3" t="s">
        <v>314</v>
      </c>
      <c r="L266" s="2">
        <v>0.80833333333333335</v>
      </c>
      <c r="M266" t="s">
        <v>23</v>
      </c>
      <c r="N266" s="1">
        <v>54.45</v>
      </c>
      <c r="O266" s="1">
        <v>4.7619047620000003</v>
      </c>
      <c r="P266" s="1">
        <v>2.7225000000000001</v>
      </c>
      <c r="Q266">
        <v>7.9</v>
      </c>
      <c r="R266" s="13">
        <v>43522</v>
      </c>
      <c r="S266">
        <f t="shared" si="16"/>
        <v>2</v>
      </c>
      <c r="T266">
        <f t="shared" si="17"/>
        <v>19</v>
      </c>
      <c r="U266">
        <f t="shared" si="18"/>
        <v>26</v>
      </c>
      <c r="V266" s="13" t="str">
        <f t="shared" si="19"/>
        <v>Tuesday</v>
      </c>
    </row>
    <row r="267" spans="1:22" x14ac:dyDescent="0.25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 s="1">
        <v>98.4</v>
      </c>
      <c r="H267">
        <v>7</v>
      </c>
      <c r="I267" s="1">
        <v>34.44</v>
      </c>
      <c r="J267" s="1">
        <v>723.24</v>
      </c>
      <c r="K267" s="3">
        <v>43802</v>
      </c>
      <c r="L267" s="2">
        <v>0.52986111111111112</v>
      </c>
      <c r="M267" t="s">
        <v>33</v>
      </c>
      <c r="N267" s="1">
        <v>688.8</v>
      </c>
      <c r="O267" s="1">
        <v>4.7619047620000003</v>
      </c>
      <c r="P267" s="1">
        <v>34.44</v>
      </c>
      <c r="Q267">
        <v>8.6999999999999993</v>
      </c>
      <c r="R267" s="13">
        <v>43536</v>
      </c>
      <c r="S267">
        <f t="shared" si="16"/>
        <v>3</v>
      </c>
      <c r="T267">
        <f t="shared" si="17"/>
        <v>12</v>
      </c>
      <c r="U267">
        <f t="shared" si="18"/>
        <v>12</v>
      </c>
      <c r="V267" s="13" t="str">
        <f t="shared" si="19"/>
        <v>Tuesday</v>
      </c>
    </row>
    <row r="268" spans="1:22" x14ac:dyDescent="0.25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 s="1">
        <v>35.47</v>
      </c>
      <c r="H268">
        <v>4</v>
      </c>
      <c r="I268" s="1">
        <v>7.0940000000000003</v>
      </c>
      <c r="J268" s="1">
        <v>148.97399999999999</v>
      </c>
      <c r="K268" s="3" t="s">
        <v>354</v>
      </c>
      <c r="L268" s="2">
        <v>0.72361111111111109</v>
      </c>
      <c r="M268" t="s">
        <v>33</v>
      </c>
      <c r="N268" s="1">
        <v>141.88</v>
      </c>
      <c r="O268" s="1">
        <v>4.7619047620000003</v>
      </c>
      <c r="P268" s="1">
        <v>7.0940000000000003</v>
      </c>
      <c r="Q268">
        <v>6.9</v>
      </c>
      <c r="R268" s="13">
        <v>43538</v>
      </c>
      <c r="S268">
        <f t="shared" si="16"/>
        <v>3</v>
      </c>
      <c r="T268">
        <f t="shared" si="17"/>
        <v>17</v>
      </c>
      <c r="U268">
        <f t="shared" si="18"/>
        <v>14</v>
      </c>
      <c r="V268" s="13" t="str">
        <f t="shared" si="19"/>
        <v>Thursday</v>
      </c>
    </row>
    <row r="269" spans="1:22" x14ac:dyDescent="0.25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 s="1">
        <v>74.599999999999994</v>
      </c>
      <c r="H269">
        <v>10</v>
      </c>
      <c r="I269" s="1">
        <v>37.299999999999997</v>
      </c>
      <c r="J269" s="1">
        <v>783.3</v>
      </c>
      <c r="K269" s="3">
        <v>43678</v>
      </c>
      <c r="L269" s="2">
        <v>0.87152777777777779</v>
      </c>
      <c r="M269" t="s">
        <v>29</v>
      </c>
      <c r="N269" s="1">
        <v>746</v>
      </c>
      <c r="O269" s="1">
        <v>4.7619047620000003</v>
      </c>
      <c r="P269" s="1">
        <v>37.299999999999997</v>
      </c>
      <c r="Q269">
        <v>9.5</v>
      </c>
      <c r="R269" s="13">
        <v>43473</v>
      </c>
      <c r="S269">
        <f t="shared" si="16"/>
        <v>1</v>
      </c>
      <c r="T269">
        <f t="shared" si="17"/>
        <v>20</v>
      </c>
      <c r="U269">
        <f t="shared" si="18"/>
        <v>8</v>
      </c>
      <c r="V269" s="13" t="str">
        <f t="shared" si="19"/>
        <v>Tuesday</v>
      </c>
    </row>
    <row r="270" spans="1:22" x14ac:dyDescent="0.25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 s="1">
        <v>70.739999999999995</v>
      </c>
      <c r="H270">
        <v>4</v>
      </c>
      <c r="I270" s="1">
        <v>14.148</v>
      </c>
      <c r="J270" s="1">
        <v>297.108</v>
      </c>
      <c r="K270" s="3">
        <v>43586</v>
      </c>
      <c r="L270" s="2">
        <v>0.67013888888888884</v>
      </c>
      <c r="M270" t="s">
        <v>33</v>
      </c>
      <c r="N270" s="1">
        <v>282.95999999999998</v>
      </c>
      <c r="O270" s="1">
        <v>4.7619047620000003</v>
      </c>
      <c r="P270" s="1">
        <v>14.148</v>
      </c>
      <c r="Q270">
        <v>4.4000000000000004</v>
      </c>
      <c r="R270" s="13">
        <v>43470</v>
      </c>
      <c r="S270">
        <f t="shared" si="16"/>
        <v>1</v>
      </c>
      <c r="T270">
        <f t="shared" si="17"/>
        <v>16</v>
      </c>
      <c r="U270">
        <f t="shared" si="18"/>
        <v>5</v>
      </c>
      <c r="V270" s="13" t="str">
        <f t="shared" si="19"/>
        <v>Saturday</v>
      </c>
    </row>
    <row r="271" spans="1:22" x14ac:dyDescent="0.25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 s="1">
        <v>35.54</v>
      </c>
      <c r="H271">
        <v>10</v>
      </c>
      <c r="I271" s="1">
        <v>17.77</v>
      </c>
      <c r="J271" s="1">
        <v>373.17</v>
      </c>
      <c r="K271" s="3">
        <v>43556</v>
      </c>
      <c r="L271" s="2">
        <v>0.56527777777777777</v>
      </c>
      <c r="M271" t="s">
        <v>23</v>
      </c>
      <c r="N271" s="1">
        <v>355.4</v>
      </c>
      <c r="O271" s="1">
        <v>4.7619047620000003</v>
      </c>
      <c r="P271" s="1">
        <v>17.77</v>
      </c>
      <c r="Q271">
        <v>7</v>
      </c>
      <c r="R271" s="13">
        <v>43469</v>
      </c>
      <c r="S271">
        <f t="shared" si="16"/>
        <v>1</v>
      </c>
      <c r="T271">
        <f t="shared" si="17"/>
        <v>13</v>
      </c>
      <c r="U271">
        <f t="shared" si="18"/>
        <v>4</v>
      </c>
      <c r="V271" s="13" t="str">
        <f t="shared" si="19"/>
        <v>Friday</v>
      </c>
    </row>
    <row r="272" spans="1:22" x14ac:dyDescent="0.25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 s="1">
        <v>67.430000000000007</v>
      </c>
      <c r="H272">
        <v>5</v>
      </c>
      <c r="I272" s="1">
        <v>16.857500000000002</v>
      </c>
      <c r="J272" s="1">
        <v>354.00749999999999</v>
      </c>
      <c r="K272" s="3">
        <v>43619</v>
      </c>
      <c r="L272" s="2">
        <v>0.75902777777777775</v>
      </c>
      <c r="M272" t="s">
        <v>23</v>
      </c>
      <c r="N272" s="1">
        <v>337.15</v>
      </c>
      <c r="O272" s="1">
        <v>4.7619047620000003</v>
      </c>
      <c r="P272" s="1">
        <v>16.857500000000002</v>
      </c>
      <c r="Q272">
        <v>6.3</v>
      </c>
      <c r="R272" s="13">
        <v>43530</v>
      </c>
      <c r="S272">
        <f t="shared" si="16"/>
        <v>3</v>
      </c>
      <c r="T272">
        <f t="shared" si="17"/>
        <v>18</v>
      </c>
      <c r="U272">
        <f t="shared" si="18"/>
        <v>6</v>
      </c>
      <c r="V272" s="13" t="str">
        <f t="shared" si="19"/>
        <v>Wednesday</v>
      </c>
    </row>
    <row r="273" spans="1:22" x14ac:dyDescent="0.25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 s="1">
        <v>21.12</v>
      </c>
      <c r="H273">
        <v>2</v>
      </c>
      <c r="I273" s="1">
        <v>2.1120000000000001</v>
      </c>
      <c r="J273" s="1">
        <v>44.351999999999997</v>
      </c>
      <c r="K273" s="3">
        <v>43525</v>
      </c>
      <c r="L273" s="2">
        <v>0.80347222222222225</v>
      </c>
      <c r="M273" t="s">
        <v>29</v>
      </c>
      <c r="N273" s="1">
        <v>42.24</v>
      </c>
      <c r="O273" s="1">
        <v>4.7619047620000003</v>
      </c>
      <c r="P273" s="1">
        <v>2.1120000000000001</v>
      </c>
      <c r="Q273">
        <v>9.6999999999999993</v>
      </c>
      <c r="R273" s="13">
        <v>43468</v>
      </c>
      <c r="S273">
        <f t="shared" si="16"/>
        <v>1</v>
      </c>
      <c r="T273">
        <f t="shared" si="17"/>
        <v>19</v>
      </c>
      <c r="U273">
        <f t="shared" si="18"/>
        <v>3</v>
      </c>
      <c r="V273" s="13" t="str">
        <f t="shared" si="19"/>
        <v>Thursday</v>
      </c>
    </row>
    <row r="274" spans="1:22" x14ac:dyDescent="0.25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 s="1">
        <v>21.54</v>
      </c>
      <c r="H274">
        <v>9</v>
      </c>
      <c r="I274" s="1">
        <v>9.6929999999999996</v>
      </c>
      <c r="J274" s="1">
        <v>203.553</v>
      </c>
      <c r="K274" s="3">
        <v>43647</v>
      </c>
      <c r="L274" s="2">
        <v>0.48888888888888887</v>
      </c>
      <c r="M274" t="s">
        <v>33</v>
      </c>
      <c r="N274" s="1">
        <v>193.86</v>
      </c>
      <c r="O274" s="1">
        <v>4.7619047620000003</v>
      </c>
      <c r="P274" s="1">
        <v>9.6929999999999996</v>
      </c>
      <c r="Q274">
        <v>8.8000000000000007</v>
      </c>
      <c r="R274" s="13">
        <v>43472</v>
      </c>
      <c r="S274">
        <f t="shared" si="16"/>
        <v>1</v>
      </c>
      <c r="T274">
        <f t="shared" si="17"/>
        <v>11</v>
      </c>
      <c r="U274">
        <f t="shared" si="18"/>
        <v>7</v>
      </c>
      <c r="V274" s="13" t="str">
        <f t="shared" si="19"/>
        <v>Monday</v>
      </c>
    </row>
    <row r="275" spans="1:22" x14ac:dyDescent="0.25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 s="1">
        <v>12.03</v>
      </c>
      <c r="H275">
        <v>2</v>
      </c>
      <c r="I275" s="1">
        <v>1.2030000000000001</v>
      </c>
      <c r="J275" s="1">
        <v>25.263000000000002</v>
      </c>
      <c r="K275" s="3" t="s">
        <v>35</v>
      </c>
      <c r="L275" s="2">
        <v>0.66041666666666665</v>
      </c>
      <c r="M275" t="s">
        <v>29</v>
      </c>
      <c r="N275" s="1">
        <v>24.06</v>
      </c>
      <c r="O275" s="1">
        <v>4.7619047620000003</v>
      </c>
      <c r="P275" s="1">
        <v>1.2030000000000001</v>
      </c>
      <c r="Q275">
        <v>5.0999999999999996</v>
      </c>
      <c r="R275" s="13">
        <v>43492</v>
      </c>
      <c r="S275">
        <f t="shared" si="16"/>
        <v>1</v>
      </c>
      <c r="T275">
        <f t="shared" si="17"/>
        <v>15</v>
      </c>
      <c r="U275">
        <f t="shared" si="18"/>
        <v>27</v>
      </c>
      <c r="V275" s="13" t="str">
        <f t="shared" si="19"/>
        <v>Sunday</v>
      </c>
    </row>
    <row r="276" spans="1:22" x14ac:dyDescent="0.25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 s="1">
        <v>99.71</v>
      </c>
      <c r="H276">
        <v>6</v>
      </c>
      <c r="I276" s="1">
        <v>29.913</v>
      </c>
      <c r="J276" s="1">
        <v>628.173</v>
      </c>
      <c r="K276" s="3" t="s">
        <v>314</v>
      </c>
      <c r="L276" s="2">
        <v>0.70277777777777772</v>
      </c>
      <c r="M276" t="s">
        <v>23</v>
      </c>
      <c r="N276" s="1">
        <v>598.26</v>
      </c>
      <c r="O276" s="1">
        <v>4.7619047620000003</v>
      </c>
      <c r="P276" s="1">
        <v>29.913</v>
      </c>
      <c r="Q276">
        <v>7.9</v>
      </c>
      <c r="R276" s="13">
        <v>43522</v>
      </c>
      <c r="S276">
        <f t="shared" si="16"/>
        <v>2</v>
      </c>
      <c r="T276">
        <f t="shared" si="17"/>
        <v>16</v>
      </c>
      <c r="U276">
        <f t="shared" si="18"/>
        <v>26</v>
      </c>
      <c r="V276" s="13" t="str">
        <f t="shared" si="19"/>
        <v>Tuesday</v>
      </c>
    </row>
    <row r="277" spans="1:22" x14ac:dyDescent="0.25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 s="1">
        <v>47.97</v>
      </c>
      <c r="H277">
        <v>7</v>
      </c>
      <c r="I277" s="1">
        <v>16.7895</v>
      </c>
      <c r="J277" s="1">
        <v>352.5795</v>
      </c>
      <c r="K277" s="3">
        <v>43647</v>
      </c>
      <c r="L277" s="2">
        <v>0.86944444444444446</v>
      </c>
      <c r="M277" t="s">
        <v>29</v>
      </c>
      <c r="N277" s="1">
        <v>335.79</v>
      </c>
      <c r="O277" s="1">
        <v>4.7619047620000003</v>
      </c>
      <c r="P277" s="1">
        <v>16.7895</v>
      </c>
      <c r="Q277">
        <v>6.2</v>
      </c>
      <c r="R277" s="13">
        <v>43472</v>
      </c>
      <c r="S277">
        <f t="shared" si="16"/>
        <v>1</v>
      </c>
      <c r="T277">
        <f t="shared" si="17"/>
        <v>20</v>
      </c>
      <c r="U277">
        <f t="shared" si="18"/>
        <v>7</v>
      </c>
      <c r="V277" s="13" t="str">
        <f t="shared" si="19"/>
        <v>Monday</v>
      </c>
    </row>
    <row r="278" spans="1:22" x14ac:dyDescent="0.25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 s="1">
        <v>21.82</v>
      </c>
      <c r="H278">
        <v>10</v>
      </c>
      <c r="I278" s="1">
        <v>10.91</v>
      </c>
      <c r="J278" s="1">
        <v>229.11</v>
      </c>
      <c r="K278" s="3">
        <v>43647</v>
      </c>
      <c r="L278" s="2">
        <v>0.73333333333333328</v>
      </c>
      <c r="M278" t="s">
        <v>29</v>
      </c>
      <c r="N278" s="1">
        <v>218.2</v>
      </c>
      <c r="O278" s="1">
        <v>4.7619047620000003</v>
      </c>
      <c r="P278" s="1">
        <v>10.91</v>
      </c>
      <c r="Q278">
        <v>7.1</v>
      </c>
      <c r="R278" s="13">
        <v>43472</v>
      </c>
      <c r="S278">
        <f t="shared" si="16"/>
        <v>1</v>
      </c>
      <c r="T278">
        <f t="shared" si="17"/>
        <v>17</v>
      </c>
      <c r="U278">
        <f t="shared" si="18"/>
        <v>7</v>
      </c>
      <c r="V278" s="13" t="str">
        <f t="shared" si="19"/>
        <v>Monday</v>
      </c>
    </row>
    <row r="279" spans="1:22" x14ac:dyDescent="0.25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 s="1">
        <v>95.42</v>
      </c>
      <c r="H279">
        <v>4</v>
      </c>
      <c r="I279" s="1">
        <v>19.084</v>
      </c>
      <c r="J279" s="1">
        <v>400.76400000000001</v>
      </c>
      <c r="K279" s="3">
        <v>43498</v>
      </c>
      <c r="L279" s="2">
        <v>0.55763888888888891</v>
      </c>
      <c r="M279" t="s">
        <v>23</v>
      </c>
      <c r="N279" s="1">
        <v>381.68</v>
      </c>
      <c r="O279" s="1">
        <v>4.7619047620000003</v>
      </c>
      <c r="P279" s="1">
        <v>19.084</v>
      </c>
      <c r="Q279">
        <v>6.4</v>
      </c>
      <c r="R279" s="13">
        <v>43498</v>
      </c>
      <c r="S279">
        <f t="shared" si="16"/>
        <v>2</v>
      </c>
      <c r="T279">
        <f t="shared" si="17"/>
        <v>13</v>
      </c>
      <c r="U279">
        <f t="shared" si="18"/>
        <v>2</v>
      </c>
      <c r="V279" s="13" t="str">
        <f t="shared" si="19"/>
        <v>Saturday</v>
      </c>
    </row>
    <row r="280" spans="1:22" x14ac:dyDescent="0.25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 s="1">
        <v>70.989999999999995</v>
      </c>
      <c r="H280">
        <v>10</v>
      </c>
      <c r="I280" s="1">
        <v>35.494999999999997</v>
      </c>
      <c r="J280" s="1">
        <v>745.39499999999998</v>
      </c>
      <c r="K280" s="3" t="s">
        <v>295</v>
      </c>
      <c r="L280" s="2">
        <v>0.68611111111111112</v>
      </c>
      <c r="M280" t="s">
        <v>29</v>
      </c>
      <c r="N280" s="1">
        <v>709.9</v>
      </c>
      <c r="O280" s="1">
        <v>4.7619047620000003</v>
      </c>
      <c r="P280" s="1">
        <v>35.494999999999997</v>
      </c>
      <c r="Q280">
        <v>5.7</v>
      </c>
      <c r="R280" s="13">
        <v>43544</v>
      </c>
      <c r="S280">
        <f t="shared" si="16"/>
        <v>3</v>
      </c>
      <c r="T280">
        <f t="shared" si="17"/>
        <v>16</v>
      </c>
      <c r="U280">
        <f t="shared" si="18"/>
        <v>20</v>
      </c>
      <c r="V280" s="13" t="str">
        <f t="shared" si="19"/>
        <v>Wednesday</v>
      </c>
    </row>
    <row r="281" spans="1:22" x14ac:dyDescent="0.25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 s="1">
        <v>44.02</v>
      </c>
      <c r="H281">
        <v>10</v>
      </c>
      <c r="I281" s="1">
        <v>22.01</v>
      </c>
      <c r="J281" s="1">
        <v>462.21</v>
      </c>
      <c r="K281" s="3" t="s">
        <v>295</v>
      </c>
      <c r="L281" s="2">
        <v>0.83125000000000004</v>
      </c>
      <c r="M281" t="s">
        <v>33</v>
      </c>
      <c r="N281" s="1">
        <v>440.2</v>
      </c>
      <c r="O281" s="1">
        <v>4.7619047620000003</v>
      </c>
      <c r="P281" s="1">
        <v>22.01</v>
      </c>
      <c r="Q281">
        <v>9.6</v>
      </c>
      <c r="R281" s="13">
        <v>43544</v>
      </c>
      <c r="S281">
        <f t="shared" si="16"/>
        <v>3</v>
      </c>
      <c r="T281">
        <f t="shared" si="17"/>
        <v>19</v>
      </c>
      <c r="U281">
        <f t="shared" si="18"/>
        <v>20</v>
      </c>
      <c r="V281" s="13" t="str">
        <f t="shared" si="19"/>
        <v>Wednesday</v>
      </c>
    </row>
    <row r="282" spans="1:22" x14ac:dyDescent="0.25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 s="1">
        <v>69.959999999999994</v>
      </c>
      <c r="H282">
        <v>8</v>
      </c>
      <c r="I282" s="1">
        <v>27.984000000000002</v>
      </c>
      <c r="J282" s="1">
        <v>587.66399999999999</v>
      </c>
      <c r="K282" s="3" t="s">
        <v>118</v>
      </c>
      <c r="L282" s="2">
        <v>0.70902777777777781</v>
      </c>
      <c r="M282" t="s">
        <v>33</v>
      </c>
      <c r="N282" s="1">
        <v>559.67999999999995</v>
      </c>
      <c r="O282" s="1">
        <v>4.7619047620000003</v>
      </c>
      <c r="P282" s="1">
        <v>27.984000000000002</v>
      </c>
      <c r="Q282">
        <v>6.4</v>
      </c>
      <c r="R282" s="13">
        <v>43511</v>
      </c>
      <c r="S282">
        <f t="shared" si="16"/>
        <v>2</v>
      </c>
      <c r="T282">
        <f t="shared" si="17"/>
        <v>17</v>
      </c>
      <c r="U282">
        <f t="shared" si="18"/>
        <v>15</v>
      </c>
      <c r="V282" s="13" t="str">
        <f t="shared" si="19"/>
        <v>Friday</v>
      </c>
    </row>
    <row r="283" spans="1:22" x14ac:dyDescent="0.25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 s="1">
        <v>37</v>
      </c>
      <c r="H283">
        <v>1</v>
      </c>
      <c r="I283" s="1">
        <v>1.85</v>
      </c>
      <c r="J283" s="1">
        <v>38.85</v>
      </c>
      <c r="K283" s="3">
        <v>43619</v>
      </c>
      <c r="L283" s="2">
        <v>0.56180555555555556</v>
      </c>
      <c r="M283" t="s">
        <v>33</v>
      </c>
      <c r="N283" s="1">
        <v>37</v>
      </c>
      <c r="O283" s="1">
        <v>4.7619047620000003</v>
      </c>
      <c r="P283" s="1">
        <v>1.85</v>
      </c>
      <c r="Q283">
        <v>7.9</v>
      </c>
      <c r="R283" s="13">
        <v>43530</v>
      </c>
      <c r="S283">
        <f t="shared" si="16"/>
        <v>3</v>
      </c>
      <c r="T283">
        <f t="shared" si="17"/>
        <v>13</v>
      </c>
      <c r="U283">
        <f t="shared" si="18"/>
        <v>6</v>
      </c>
      <c r="V283" s="13" t="str">
        <f t="shared" si="19"/>
        <v>Wednesday</v>
      </c>
    </row>
    <row r="284" spans="1:22" x14ac:dyDescent="0.25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 s="1">
        <v>15.34</v>
      </c>
      <c r="H284">
        <v>1</v>
      </c>
      <c r="I284" s="1">
        <v>0.76700000000000002</v>
      </c>
      <c r="J284" s="1">
        <v>16.106999999999999</v>
      </c>
      <c r="K284" s="3">
        <v>43617</v>
      </c>
      <c r="L284" s="2">
        <v>0.46458333333333335</v>
      </c>
      <c r="M284" t="s">
        <v>29</v>
      </c>
      <c r="N284" s="1">
        <v>15.34</v>
      </c>
      <c r="O284" s="1">
        <v>4.7619047620000003</v>
      </c>
      <c r="P284" s="1">
        <v>0.76700000000000002</v>
      </c>
      <c r="Q284">
        <v>6.5</v>
      </c>
      <c r="R284" s="13">
        <v>43471</v>
      </c>
      <c r="S284">
        <f t="shared" si="16"/>
        <v>1</v>
      </c>
      <c r="T284">
        <f t="shared" si="17"/>
        <v>11</v>
      </c>
      <c r="U284">
        <f t="shared" si="18"/>
        <v>6</v>
      </c>
      <c r="V284" s="13" t="str">
        <f t="shared" si="19"/>
        <v>Sunday</v>
      </c>
    </row>
    <row r="285" spans="1:22" x14ac:dyDescent="0.25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 s="1">
        <v>99.83</v>
      </c>
      <c r="H285">
        <v>6</v>
      </c>
      <c r="I285" s="1">
        <v>29.949000000000002</v>
      </c>
      <c r="J285" s="1">
        <v>628.92899999999997</v>
      </c>
      <c r="K285" s="3">
        <v>43558</v>
      </c>
      <c r="L285" s="2">
        <v>0.62638888888888888</v>
      </c>
      <c r="M285" t="s">
        <v>23</v>
      </c>
      <c r="N285" s="1">
        <v>598.98</v>
      </c>
      <c r="O285" s="1">
        <v>4.7619047620000003</v>
      </c>
      <c r="P285" s="1">
        <v>29.949000000000002</v>
      </c>
      <c r="Q285">
        <v>8.5</v>
      </c>
      <c r="R285" s="13">
        <v>43528</v>
      </c>
      <c r="S285">
        <f t="shared" si="16"/>
        <v>3</v>
      </c>
      <c r="T285">
        <f t="shared" si="17"/>
        <v>15</v>
      </c>
      <c r="U285">
        <f t="shared" si="18"/>
        <v>4</v>
      </c>
      <c r="V285" s="13" t="str">
        <f t="shared" si="19"/>
        <v>Monday</v>
      </c>
    </row>
    <row r="286" spans="1:22" x14ac:dyDescent="0.25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1">
        <v>47.67</v>
      </c>
      <c r="H286">
        <v>4</v>
      </c>
      <c r="I286" s="1">
        <v>9.5340000000000007</v>
      </c>
      <c r="J286" s="1">
        <v>200.214</v>
      </c>
      <c r="K286" s="3">
        <v>43802</v>
      </c>
      <c r="L286" s="2">
        <v>0.59791666666666665</v>
      </c>
      <c r="M286" t="s">
        <v>29</v>
      </c>
      <c r="N286" s="1">
        <v>190.68</v>
      </c>
      <c r="O286" s="1">
        <v>4.7619047620000003</v>
      </c>
      <c r="P286" s="1">
        <v>9.5340000000000007</v>
      </c>
      <c r="Q286">
        <v>9.1</v>
      </c>
      <c r="R286" s="13">
        <v>43536</v>
      </c>
      <c r="S286">
        <f t="shared" si="16"/>
        <v>3</v>
      </c>
      <c r="T286">
        <f t="shared" si="17"/>
        <v>14</v>
      </c>
      <c r="U286">
        <f t="shared" si="18"/>
        <v>12</v>
      </c>
      <c r="V286" s="13" t="str">
        <f t="shared" si="19"/>
        <v>Tuesday</v>
      </c>
    </row>
    <row r="287" spans="1:22" x14ac:dyDescent="0.25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 s="1">
        <v>66.680000000000007</v>
      </c>
      <c r="H287">
        <v>5</v>
      </c>
      <c r="I287" s="1">
        <v>16.670000000000002</v>
      </c>
      <c r="J287" s="1">
        <v>350.07</v>
      </c>
      <c r="K287" s="3" t="s">
        <v>49</v>
      </c>
      <c r="L287" s="2">
        <v>0.75069444444444444</v>
      </c>
      <c r="M287" t="s">
        <v>29</v>
      </c>
      <c r="N287" s="1">
        <v>333.4</v>
      </c>
      <c r="O287" s="1">
        <v>4.7619047620000003</v>
      </c>
      <c r="P287" s="1">
        <v>16.670000000000002</v>
      </c>
      <c r="Q287">
        <v>7.6</v>
      </c>
      <c r="R287" s="13">
        <v>43516</v>
      </c>
      <c r="S287">
        <f t="shared" si="16"/>
        <v>2</v>
      </c>
      <c r="T287">
        <f t="shared" si="17"/>
        <v>18</v>
      </c>
      <c r="U287">
        <f t="shared" si="18"/>
        <v>20</v>
      </c>
      <c r="V287" s="13" t="str">
        <f t="shared" si="19"/>
        <v>Wednesday</v>
      </c>
    </row>
    <row r="288" spans="1:22" x14ac:dyDescent="0.25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 s="1">
        <v>74.86</v>
      </c>
      <c r="H288">
        <v>1</v>
      </c>
      <c r="I288" s="1">
        <v>3.7429999999999999</v>
      </c>
      <c r="J288" s="1">
        <v>78.602999999999994</v>
      </c>
      <c r="K288" s="3" t="s">
        <v>177</v>
      </c>
      <c r="L288" s="2">
        <v>0.61736111111111114</v>
      </c>
      <c r="M288" t="s">
        <v>29</v>
      </c>
      <c r="N288" s="1">
        <v>74.86</v>
      </c>
      <c r="O288" s="1">
        <v>4.7619047620000003</v>
      </c>
      <c r="P288" s="1">
        <v>3.7429999999999999</v>
      </c>
      <c r="Q288">
        <v>6.9</v>
      </c>
      <c r="R288" s="13">
        <v>43548</v>
      </c>
      <c r="S288">
        <f t="shared" si="16"/>
        <v>3</v>
      </c>
      <c r="T288">
        <f t="shared" si="17"/>
        <v>14</v>
      </c>
      <c r="U288">
        <f t="shared" si="18"/>
        <v>24</v>
      </c>
      <c r="V288" s="13" t="str">
        <f t="shared" si="19"/>
        <v>Sunday</v>
      </c>
    </row>
    <row r="289" spans="1:22" x14ac:dyDescent="0.25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 s="1">
        <v>23.75</v>
      </c>
      <c r="H289">
        <v>9</v>
      </c>
      <c r="I289" s="1">
        <v>10.6875</v>
      </c>
      <c r="J289" s="1">
        <v>224.4375</v>
      </c>
      <c r="K289" s="3" t="s">
        <v>305</v>
      </c>
      <c r="L289" s="2">
        <v>0.50138888888888888</v>
      </c>
      <c r="M289" t="s">
        <v>29</v>
      </c>
      <c r="N289" s="1">
        <v>213.75</v>
      </c>
      <c r="O289" s="1">
        <v>4.7619047620000003</v>
      </c>
      <c r="P289" s="1">
        <v>10.6875</v>
      </c>
      <c r="Q289">
        <v>9.5</v>
      </c>
      <c r="R289" s="13">
        <v>43496</v>
      </c>
      <c r="S289">
        <f t="shared" si="16"/>
        <v>1</v>
      </c>
      <c r="T289">
        <f t="shared" si="17"/>
        <v>12</v>
      </c>
      <c r="U289">
        <f t="shared" si="18"/>
        <v>31</v>
      </c>
      <c r="V289" s="13" t="str">
        <f t="shared" si="19"/>
        <v>Thursday</v>
      </c>
    </row>
    <row r="290" spans="1:22" x14ac:dyDescent="0.25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 s="1">
        <v>48.51</v>
      </c>
      <c r="H290">
        <v>7</v>
      </c>
      <c r="I290" s="1">
        <v>16.9785</v>
      </c>
      <c r="J290" s="1">
        <v>356.54849999999999</v>
      </c>
      <c r="K290" s="3" t="s">
        <v>76</v>
      </c>
      <c r="L290" s="2">
        <v>0.5625</v>
      </c>
      <c r="M290" t="s">
        <v>33</v>
      </c>
      <c r="N290" s="1">
        <v>339.57</v>
      </c>
      <c r="O290" s="1">
        <v>4.7619047620000003</v>
      </c>
      <c r="P290" s="1">
        <v>16.9785</v>
      </c>
      <c r="Q290">
        <v>5.2</v>
      </c>
      <c r="R290" s="13">
        <v>43490</v>
      </c>
      <c r="S290">
        <f t="shared" si="16"/>
        <v>1</v>
      </c>
      <c r="T290">
        <f t="shared" si="17"/>
        <v>13</v>
      </c>
      <c r="U290">
        <f t="shared" si="18"/>
        <v>25</v>
      </c>
      <c r="V290" s="13" t="str">
        <f t="shared" si="19"/>
        <v>Friday</v>
      </c>
    </row>
    <row r="291" spans="1:22" x14ac:dyDescent="0.25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 s="1">
        <v>94.88</v>
      </c>
      <c r="H291">
        <v>7</v>
      </c>
      <c r="I291" s="1">
        <v>33.207999999999998</v>
      </c>
      <c r="J291" s="1">
        <v>697.36800000000005</v>
      </c>
      <c r="K291" s="3">
        <v>43526</v>
      </c>
      <c r="L291" s="2">
        <v>0.60972222222222228</v>
      </c>
      <c r="M291" t="s">
        <v>29</v>
      </c>
      <c r="N291" s="1">
        <v>664.16</v>
      </c>
      <c r="O291" s="1">
        <v>4.7619047620000003</v>
      </c>
      <c r="P291" s="1">
        <v>33.207999999999998</v>
      </c>
      <c r="Q291">
        <v>4.2</v>
      </c>
      <c r="R291" s="13">
        <v>43499</v>
      </c>
      <c r="S291">
        <f t="shared" si="16"/>
        <v>2</v>
      </c>
      <c r="T291">
        <f t="shared" si="17"/>
        <v>14</v>
      </c>
      <c r="U291">
        <f t="shared" si="18"/>
        <v>3</v>
      </c>
      <c r="V291" s="13" t="str">
        <f t="shared" si="19"/>
        <v>Sunday</v>
      </c>
    </row>
    <row r="292" spans="1:22" x14ac:dyDescent="0.25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 s="1">
        <v>40.299999999999997</v>
      </c>
      <c r="H292">
        <v>10</v>
      </c>
      <c r="I292" s="1">
        <v>20.149999999999999</v>
      </c>
      <c r="J292" s="1">
        <v>423.15</v>
      </c>
      <c r="K292" s="3" t="s">
        <v>129</v>
      </c>
      <c r="L292" s="2">
        <v>0.73402777777777772</v>
      </c>
      <c r="M292" t="s">
        <v>33</v>
      </c>
      <c r="N292" s="1">
        <v>403</v>
      </c>
      <c r="O292" s="1">
        <v>4.7619047620000003</v>
      </c>
      <c r="P292" s="1">
        <v>20.149999999999999</v>
      </c>
      <c r="Q292">
        <v>7</v>
      </c>
      <c r="R292" s="13">
        <v>43489</v>
      </c>
      <c r="S292">
        <f t="shared" si="16"/>
        <v>1</v>
      </c>
      <c r="T292">
        <f t="shared" si="17"/>
        <v>17</v>
      </c>
      <c r="U292">
        <f t="shared" si="18"/>
        <v>24</v>
      </c>
      <c r="V292" s="13" t="str">
        <f t="shared" si="19"/>
        <v>Thursday</v>
      </c>
    </row>
    <row r="293" spans="1:22" x14ac:dyDescent="0.25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 s="1">
        <v>27.85</v>
      </c>
      <c r="H293">
        <v>7</v>
      </c>
      <c r="I293" s="1">
        <v>9.7475000000000005</v>
      </c>
      <c r="J293" s="1">
        <v>204.69749999999999</v>
      </c>
      <c r="K293" s="3" t="s">
        <v>354</v>
      </c>
      <c r="L293" s="2">
        <v>0.72222222222222221</v>
      </c>
      <c r="M293" t="s">
        <v>23</v>
      </c>
      <c r="N293" s="1">
        <v>194.95</v>
      </c>
      <c r="O293" s="1">
        <v>4.7619047620000003</v>
      </c>
      <c r="P293" s="1">
        <v>9.7475000000000005</v>
      </c>
      <c r="Q293">
        <v>6</v>
      </c>
      <c r="R293" s="13">
        <v>43538</v>
      </c>
      <c r="S293">
        <f t="shared" si="16"/>
        <v>3</v>
      </c>
      <c r="T293">
        <f t="shared" si="17"/>
        <v>17</v>
      </c>
      <c r="U293">
        <f t="shared" si="18"/>
        <v>14</v>
      </c>
      <c r="V293" s="13" t="str">
        <f t="shared" si="19"/>
        <v>Thursday</v>
      </c>
    </row>
    <row r="294" spans="1:22" x14ac:dyDescent="0.25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 s="1">
        <v>62.48</v>
      </c>
      <c r="H294">
        <v>1</v>
      </c>
      <c r="I294" s="1">
        <v>3.1240000000000001</v>
      </c>
      <c r="J294" s="1">
        <v>65.603999999999999</v>
      </c>
      <c r="K294" s="3" t="s">
        <v>207</v>
      </c>
      <c r="L294" s="2">
        <v>0.85347222222222219</v>
      </c>
      <c r="M294" t="s">
        <v>29</v>
      </c>
      <c r="N294" s="1">
        <v>62.48</v>
      </c>
      <c r="O294" s="1">
        <v>4.7619047620000003</v>
      </c>
      <c r="P294" s="1">
        <v>3.1240000000000001</v>
      </c>
      <c r="Q294">
        <v>4.7</v>
      </c>
      <c r="R294" s="13">
        <v>43514</v>
      </c>
      <c r="S294">
        <f t="shared" si="16"/>
        <v>2</v>
      </c>
      <c r="T294">
        <f t="shared" si="17"/>
        <v>20</v>
      </c>
      <c r="U294">
        <f t="shared" si="18"/>
        <v>18</v>
      </c>
      <c r="V294" s="13" t="str">
        <f t="shared" si="19"/>
        <v>Monday</v>
      </c>
    </row>
    <row r="295" spans="1:22" x14ac:dyDescent="0.25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 s="1">
        <v>36.36</v>
      </c>
      <c r="H295">
        <v>2</v>
      </c>
      <c r="I295" s="1">
        <v>3.6360000000000001</v>
      </c>
      <c r="J295" s="1">
        <v>76.355999999999995</v>
      </c>
      <c r="K295" s="3" t="s">
        <v>62</v>
      </c>
      <c r="L295" s="2">
        <v>0.41666666666666669</v>
      </c>
      <c r="M295" t="s">
        <v>29</v>
      </c>
      <c r="N295" s="1">
        <v>72.72</v>
      </c>
      <c r="O295" s="1">
        <v>4.7619047620000003</v>
      </c>
      <c r="P295" s="1">
        <v>3.6360000000000001</v>
      </c>
      <c r="Q295">
        <v>7.1</v>
      </c>
      <c r="R295" s="13">
        <v>43486</v>
      </c>
      <c r="S295">
        <f t="shared" si="16"/>
        <v>1</v>
      </c>
      <c r="T295">
        <f t="shared" si="17"/>
        <v>10</v>
      </c>
      <c r="U295">
        <f t="shared" si="18"/>
        <v>21</v>
      </c>
      <c r="V295" s="13" t="str">
        <f t="shared" si="19"/>
        <v>Monday</v>
      </c>
    </row>
    <row r="296" spans="1:22" x14ac:dyDescent="0.25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 s="1">
        <v>18.11</v>
      </c>
      <c r="H296">
        <v>10</v>
      </c>
      <c r="I296" s="1">
        <v>9.0549999999999997</v>
      </c>
      <c r="J296" s="1">
        <v>190.155</v>
      </c>
      <c r="K296" s="3" t="s">
        <v>125</v>
      </c>
      <c r="L296" s="2">
        <v>0.49027777777777776</v>
      </c>
      <c r="M296" t="s">
        <v>23</v>
      </c>
      <c r="N296" s="1">
        <v>181.1</v>
      </c>
      <c r="O296" s="1">
        <v>4.7619047620000003</v>
      </c>
      <c r="P296" s="1">
        <v>9.0549999999999997</v>
      </c>
      <c r="Q296">
        <v>5.9</v>
      </c>
      <c r="R296" s="13">
        <v>43537</v>
      </c>
      <c r="S296">
        <f t="shared" si="16"/>
        <v>3</v>
      </c>
      <c r="T296">
        <f t="shared" si="17"/>
        <v>11</v>
      </c>
      <c r="U296">
        <f t="shared" si="18"/>
        <v>13</v>
      </c>
      <c r="V296" s="13" t="str">
        <f t="shared" si="19"/>
        <v>Wednesday</v>
      </c>
    </row>
    <row r="297" spans="1:22" x14ac:dyDescent="0.25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 s="1">
        <v>51.92</v>
      </c>
      <c r="H297">
        <v>5</v>
      </c>
      <c r="I297" s="1">
        <v>12.98</v>
      </c>
      <c r="J297" s="1">
        <v>272.58</v>
      </c>
      <c r="K297" s="3">
        <v>43527</v>
      </c>
      <c r="L297" s="2">
        <v>0.5708333333333333</v>
      </c>
      <c r="M297" t="s">
        <v>29</v>
      </c>
      <c r="N297" s="1">
        <v>259.60000000000002</v>
      </c>
      <c r="O297" s="1">
        <v>4.7619047620000003</v>
      </c>
      <c r="P297" s="1">
        <v>12.98</v>
      </c>
      <c r="Q297">
        <v>7.5</v>
      </c>
      <c r="R297" s="13">
        <v>43527</v>
      </c>
      <c r="S297">
        <f t="shared" si="16"/>
        <v>3</v>
      </c>
      <c r="T297">
        <f t="shared" si="17"/>
        <v>13</v>
      </c>
      <c r="U297">
        <f t="shared" si="18"/>
        <v>3</v>
      </c>
      <c r="V297" s="13" t="str">
        <f t="shared" si="19"/>
        <v>Sunday</v>
      </c>
    </row>
    <row r="298" spans="1:22" x14ac:dyDescent="0.25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 s="1">
        <v>28.84</v>
      </c>
      <c r="H298">
        <v>4</v>
      </c>
      <c r="I298" s="1">
        <v>5.7679999999999998</v>
      </c>
      <c r="J298" s="1">
        <v>121.128</v>
      </c>
      <c r="K298" s="3" t="s">
        <v>56</v>
      </c>
      <c r="L298" s="2">
        <v>0.61388888888888893</v>
      </c>
      <c r="M298" t="s">
        <v>29</v>
      </c>
      <c r="N298" s="1">
        <v>115.36</v>
      </c>
      <c r="O298" s="1">
        <v>4.7619047620000003</v>
      </c>
      <c r="P298" s="1">
        <v>5.7679999999999998</v>
      </c>
      <c r="Q298">
        <v>6.4</v>
      </c>
      <c r="R298" s="13">
        <v>43553</v>
      </c>
      <c r="S298">
        <f t="shared" si="16"/>
        <v>3</v>
      </c>
      <c r="T298">
        <f t="shared" si="17"/>
        <v>14</v>
      </c>
      <c r="U298">
        <f t="shared" si="18"/>
        <v>29</v>
      </c>
      <c r="V298" s="13" t="str">
        <f t="shared" si="19"/>
        <v>Friday</v>
      </c>
    </row>
    <row r="299" spans="1:22" x14ac:dyDescent="0.25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 s="1">
        <v>78.38</v>
      </c>
      <c r="H299">
        <v>6</v>
      </c>
      <c r="I299" s="1">
        <v>23.513999999999999</v>
      </c>
      <c r="J299" s="1">
        <v>493.79399999999998</v>
      </c>
      <c r="K299" s="3">
        <v>43739</v>
      </c>
      <c r="L299" s="2">
        <v>0.59444444444444444</v>
      </c>
      <c r="M299" t="s">
        <v>23</v>
      </c>
      <c r="N299" s="1">
        <v>470.28</v>
      </c>
      <c r="O299" s="1">
        <v>4.7619047620000003</v>
      </c>
      <c r="P299" s="1">
        <v>23.513999999999999</v>
      </c>
      <c r="Q299">
        <v>5.8</v>
      </c>
      <c r="R299" s="13">
        <v>43475</v>
      </c>
      <c r="S299">
        <f t="shared" si="16"/>
        <v>1</v>
      </c>
      <c r="T299">
        <f t="shared" si="17"/>
        <v>14</v>
      </c>
      <c r="U299">
        <f t="shared" si="18"/>
        <v>10</v>
      </c>
      <c r="V299" s="13" t="str">
        <f t="shared" si="19"/>
        <v>Thursday</v>
      </c>
    </row>
    <row r="300" spans="1:22" x14ac:dyDescent="0.25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 s="1">
        <v>60.01</v>
      </c>
      <c r="H300">
        <v>4</v>
      </c>
      <c r="I300" s="1">
        <v>12.002000000000001</v>
      </c>
      <c r="J300" s="1">
        <v>252.042</v>
      </c>
      <c r="K300" s="3" t="s">
        <v>76</v>
      </c>
      <c r="L300" s="2">
        <v>0.66249999999999998</v>
      </c>
      <c r="M300" t="s">
        <v>29</v>
      </c>
      <c r="N300" s="1">
        <v>240.04</v>
      </c>
      <c r="O300" s="1">
        <v>4.7619047620000003</v>
      </c>
      <c r="P300" s="1">
        <v>12.002000000000001</v>
      </c>
      <c r="Q300">
        <v>4.5</v>
      </c>
      <c r="R300" s="13">
        <v>43490</v>
      </c>
      <c r="S300">
        <f t="shared" si="16"/>
        <v>1</v>
      </c>
      <c r="T300">
        <f t="shared" si="17"/>
        <v>15</v>
      </c>
      <c r="U300">
        <f t="shared" si="18"/>
        <v>25</v>
      </c>
      <c r="V300" s="13" t="str">
        <f t="shared" si="19"/>
        <v>Friday</v>
      </c>
    </row>
    <row r="301" spans="1:22" x14ac:dyDescent="0.25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 s="1">
        <v>88.61</v>
      </c>
      <c r="H301">
        <v>1</v>
      </c>
      <c r="I301" s="1">
        <v>4.4305000000000003</v>
      </c>
      <c r="J301" s="1">
        <v>93.040499999999994</v>
      </c>
      <c r="K301" s="3" t="s">
        <v>183</v>
      </c>
      <c r="L301" s="2">
        <v>0.43125000000000002</v>
      </c>
      <c r="M301" t="s">
        <v>29</v>
      </c>
      <c r="N301" s="1">
        <v>88.61</v>
      </c>
      <c r="O301" s="1">
        <v>4.7619047620000003</v>
      </c>
      <c r="P301" s="1">
        <v>4.4305000000000003</v>
      </c>
      <c r="Q301">
        <v>7.7</v>
      </c>
      <c r="R301" s="13">
        <v>43484</v>
      </c>
      <c r="S301">
        <f t="shared" si="16"/>
        <v>1</v>
      </c>
      <c r="T301">
        <f t="shared" si="17"/>
        <v>10</v>
      </c>
      <c r="U301">
        <f t="shared" si="18"/>
        <v>19</v>
      </c>
      <c r="V301" s="13" t="str">
        <f t="shared" si="19"/>
        <v>Saturday</v>
      </c>
    </row>
    <row r="302" spans="1:22" x14ac:dyDescent="0.25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 s="1">
        <v>99.82</v>
      </c>
      <c r="H302">
        <v>2</v>
      </c>
      <c r="I302" s="1">
        <v>9.9819999999999993</v>
      </c>
      <c r="J302" s="1">
        <v>209.62200000000001</v>
      </c>
      <c r="K302" s="3">
        <v>43497</v>
      </c>
      <c r="L302" s="2">
        <v>0.75624999999999998</v>
      </c>
      <c r="M302" t="s">
        <v>33</v>
      </c>
      <c r="N302" s="1">
        <v>199.64</v>
      </c>
      <c r="O302" s="1">
        <v>4.7619047620000003</v>
      </c>
      <c r="P302" s="1">
        <v>9.9819999999999993</v>
      </c>
      <c r="Q302">
        <v>6.7</v>
      </c>
      <c r="R302" s="13">
        <v>43467</v>
      </c>
      <c r="S302">
        <f t="shared" si="16"/>
        <v>1</v>
      </c>
      <c r="T302">
        <f t="shared" si="17"/>
        <v>18</v>
      </c>
      <c r="U302">
        <f t="shared" si="18"/>
        <v>2</v>
      </c>
      <c r="V302" s="13" t="str">
        <f t="shared" si="19"/>
        <v>Wednesday</v>
      </c>
    </row>
    <row r="303" spans="1:22" x14ac:dyDescent="0.25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 s="1">
        <v>39.01</v>
      </c>
      <c r="H303">
        <v>1</v>
      </c>
      <c r="I303" s="1">
        <v>1.9504999999999999</v>
      </c>
      <c r="J303" s="1">
        <v>40.960500000000003</v>
      </c>
      <c r="K303" s="3">
        <v>43802</v>
      </c>
      <c r="L303" s="2">
        <v>0.69861111111111107</v>
      </c>
      <c r="M303" t="s">
        <v>33</v>
      </c>
      <c r="N303" s="1">
        <v>39.01</v>
      </c>
      <c r="O303" s="1">
        <v>4.7619047620000003</v>
      </c>
      <c r="P303" s="1">
        <v>1.9504999999999999</v>
      </c>
      <c r="Q303">
        <v>4.7</v>
      </c>
      <c r="R303" s="13">
        <v>43536</v>
      </c>
      <c r="S303">
        <f t="shared" si="16"/>
        <v>3</v>
      </c>
      <c r="T303">
        <f t="shared" si="17"/>
        <v>16</v>
      </c>
      <c r="U303">
        <f t="shared" si="18"/>
        <v>12</v>
      </c>
      <c r="V303" s="13" t="str">
        <f t="shared" si="19"/>
        <v>Tuesday</v>
      </c>
    </row>
    <row r="304" spans="1:22" x14ac:dyDescent="0.25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 s="1">
        <v>48.61</v>
      </c>
      <c r="H304">
        <v>1</v>
      </c>
      <c r="I304" s="1">
        <v>2.4304999999999999</v>
      </c>
      <c r="J304" s="1">
        <v>51.040500000000002</v>
      </c>
      <c r="K304" s="3" t="s">
        <v>41</v>
      </c>
      <c r="L304" s="2">
        <v>0.64652777777777781</v>
      </c>
      <c r="M304" t="s">
        <v>29</v>
      </c>
      <c r="N304" s="1">
        <v>48.61</v>
      </c>
      <c r="O304" s="1">
        <v>4.7619047620000003</v>
      </c>
      <c r="P304" s="1">
        <v>2.4304999999999999</v>
      </c>
      <c r="Q304">
        <v>4.4000000000000004</v>
      </c>
      <c r="R304" s="13">
        <v>43521</v>
      </c>
      <c r="S304">
        <f t="shared" si="16"/>
        <v>2</v>
      </c>
      <c r="T304">
        <f t="shared" si="17"/>
        <v>15</v>
      </c>
      <c r="U304">
        <f t="shared" si="18"/>
        <v>25</v>
      </c>
      <c r="V304" s="13" t="str">
        <f t="shared" si="19"/>
        <v>Monday</v>
      </c>
    </row>
    <row r="305" spans="1:22" x14ac:dyDescent="0.25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 s="1">
        <v>51.19</v>
      </c>
      <c r="H305">
        <v>4</v>
      </c>
      <c r="I305" s="1">
        <v>10.238</v>
      </c>
      <c r="J305" s="1">
        <v>214.99799999999999</v>
      </c>
      <c r="K305" s="3" t="s">
        <v>289</v>
      </c>
      <c r="L305" s="2">
        <v>0.71875</v>
      </c>
      <c r="M305" t="s">
        <v>33</v>
      </c>
      <c r="N305" s="1">
        <v>204.76</v>
      </c>
      <c r="O305" s="1">
        <v>4.7619047620000003</v>
      </c>
      <c r="P305" s="1">
        <v>10.238</v>
      </c>
      <c r="Q305">
        <v>4.7</v>
      </c>
      <c r="R305" s="13">
        <v>43542</v>
      </c>
      <c r="S305">
        <f t="shared" si="16"/>
        <v>3</v>
      </c>
      <c r="T305">
        <f t="shared" si="17"/>
        <v>17</v>
      </c>
      <c r="U305">
        <f t="shared" si="18"/>
        <v>18</v>
      </c>
      <c r="V305" s="13" t="str">
        <f t="shared" si="19"/>
        <v>Monday</v>
      </c>
    </row>
    <row r="306" spans="1:22" x14ac:dyDescent="0.25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 s="1">
        <v>14.96</v>
      </c>
      <c r="H306">
        <v>8</v>
      </c>
      <c r="I306" s="1">
        <v>5.984</v>
      </c>
      <c r="J306" s="1">
        <v>125.664</v>
      </c>
      <c r="K306" s="3" t="s">
        <v>149</v>
      </c>
      <c r="L306" s="2">
        <v>0.52013888888888893</v>
      </c>
      <c r="M306" t="s">
        <v>29</v>
      </c>
      <c r="N306" s="1">
        <v>119.68</v>
      </c>
      <c r="O306" s="1">
        <v>4.7619047620000003</v>
      </c>
      <c r="P306" s="1">
        <v>5.984</v>
      </c>
      <c r="Q306">
        <v>8.6</v>
      </c>
      <c r="R306" s="13">
        <v>43519</v>
      </c>
      <c r="S306">
        <f t="shared" si="16"/>
        <v>2</v>
      </c>
      <c r="T306">
        <f t="shared" si="17"/>
        <v>12</v>
      </c>
      <c r="U306">
        <f t="shared" si="18"/>
        <v>23</v>
      </c>
      <c r="V306" s="13" t="str">
        <f t="shared" si="19"/>
        <v>Saturday</v>
      </c>
    </row>
    <row r="307" spans="1:22" x14ac:dyDescent="0.25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 s="1">
        <v>72.2</v>
      </c>
      <c r="H307">
        <v>7</v>
      </c>
      <c r="I307" s="1">
        <v>25.27</v>
      </c>
      <c r="J307" s="1">
        <v>530.66999999999996</v>
      </c>
      <c r="K307" s="3" t="s">
        <v>167</v>
      </c>
      <c r="L307" s="2">
        <v>0.84305555555555556</v>
      </c>
      <c r="M307" t="s">
        <v>23</v>
      </c>
      <c r="N307" s="1">
        <v>505.4</v>
      </c>
      <c r="O307" s="1">
        <v>4.7619047620000003</v>
      </c>
      <c r="P307" s="1">
        <v>25.27</v>
      </c>
      <c r="Q307">
        <v>4.3</v>
      </c>
      <c r="R307" s="13">
        <v>43550</v>
      </c>
      <c r="S307">
        <f t="shared" si="16"/>
        <v>3</v>
      </c>
      <c r="T307">
        <f t="shared" si="17"/>
        <v>20</v>
      </c>
      <c r="U307">
        <f t="shared" si="18"/>
        <v>26</v>
      </c>
      <c r="V307" s="13" t="str">
        <f t="shared" si="19"/>
        <v>Tuesday</v>
      </c>
    </row>
    <row r="308" spans="1:22" x14ac:dyDescent="0.25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 s="1">
        <v>40.229999999999997</v>
      </c>
      <c r="H308">
        <v>7</v>
      </c>
      <c r="I308" s="1">
        <v>14.080500000000001</v>
      </c>
      <c r="J308" s="1">
        <v>295.69049999999999</v>
      </c>
      <c r="K308" s="3" t="s">
        <v>235</v>
      </c>
      <c r="L308" s="2">
        <v>0.55694444444444446</v>
      </c>
      <c r="M308" t="s">
        <v>29</v>
      </c>
      <c r="N308" s="1">
        <v>281.61</v>
      </c>
      <c r="O308" s="1">
        <v>4.7619047620000003</v>
      </c>
      <c r="P308" s="1">
        <v>14.080500000000001</v>
      </c>
      <c r="Q308">
        <v>9.6</v>
      </c>
      <c r="R308" s="13">
        <v>43554</v>
      </c>
      <c r="S308">
        <f t="shared" si="16"/>
        <v>3</v>
      </c>
      <c r="T308">
        <f t="shared" si="17"/>
        <v>13</v>
      </c>
      <c r="U308">
        <f t="shared" si="18"/>
        <v>30</v>
      </c>
      <c r="V308" s="13" t="str">
        <f t="shared" si="19"/>
        <v>Saturday</v>
      </c>
    </row>
    <row r="309" spans="1:22" x14ac:dyDescent="0.25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 s="1">
        <v>88.79</v>
      </c>
      <c r="H309">
        <v>8</v>
      </c>
      <c r="I309" s="1">
        <v>35.515999999999998</v>
      </c>
      <c r="J309" s="1">
        <v>745.83600000000001</v>
      </c>
      <c r="K309" s="3" t="s">
        <v>69</v>
      </c>
      <c r="L309" s="2">
        <v>0.71458333333333335</v>
      </c>
      <c r="M309" t="s">
        <v>29</v>
      </c>
      <c r="N309" s="1">
        <v>710.32</v>
      </c>
      <c r="O309" s="1">
        <v>4.7619047620000003</v>
      </c>
      <c r="P309" s="1">
        <v>35.515999999999998</v>
      </c>
      <c r="Q309">
        <v>4.0999999999999996</v>
      </c>
      <c r="R309" s="13">
        <v>43513</v>
      </c>
      <c r="S309">
        <f t="shared" si="16"/>
        <v>2</v>
      </c>
      <c r="T309">
        <f t="shared" si="17"/>
        <v>17</v>
      </c>
      <c r="U309">
        <f t="shared" si="18"/>
        <v>17</v>
      </c>
      <c r="V309" s="13" t="str">
        <f t="shared" si="19"/>
        <v>Sunday</v>
      </c>
    </row>
    <row r="310" spans="1:22" x14ac:dyDescent="0.25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 s="1">
        <v>26.48</v>
      </c>
      <c r="H310">
        <v>3</v>
      </c>
      <c r="I310" s="1">
        <v>3.972</v>
      </c>
      <c r="J310" s="1">
        <v>83.412000000000006</v>
      </c>
      <c r="K310" s="3" t="s">
        <v>254</v>
      </c>
      <c r="L310" s="2">
        <v>0.44444444444444442</v>
      </c>
      <c r="M310" t="s">
        <v>23</v>
      </c>
      <c r="N310" s="1">
        <v>79.44</v>
      </c>
      <c r="O310" s="1">
        <v>4.7619047620000003</v>
      </c>
      <c r="P310" s="1">
        <v>3.972</v>
      </c>
      <c r="Q310">
        <v>4.7</v>
      </c>
      <c r="R310" s="13">
        <v>43545</v>
      </c>
      <c r="S310">
        <f t="shared" si="16"/>
        <v>3</v>
      </c>
      <c r="T310">
        <f t="shared" si="17"/>
        <v>10</v>
      </c>
      <c r="U310">
        <f t="shared" si="18"/>
        <v>21</v>
      </c>
      <c r="V310" s="13" t="str">
        <f t="shared" si="19"/>
        <v>Thursday</v>
      </c>
    </row>
    <row r="311" spans="1:22" x14ac:dyDescent="0.25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 s="1">
        <v>81.91</v>
      </c>
      <c r="H311">
        <v>2</v>
      </c>
      <c r="I311" s="1">
        <v>8.1910000000000007</v>
      </c>
      <c r="J311" s="1">
        <v>172.011</v>
      </c>
      <c r="K311" s="3">
        <v>43588</v>
      </c>
      <c r="L311" s="2">
        <v>0.73819444444444449</v>
      </c>
      <c r="M311" t="s">
        <v>29</v>
      </c>
      <c r="N311" s="1">
        <v>163.82</v>
      </c>
      <c r="O311" s="1">
        <v>4.7619047620000003</v>
      </c>
      <c r="P311" s="1">
        <v>8.1910000000000007</v>
      </c>
      <c r="Q311">
        <v>7.8</v>
      </c>
      <c r="R311" s="13">
        <v>43529</v>
      </c>
      <c r="S311">
        <f t="shared" si="16"/>
        <v>3</v>
      </c>
      <c r="T311">
        <f t="shared" si="17"/>
        <v>17</v>
      </c>
      <c r="U311">
        <f t="shared" si="18"/>
        <v>5</v>
      </c>
      <c r="V311" s="13" t="str">
        <f t="shared" si="19"/>
        <v>Tuesday</v>
      </c>
    </row>
    <row r="312" spans="1:22" x14ac:dyDescent="0.25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 s="1">
        <v>79.930000000000007</v>
      </c>
      <c r="H312">
        <v>6</v>
      </c>
      <c r="I312" s="1">
        <v>23.978999999999999</v>
      </c>
      <c r="J312" s="1">
        <v>503.55900000000003</v>
      </c>
      <c r="K312" s="3" t="s">
        <v>305</v>
      </c>
      <c r="L312" s="2">
        <v>0.58611111111111114</v>
      </c>
      <c r="M312" t="s">
        <v>29</v>
      </c>
      <c r="N312" s="1">
        <v>479.58</v>
      </c>
      <c r="O312" s="1">
        <v>4.7619047620000003</v>
      </c>
      <c r="P312" s="1">
        <v>23.978999999999999</v>
      </c>
      <c r="Q312">
        <v>5.5</v>
      </c>
      <c r="R312" s="13">
        <v>43496</v>
      </c>
      <c r="S312">
        <f t="shared" si="16"/>
        <v>1</v>
      </c>
      <c r="T312">
        <f t="shared" si="17"/>
        <v>14</v>
      </c>
      <c r="U312">
        <f t="shared" si="18"/>
        <v>31</v>
      </c>
      <c r="V312" s="13" t="str">
        <f t="shared" si="19"/>
        <v>Thursday</v>
      </c>
    </row>
    <row r="313" spans="1:22" x14ac:dyDescent="0.25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 s="1">
        <v>69.33</v>
      </c>
      <c r="H313">
        <v>2</v>
      </c>
      <c r="I313" s="1">
        <v>6.9329999999999998</v>
      </c>
      <c r="J313" s="1">
        <v>145.59299999999999</v>
      </c>
      <c r="K313" s="3">
        <v>43587</v>
      </c>
      <c r="L313" s="2">
        <v>0.79513888888888884</v>
      </c>
      <c r="M313" t="s">
        <v>23</v>
      </c>
      <c r="N313" s="1">
        <v>138.66</v>
      </c>
      <c r="O313" s="1">
        <v>4.7619047620000003</v>
      </c>
      <c r="P313" s="1">
        <v>6.9329999999999998</v>
      </c>
      <c r="Q313">
        <v>9.6999999999999993</v>
      </c>
      <c r="R313" s="13">
        <v>43501</v>
      </c>
      <c r="S313">
        <f t="shared" si="16"/>
        <v>2</v>
      </c>
      <c r="T313">
        <f t="shared" si="17"/>
        <v>19</v>
      </c>
      <c r="U313">
        <f t="shared" si="18"/>
        <v>5</v>
      </c>
      <c r="V313" s="13" t="str">
        <f t="shared" si="19"/>
        <v>Tuesday</v>
      </c>
    </row>
    <row r="314" spans="1:22" x14ac:dyDescent="0.25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 s="1">
        <v>14.23</v>
      </c>
      <c r="H314">
        <v>5</v>
      </c>
      <c r="I314" s="1">
        <v>3.5575000000000001</v>
      </c>
      <c r="J314" s="1">
        <v>74.707499999999996</v>
      </c>
      <c r="K314" s="3">
        <v>43467</v>
      </c>
      <c r="L314" s="2">
        <v>0.42222222222222222</v>
      </c>
      <c r="M314" t="s">
        <v>33</v>
      </c>
      <c r="N314" s="1">
        <v>71.150000000000006</v>
      </c>
      <c r="O314" s="1">
        <v>4.7619047620000003</v>
      </c>
      <c r="P314" s="1">
        <v>3.5575000000000001</v>
      </c>
      <c r="Q314">
        <v>4.4000000000000004</v>
      </c>
      <c r="R314" s="13">
        <v>43497</v>
      </c>
      <c r="S314">
        <f t="shared" si="16"/>
        <v>2</v>
      </c>
      <c r="T314">
        <f t="shared" si="17"/>
        <v>10</v>
      </c>
      <c r="U314">
        <f t="shared" si="18"/>
        <v>1</v>
      </c>
      <c r="V314" s="13" t="str">
        <f t="shared" si="19"/>
        <v>Friday</v>
      </c>
    </row>
    <row r="315" spans="1:22" x14ac:dyDescent="0.25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1">
        <v>15.55</v>
      </c>
      <c r="H315">
        <v>9</v>
      </c>
      <c r="I315" s="1">
        <v>6.9974999999999996</v>
      </c>
      <c r="J315" s="1">
        <v>146.94749999999999</v>
      </c>
      <c r="K315" s="3">
        <v>43649</v>
      </c>
      <c r="L315" s="2">
        <v>0.55000000000000004</v>
      </c>
      <c r="M315" t="s">
        <v>29</v>
      </c>
      <c r="N315" s="1">
        <v>139.94999999999999</v>
      </c>
      <c r="O315" s="1">
        <v>4.7619047620000003</v>
      </c>
      <c r="P315" s="1">
        <v>6.9974999999999996</v>
      </c>
      <c r="Q315">
        <v>5</v>
      </c>
      <c r="R315" s="13">
        <v>43531</v>
      </c>
      <c r="S315">
        <f t="shared" si="16"/>
        <v>3</v>
      </c>
      <c r="T315">
        <f t="shared" si="17"/>
        <v>13</v>
      </c>
      <c r="U315">
        <f t="shared" si="18"/>
        <v>7</v>
      </c>
      <c r="V315" s="13" t="str">
        <f t="shared" si="19"/>
        <v>Thursday</v>
      </c>
    </row>
    <row r="316" spans="1:22" x14ac:dyDescent="0.25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 s="1">
        <v>78.13</v>
      </c>
      <c r="H316">
        <v>10</v>
      </c>
      <c r="I316" s="1">
        <v>39.064999999999998</v>
      </c>
      <c r="J316" s="1">
        <v>820.36500000000001</v>
      </c>
      <c r="K316" s="3">
        <v>43740</v>
      </c>
      <c r="L316" s="2">
        <v>0.86875000000000002</v>
      </c>
      <c r="M316" t="s">
        <v>29</v>
      </c>
      <c r="N316" s="1">
        <v>781.3</v>
      </c>
      <c r="O316" s="1">
        <v>4.7619047620000003</v>
      </c>
      <c r="P316" s="1">
        <v>39.064999999999998</v>
      </c>
      <c r="Q316">
        <v>4.4000000000000004</v>
      </c>
      <c r="R316" s="13">
        <v>43506</v>
      </c>
      <c r="S316">
        <f t="shared" si="16"/>
        <v>2</v>
      </c>
      <c r="T316">
        <f t="shared" si="17"/>
        <v>20</v>
      </c>
      <c r="U316">
        <f t="shared" si="18"/>
        <v>10</v>
      </c>
      <c r="V316" s="13" t="str">
        <f t="shared" si="19"/>
        <v>Sunday</v>
      </c>
    </row>
    <row r="317" spans="1:22" x14ac:dyDescent="0.25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 s="1">
        <v>99.37</v>
      </c>
      <c r="H317">
        <v>2</v>
      </c>
      <c r="I317" s="1">
        <v>9.9369999999999994</v>
      </c>
      <c r="J317" s="1">
        <v>208.67699999999999</v>
      </c>
      <c r="K317" s="3" t="s">
        <v>123</v>
      </c>
      <c r="L317" s="2">
        <v>0.72847222222222219</v>
      </c>
      <c r="M317" t="s">
        <v>29</v>
      </c>
      <c r="N317" s="1">
        <v>198.74</v>
      </c>
      <c r="O317" s="1">
        <v>4.7619047620000003</v>
      </c>
      <c r="P317" s="1">
        <v>9.9369999999999994</v>
      </c>
      <c r="Q317">
        <v>5.2</v>
      </c>
      <c r="R317" s="13">
        <v>43510</v>
      </c>
      <c r="S317">
        <f t="shared" si="16"/>
        <v>2</v>
      </c>
      <c r="T317">
        <f t="shared" si="17"/>
        <v>17</v>
      </c>
      <c r="U317">
        <f t="shared" si="18"/>
        <v>14</v>
      </c>
      <c r="V317" s="13" t="str">
        <f t="shared" si="19"/>
        <v>Thursday</v>
      </c>
    </row>
    <row r="318" spans="1:22" x14ac:dyDescent="0.25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 s="1">
        <v>21.08</v>
      </c>
      <c r="H318">
        <v>3</v>
      </c>
      <c r="I318" s="1">
        <v>3.1619999999999999</v>
      </c>
      <c r="J318" s="1">
        <v>66.402000000000001</v>
      </c>
      <c r="K318" s="3">
        <v>43710</v>
      </c>
      <c r="L318" s="2">
        <v>0.43402777777777779</v>
      </c>
      <c r="M318" t="s">
        <v>29</v>
      </c>
      <c r="N318" s="1">
        <v>63.24</v>
      </c>
      <c r="O318" s="1">
        <v>4.7619047620000003</v>
      </c>
      <c r="P318" s="1">
        <v>3.1619999999999999</v>
      </c>
      <c r="Q318">
        <v>7.3</v>
      </c>
      <c r="R318" s="13">
        <v>43505</v>
      </c>
      <c r="S318">
        <f t="shared" si="16"/>
        <v>2</v>
      </c>
      <c r="T318">
        <f t="shared" si="17"/>
        <v>10</v>
      </c>
      <c r="U318">
        <f t="shared" si="18"/>
        <v>9</v>
      </c>
      <c r="V318" s="13" t="str">
        <f t="shared" si="19"/>
        <v>Saturday</v>
      </c>
    </row>
    <row r="319" spans="1:22" x14ac:dyDescent="0.25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 s="1">
        <v>74.790000000000006</v>
      </c>
      <c r="H319">
        <v>5</v>
      </c>
      <c r="I319" s="1">
        <v>18.697500000000002</v>
      </c>
      <c r="J319" s="1">
        <v>392.64749999999998</v>
      </c>
      <c r="K319" s="3">
        <v>43739</v>
      </c>
      <c r="L319" s="2">
        <v>0.48194444444444445</v>
      </c>
      <c r="M319" t="s">
        <v>29</v>
      </c>
      <c r="N319" s="1">
        <v>373.95</v>
      </c>
      <c r="O319" s="1">
        <v>4.7619047620000003</v>
      </c>
      <c r="P319" s="1">
        <v>18.697500000000002</v>
      </c>
      <c r="Q319">
        <v>4.9000000000000004</v>
      </c>
      <c r="R319" s="13">
        <v>43475</v>
      </c>
      <c r="S319">
        <f t="shared" si="16"/>
        <v>1</v>
      </c>
      <c r="T319">
        <f t="shared" si="17"/>
        <v>11</v>
      </c>
      <c r="U319">
        <f t="shared" si="18"/>
        <v>10</v>
      </c>
      <c r="V319" s="13" t="str">
        <f t="shared" si="19"/>
        <v>Thursday</v>
      </c>
    </row>
    <row r="320" spans="1:22" x14ac:dyDescent="0.25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 s="1">
        <v>29.67</v>
      </c>
      <c r="H320">
        <v>7</v>
      </c>
      <c r="I320" s="1">
        <v>10.384499999999999</v>
      </c>
      <c r="J320" s="1">
        <v>218.0745</v>
      </c>
      <c r="K320" s="3">
        <v>43772</v>
      </c>
      <c r="L320" s="2">
        <v>0.79027777777777775</v>
      </c>
      <c r="M320" t="s">
        <v>33</v>
      </c>
      <c r="N320" s="1">
        <v>207.69</v>
      </c>
      <c r="O320" s="1">
        <v>4.7619047620000003</v>
      </c>
      <c r="P320" s="1">
        <v>10.384499999999999</v>
      </c>
      <c r="Q320">
        <v>8.1</v>
      </c>
      <c r="R320" s="13">
        <v>43535</v>
      </c>
      <c r="S320">
        <f t="shared" si="16"/>
        <v>3</v>
      </c>
      <c r="T320">
        <f t="shared" si="17"/>
        <v>18</v>
      </c>
      <c r="U320">
        <f t="shared" si="18"/>
        <v>11</v>
      </c>
      <c r="V320" s="13" t="str">
        <f t="shared" si="19"/>
        <v>Monday</v>
      </c>
    </row>
    <row r="321" spans="1:22" x14ac:dyDescent="0.25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 s="1">
        <v>44.07</v>
      </c>
      <c r="H321">
        <v>4</v>
      </c>
      <c r="I321" s="1">
        <v>8.8140000000000001</v>
      </c>
      <c r="J321" s="1">
        <v>185.09399999999999</v>
      </c>
      <c r="K321" s="3" t="s">
        <v>207</v>
      </c>
      <c r="L321" s="2">
        <v>0.68611111111111112</v>
      </c>
      <c r="M321" t="s">
        <v>23</v>
      </c>
      <c r="N321" s="1">
        <v>176.28</v>
      </c>
      <c r="O321" s="1">
        <v>4.7619047620000003</v>
      </c>
      <c r="P321" s="1">
        <v>8.8140000000000001</v>
      </c>
      <c r="Q321">
        <v>8.4</v>
      </c>
      <c r="R321" s="13">
        <v>43514</v>
      </c>
      <c r="S321">
        <f t="shared" si="16"/>
        <v>2</v>
      </c>
      <c r="T321">
        <f t="shared" si="17"/>
        <v>16</v>
      </c>
      <c r="U321">
        <f t="shared" si="18"/>
        <v>18</v>
      </c>
      <c r="V321" s="13" t="str">
        <f t="shared" si="19"/>
        <v>Monday</v>
      </c>
    </row>
    <row r="322" spans="1:22" x14ac:dyDescent="0.25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 s="1">
        <v>22.93</v>
      </c>
      <c r="H322">
        <v>9</v>
      </c>
      <c r="I322" s="1">
        <v>10.3185</v>
      </c>
      <c r="J322" s="1">
        <v>216.6885</v>
      </c>
      <c r="K322" s="3" t="s">
        <v>314</v>
      </c>
      <c r="L322" s="2">
        <v>0.85138888888888886</v>
      </c>
      <c r="M322" t="s">
        <v>29</v>
      </c>
      <c r="N322" s="1">
        <v>206.37</v>
      </c>
      <c r="O322" s="1">
        <v>4.7619047620000003</v>
      </c>
      <c r="P322" s="1">
        <v>10.3185</v>
      </c>
      <c r="Q322">
        <v>5.5</v>
      </c>
      <c r="R322" s="13">
        <v>43522</v>
      </c>
      <c r="S322">
        <f t="shared" si="16"/>
        <v>2</v>
      </c>
      <c r="T322">
        <f t="shared" si="17"/>
        <v>20</v>
      </c>
      <c r="U322">
        <f t="shared" si="18"/>
        <v>26</v>
      </c>
      <c r="V322" s="13" t="str">
        <f t="shared" si="19"/>
        <v>Tuesday</v>
      </c>
    </row>
    <row r="323" spans="1:22" x14ac:dyDescent="0.25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 s="1">
        <v>39.42</v>
      </c>
      <c r="H323">
        <v>1</v>
      </c>
      <c r="I323" s="1">
        <v>1.9710000000000001</v>
      </c>
      <c r="J323" s="1">
        <v>41.390999999999998</v>
      </c>
      <c r="K323" s="3" t="s">
        <v>209</v>
      </c>
      <c r="L323" s="2">
        <v>0.63055555555555554</v>
      </c>
      <c r="M323" t="s">
        <v>29</v>
      </c>
      <c r="N323" s="1">
        <v>39.42</v>
      </c>
      <c r="O323" s="1">
        <v>4.7619047620000003</v>
      </c>
      <c r="P323" s="1">
        <v>1.9710000000000001</v>
      </c>
      <c r="Q323">
        <v>8.4</v>
      </c>
      <c r="R323" s="13">
        <v>43483</v>
      </c>
      <c r="S323">
        <f t="shared" ref="S323:S386" si="20">MONTH(R323)</f>
        <v>1</v>
      </c>
      <c r="T323">
        <f t="shared" ref="T323:T386" si="21">HOUR(L323)</f>
        <v>15</v>
      </c>
      <c r="U323">
        <f t="shared" ref="U323:U386" si="22">DAY(R323)</f>
        <v>18</v>
      </c>
      <c r="V323" s="13" t="str">
        <f t="shared" ref="V323:V386" si="23">TEXT(R323,"DDDD")</f>
        <v>Friday</v>
      </c>
    </row>
    <row r="324" spans="1:22" x14ac:dyDescent="0.25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 s="1">
        <v>15.26</v>
      </c>
      <c r="H324">
        <v>6</v>
      </c>
      <c r="I324" s="1">
        <v>4.5780000000000003</v>
      </c>
      <c r="J324" s="1">
        <v>96.138000000000005</v>
      </c>
      <c r="K324" s="3" t="s">
        <v>118</v>
      </c>
      <c r="L324" s="2">
        <v>0.75208333333333333</v>
      </c>
      <c r="M324" t="s">
        <v>23</v>
      </c>
      <c r="N324" s="1">
        <v>91.56</v>
      </c>
      <c r="O324" s="1">
        <v>4.7619047620000003</v>
      </c>
      <c r="P324" s="1">
        <v>4.5780000000000003</v>
      </c>
      <c r="Q324">
        <v>9.8000000000000007</v>
      </c>
      <c r="R324" s="13">
        <v>43511</v>
      </c>
      <c r="S324">
        <f t="shared" si="20"/>
        <v>2</v>
      </c>
      <c r="T324">
        <f t="shared" si="21"/>
        <v>18</v>
      </c>
      <c r="U324">
        <f t="shared" si="22"/>
        <v>15</v>
      </c>
      <c r="V324" s="13" t="str">
        <f t="shared" si="23"/>
        <v>Friday</v>
      </c>
    </row>
    <row r="325" spans="1:22" x14ac:dyDescent="0.25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 s="1">
        <v>61.77</v>
      </c>
      <c r="H325">
        <v>5</v>
      </c>
      <c r="I325" s="1">
        <v>15.442500000000001</v>
      </c>
      <c r="J325" s="1">
        <v>324.29250000000002</v>
      </c>
      <c r="K325" s="3">
        <v>43680</v>
      </c>
      <c r="L325" s="2">
        <v>0.55625000000000002</v>
      </c>
      <c r="M325" t="s">
        <v>29</v>
      </c>
      <c r="N325" s="1">
        <v>308.85000000000002</v>
      </c>
      <c r="O325" s="1">
        <v>4.7619047620000003</v>
      </c>
      <c r="P325" s="1">
        <v>15.442500000000001</v>
      </c>
      <c r="Q325">
        <v>6.7</v>
      </c>
      <c r="R325" s="13">
        <v>43532</v>
      </c>
      <c r="S325">
        <f t="shared" si="20"/>
        <v>3</v>
      </c>
      <c r="T325">
        <f t="shared" si="21"/>
        <v>13</v>
      </c>
      <c r="U325">
        <f t="shared" si="22"/>
        <v>8</v>
      </c>
      <c r="V325" s="13" t="str">
        <f t="shared" si="23"/>
        <v>Friday</v>
      </c>
    </row>
    <row r="326" spans="1:22" x14ac:dyDescent="0.25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 s="1">
        <v>21.52</v>
      </c>
      <c r="H326">
        <v>6</v>
      </c>
      <c r="I326" s="1">
        <v>6.4560000000000004</v>
      </c>
      <c r="J326" s="1">
        <v>135.57599999999999</v>
      </c>
      <c r="K326" s="3" t="s">
        <v>91</v>
      </c>
      <c r="L326" s="2">
        <v>0.53333333333333333</v>
      </c>
      <c r="M326" t="s">
        <v>33</v>
      </c>
      <c r="N326" s="1">
        <v>129.12</v>
      </c>
      <c r="O326" s="1">
        <v>4.7619047620000003</v>
      </c>
      <c r="P326" s="1">
        <v>6.4560000000000004</v>
      </c>
      <c r="Q326">
        <v>9.4</v>
      </c>
      <c r="R326" s="13">
        <v>43482</v>
      </c>
      <c r="S326">
        <f t="shared" si="20"/>
        <v>1</v>
      </c>
      <c r="T326">
        <f t="shared" si="21"/>
        <v>12</v>
      </c>
      <c r="U326">
        <f t="shared" si="22"/>
        <v>17</v>
      </c>
      <c r="V326" s="13" t="str">
        <f t="shared" si="23"/>
        <v>Thursday</v>
      </c>
    </row>
    <row r="327" spans="1:22" x14ac:dyDescent="0.25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 s="1">
        <v>97.74</v>
      </c>
      <c r="H327">
        <v>4</v>
      </c>
      <c r="I327" s="1">
        <v>19.547999999999998</v>
      </c>
      <c r="J327" s="1">
        <v>410.50799999999998</v>
      </c>
      <c r="K327" s="3">
        <v>43802</v>
      </c>
      <c r="L327" s="2">
        <v>0.82847222222222228</v>
      </c>
      <c r="M327" t="s">
        <v>23</v>
      </c>
      <c r="N327" s="1">
        <v>390.96</v>
      </c>
      <c r="O327" s="1">
        <v>4.7619047620000003</v>
      </c>
      <c r="P327" s="1">
        <v>19.547999999999998</v>
      </c>
      <c r="Q327">
        <v>6.4</v>
      </c>
      <c r="R327" s="13">
        <v>43536</v>
      </c>
      <c r="S327">
        <f t="shared" si="20"/>
        <v>3</v>
      </c>
      <c r="T327">
        <f t="shared" si="21"/>
        <v>19</v>
      </c>
      <c r="U327">
        <f t="shared" si="22"/>
        <v>12</v>
      </c>
      <c r="V327" s="13" t="str">
        <f t="shared" si="23"/>
        <v>Tuesday</v>
      </c>
    </row>
    <row r="328" spans="1:22" x14ac:dyDescent="0.25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 s="1">
        <v>99.78</v>
      </c>
      <c r="H328">
        <v>5</v>
      </c>
      <c r="I328" s="1">
        <v>24.945</v>
      </c>
      <c r="J328" s="1">
        <v>523.84500000000003</v>
      </c>
      <c r="K328" s="3">
        <v>43711</v>
      </c>
      <c r="L328" s="2">
        <v>0.79791666666666672</v>
      </c>
      <c r="M328" t="s">
        <v>29</v>
      </c>
      <c r="N328" s="1">
        <v>498.9</v>
      </c>
      <c r="O328" s="1">
        <v>4.7619047620000003</v>
      </c>
      <c r="P328" s="1">
        <v>24.945</v>
      </c>
      <c r="Q328">
        <v>5.4</v>
      </c>
      <c r="R328" s="13">
        <v>43533</v>
      </c>
      <c r="S328">
        <f t="shared" si="20"/>
        <v>3</v>
      </c>
      <c r="T328">
        <f t="shared" si="21"/>
        <v>19</v>
      </c>
      <c r="U328">
        <f t="shared" si="22"/>
        <v>9</v>
      </c>
      <c r="V328" s="13" t="str">
        <f t="shared" si="23"/>
        <v>Saturday</v>
      </c>
    </row>
    <row r="329" spans="1:22" x14ac:dyDescent="0.25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 s="1">
        <v>94.26</v>
      </c>
      <c r="H329">
        <v>4</v>
      </c>
      <c r="I329" s="1">
        <v>18.852</v>
      </c>
      <c r="J329" s="1">
        <v>395.892</v>
      </c>
      <c r="K329" s="3">
        <v>43802</v>
      </c>
      <c r="L329" s="2">
        <v>0.6875</v>
      </c>
      <c r="M329" t="s">
        <v>29</v>
      </c>
      <c r="N329" s="1">
        <v>377.04</v>
      </c>
      <c r="O329" s="1">
        <v>4.7619047620000003</v>
      </c>
      <c r="P329" s="1">
        <v>18.852</v>
      </c>
      <c r="Q329">
        <v>8.6</v>
      </c>
      <c r="R329" s="13">
        <v>43536</v>
      </c>
      <c r="S329">
        <f t="shared" si="20"/>
        <v>3</v>
      </c>
      <c r="T329">
        <f t="shared" si="21"/>
        <v>16</v>
      </c>
      <c r="U329">
        <f t="shared" si="22"/>
        <v>12</v>
      </c>
      <c r="V329" s="13" t="str">
        <f t="shared" si="23"/>
        <v>Tuesday</v>
      </c>
    </row>
    <row r="330" spans="1:22" x14ac:dyDescent="0.25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 s="1">
        <v>51.13</v>
      </c>
      <c r="H330">
        <v>4</v>
      </c>
      <c r="I330" s="1">
        <v>10.226000000000001</v>
      </c>
      <c r="J330" s="1">
        <v>214.74600000000001</v>
      </c>
      <c r="K330" s="3" t="s">
        <v>76</v>
      </c>
      <c r="L330" s="2">
        <v>0.42430555555555555</v>
      </c>
      <c r="M330" t="s">
        <v>33</v>
      </c>
      <c r="N330" s="1">
        <v>204.52</v>
      </c>
      <c r="O330" s="1">
        <v>4.7619047620000003</v>
      </c>
      <c r="P330" s="1">
        <v>10.226000000000001</v>
      </c>
      <c r="Q330">
        <v>4</v>
      </c>
      <c r="R330" s="13">
        <v>43490</v>
      </c>
      <c r="S330">
        <f t="shared" si="20"/>
        <v>1</v>
      </c>
      <c r="T330">
        <f t="shared" si="21"/>
        <v>10</v>
      </c>
      <c r="U330">
        <f t="shared" si="22"/>
        <v>25</v>
      </c>
      <c r="V330" s="13" t="str">
        <f t="shared" si="23"/>
        <v>Friday</v>
      </c>
    </row>
    <row r="331" spans="1:22" x14ac:dyDescent="0.25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 s="1">
        <v>36.36</v>
      </c>
      <c r="H331">
        <v>4</v>
      </c>
      <c r="I331" s="1">
        <v>7.2720000000000002</v>
      </c>
      <c r="J331" s="1">
        <v>152.71199999999999</v>
      </c>
      <c r="K331" s="3" t="s">
        <v>39</v>
      </c>
      <c r="L331" s="2">
        <v>0.54652777777777772</v>
      </c>
      <c r="M331" t="s">
        <v>29</v>
      </c>
      <c r="N331" s="1">
        <v>145.44</v>
      </c>
      <c r="O331" s="1">
        <v>4.7619047620000003</v>
      </c>
      <c r="P331" s="1">
        <v>7.2720000000000002</v>
      </c>
      <c r="Q331">
        <v>7.6</v>
      </c>
      <c r="R331" s="13">
        <v>43549</v>
      </c>
      <c r="S331">
        <f t="shared" si="20"/>
        <v>3</v>
      </c>
      <c r="T331">
        <f t="shared" si="21"/>
        <v>13</v>
      </c>
      <c r="U331">
        <f t="shared" si="22"/>
        <v>25</v>
      </c>
      <c r="V331" s="13" t="str">
        <f t="shared" si="23"/>
        <v>Monday</v>
      </c>
    </row>
    <row r="332" spans="1:22" x14ac:dyDescent="0.25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 s="1">
        <v>22.02</v>
      </c>
      <c r="H332">
        <v>9</v>
      </c>
      <c r="I332" s="1">
        <v>9.9090000000000007</v>
      </c>
      <c r="J332" s="1">
        <v>208.089</v>
      </c>
      <c r="K332" s="3">
        <v>43648</v>
      </c>
      <c r="L332" s="2">
        <v>0.78333333333333333</v>
      </c>
      <c r="M332" t="s">
        <v>29</v>
      </c>
      <c r="N332" s="1">
        <v>198.18</v>
      </c>
      <c r="O332" s="1">
        <v>4.7619047620000003</v>
      </c>
      <c r="P332" s="1">
        <v>9.9090000000000007</v>
      </c>
      <c r="Q332">
        <v>6.8</v>
      </c>
      <c r="R332" s="13">
        <v>43503</v>
      </c>
      <c r="S332">
        <f t="shared" si="20"/>
        <v>2</v>
      </c>
      <c r="T332">
        <f t="shared" si="21"/>
        <v>18</v>
      </c>
      <c r="U332">
        <f t="shared" si="22"/>
        <v>7</v>
      </c>
      <c r="V332" s="13" t="str">
        <f t="shared" si="23"/>
        <v>Thursday</v>
      </c>
    </row>
    <row r="333" spans="1:22" x14ac:dyDescent="0.25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 s="1">
        <v>32.9</v>
      </c>
      <c r="H333">
        <v>3</v>
      </c>
      <c r="I333" s="1">
        <v>4.9349999999999996</v>
      </c>
      <c r="J333" s="1">
        <v>103.63500000000001</v>
      </c>
      <c r="K333" s="3" t="s">
        <v>69</v>
      </c>
      <c r="L333" s="2">
        <v>0.7270833333333333</v>
      </c>
      <c r="M333" t="s">
        <v>33</v>
      </c>
      <c r="N333" s="1">
        <v>98.7</v>
      </c>
      <c r="O333" s="1">
        <v>4.7619047620000003</v>
      </c>
      <c r="P333" s="1">
        <v>4.9349999999999996</v>
      </c>
      <c r="Q333">
        <v>9.1</v>
      </c>
      <c r="R333" s="13">
        <v>43513</v>
      </c>
      <c r="S333">
        <f t="shared" si="20"/>
        <v>2</v>
      </c>
      <c r="T333">
        <f t="shared" si="21"/>
        <v>17</v>
      </c>
      <c r="U333">
        <f t="shared" si="22"/>
        <v>17</v>
      </c>
      <c r="V333" s="13" t="str">
        <f t="shared" si="23"/>
        <v>Sunday</v>
      </c>
    </row>
    <row r="334" spans="1:22" x14ac:dyDescent="0.25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 s="1">
        <v>77.02</v>
      </c>
      <c r="H334">
        <v>5</v>
      </c>
      <c r="I334" s="1">
        <v>19.254999999999999</v>
      </c>
      <c r="J334" s="1">
        <v>404.35500000000002</v>
      </c>
      <c r="K334" s="3">
        <v>43526</v>
      </c>
      <c r="L334" s="2">
        <v>0.66597222222222219</v>
      </c>
      <c r="M334" t="s">
        <v>29</v>
      </c>
      <c r="N334" s="1">
        <v>385.1</v>
      </c>
      <c r="O334" s="1">
        <v>4.7619047620000003</v>
      </c>
      <c r="P334" s="1">
        <v>19.254999999999999</v>
      </c>
      <c r="Q334">
        <v>5.5</v>
      </c>
      <c r="R334" s="13">
        <v>43499</v>
      </c>
      <c r="S334">
        <f t="shared" si="20"/>
        <v>2</v>
      </c>
      <c r="T334">
        <f t="shared" si="21"/>
        <v>15</v>
      </c>
      <c r="U334">
        <f t="shared" si="22"/>
        <v>3</v>
      </c>
      <c r="V334" s="13" t="str">
        <f t="shared" si="23"/>
        <v>Sunday</v>
      </c>
    </row>
    <row r="335" spans="1:22" x14ac:dyDescent="0.25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 s="1">
        <v>23.48</v>
      </c>
      <c r="H335">
        <v>2</v>
      </c>
      <c r="I335" s="1">
        <v>2.3479999999999999</v>
      </c>
      <c r="J335" s="1">
        <v>49.308</v>
      </c>
      <c r="K335" s="3" t="s">
        <v>354</v>
      </c>
      <c r="L335" s="2">
        <v>0.47291666666666665</v>
      </c>
      <c r="M335" t="s">
        <v>33</v>
      </c>
      <c r="N335" s="1">
        <v>46.96</v>
      </c>
      <c r="O335" s="1">
        <v>4.7619047620000003</v>
      </c>
      <c r="P335" s="1">
        <v>2.3479999999999999</v>
      </c>
      <c r="Q335">
        <v>7.9</v>
      </c>
      <c r="R335" s="13">
        <v>43538</v>
      </c>
      <c r="S335">
        <f t="shared" si="20"/>
        <v>3</v>
      </c>
      <c r="T335">
        <f t="shared" si="21"/>
        <v>11</v>
      </c>
      <c r="U335">
        <f t="shared" si="22"/>
        <v>14</v>
      </c>
      <c r="V335" s="13" t="str">
        <f t="shared" si="23"/>
        <v>Thursday</v>
      </c>
    </row>
    <row r="336" spans="1:22" x14ac:dyDescent="0.25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 s="1">
        <v>14.7</v>
      </c>
      <c r="H336">
        <v>5</v>
      </c>
      <c r="I336" s="1">
        <v>3.6749999999999998</v>
      </c>
      <c r="J336" s="1">
        <v>77.174999999999997</v>
      </c>
      <c r="K336" s="3" t="s">
        <v>177</v>
      </c>
      <c r="L336" s="2">
        <v>0.57499999999999996</v>
      </c>
      <c r="M336" t="s">
        <v>23</v>
      </c>
      <c r="N336" s="1">
        <v>73.5</v>
      </c>
      <c r="O336" s="1">
        <v>4.7619047620000003</v>
      </c>
      <c r="P336" s="1">
        <v>3.6749999999999998</v>
      </c>
      <c r="Q336">
        <v>8.5</v>
      </c>
      <c r="R336" s="13">
        <v>43548</v>
      </c>
      <c r="S336">
        <f t="shared" si="20"/>
        <v>3</v>
      </c>
      <c r="T336">
        <f t="shared" si="21"/>
        <v>13</v>
      </c>
      <c r="U336">
        <f t="shared" si="22"/>
        <v>24</v>
      </c>
      <c r="V336" s="13" t="str">
        <f t="shared" si="23"/>
        <v>Sunday</v>
      </c>
    </row>
    <row r="337" spans="1:22" x14ac:dyDescent="0.25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 s="1">
        <v>28.45</v>
      </c>
      <c r="H337">
        <v>5</v>
      </c>
      <c r="I337" s="1">
        <v>7.1124999999999998</v>
      </c>
      <c r="J337" s="1">
        <v>149.36250000000001</v>
      </c>
      <c r="K337" s="3" t="s">
        <v>254</v>
      </c>
      <c r="L337" s="2">
        <v>0.4284722222222222</v>
      </c>
      <c r="M337" t="s">
        <v>33</v>
      </c>
      <c r="N337" s="1">
        <v>142.25</v>
      </c>
      <c r="O337" s="1">
        <v>4.7619047620000003</v>
      </c>
      <c r="P337" s="1">
        <v>7.1124999999999998</v>
      </c>
      <c r="Q337">
        <v>9.1</v>
      </c>
      <c r="R337" s="13">
        <v>43545</v>
      </c>
      <c r="S337">
        <f t="shared" si="20"/>
        <v>3</v>
      </c>
      <c r="T337">
        <f t="shared" si="21"/>
        <v>10</v>
      </c>
      <c r="U337">
        <f t="shared" si="22"/>
        <v>21</v>
      </c>
      <c r="V337" s="13" t="str">
        <f t="shared" si="23"/>
        <v>Thursday</v>
      </c>
    </row>
    <row r="338" spans="1:22" x14ac:dyDescent="0.25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 s="1">
        <v>76.400000000000006</v>
      </c>
      <c r="H338">
        <v>9</v>
      </c>
      <c r="I338" s="1">
        <v>34.380000000000003</v>
      </c>
      <c r="J338" s="1">
        <v>721.98</v>
      </c>
      <c r="K338" s="3" t="s">
        <v>103</v>
      </c>
      <c r="L338" s="2">
        <v>0.65902777777777777</v>
      </c>
      <c r="M338" t="s">
        <v>23</v>
      </c>
      <c r="N338" s="1">
        <v>687.6</v>
      </c>
      <c r="O338" s="1">
        <v>4.7619047620000003</v>
      </c>
      <c r="P338" s="1">
        <v>34.380000000000003</v>
      </c>
      <c r="Q338">
        <v>7.5</v>
      </c>
      <c r="R338" s="13">
        <v>43543</v>
      </c>
      <c r="S338">
        <f t="shared" si="20"/>
        <v>3</v>
      </c>
      <c r="T338">
        <f t="shared" si="21"/>
        <v>15</v>
      </c>
      <c r="U338">
        <f t="shared" si="22"/>
        <v>19</v>
      </c>
      <c r="V338" s="13" t="str">
        <f t="shared" si="23"/>
        <v>Tuesday</v>
      </c>
    </row>
    <row r="339" spans="1:22" x14ac:dyDescent="0.25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 s="1">
        <v>57.95</v>
      </c>
      <c r="H339">
        <v>6</v>
      </c>
      <c r="I339" s="1">
        <v>17.385000000000002</v>
      </c>
      <c r="J339" s="1">
        <v>365.08499999999998</v>
      </c>
      <c r="K339" s="3" t="s">
        <v>43</v>
      </c>
      <c r="L339" s="2">
        <v>0.54305555555555551</v>
      </c>
      <c r="M339" t="s">
        <v>29</v>
      </c>
      <c r="N339" s="1">
        <v>347.7</v>
      </c>
      <c r="O339" s="1">
        <v>4.7619047620000003</v>
      </c>
      <c r="P339" s="1">
        <v>17.385000000000002</v>
      </c>
      <c r="Q339">
        <v>5.2</v>
      </c>
      <c r="R339" s="13">
        <v>43520</v>
      </c>
      <c r="S339">
        <f t="shared" si="20"/>
        <v>2</v>
      </c>
      <c r="T339">
        <f t="shared" si="21"/>
        <v>13</v>
      </c>
      <c r="U339">
        <f t="shared" si="22"/>
        <v>24</v>
      </c>
      <c r="V339" s="13" t="str">
        <f t="shared" si="23"/>
        <v>Sunday</v>
      </c>
    </row>
    <row r="340" spans="1:22" x14ac:dyDescent="0.25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 s="1">
        <v>47.65</v>
      </c>
      <c r="H340">
        <v>3</v>
      </c>
      <c r="I340" s="1">
        <v>7.1475</v>
      </c>
      <c r="J340" s="1">
        <v>150.0975</v>
      </c>
      <c r="K340" s="3" t="s">
        <v>171</v>
      </c>
      <c r="L340" s="2">
        <v>0.54027777777777775</v>
      </c>
      <c r="M340" t="s">
        <v>33</v>
      </c>
      <c r="N340" s="1">
        <v>142.94999999999999</v>
      </c>
      <c r="O340" s="1">
        <v>4.7619047620000003</v>
      </c>
      <c r="P340" s="1">
        <v>7.1475</v>
      </c>
      <c r="Q340">
        <v>9.5</v>
      </c>
      <c r="R340" s="13">
        <v>43552</v>
      </c>
      <c r="S340">
        <f t="shared" si="20"/>
        <v>3</v>
      </c>
      <c r="T340">
        <f t="shared" si="21"/>
        <v>12</v>
      </c>
      <c r="U340">
        <f t="shared" si="22"/>
        <v>28</v>
      </c>
      <c r="V340" s="13" t="str">
        <f t="shared" si="23"/>
        <v>Thursday</v>
      </c>
    </row>
    <row r="341" spans="1:22" x14ac:dyDescent="0.25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 s="1">
        <v>42.82</v>
      </c>
      <c r="H341">
        <v>9</v>
      </c>
      <c r="I341" s="1">
        <v>19.268999999999998</v>
      </c>
      <c r="J341" s="1">
        <v>404.649</v>
      </c>
      <c r="K341" s="3">
        <v>43587</v>
      </c>
      <c r="L341" s="2">
        <v>0.6430555555555556</v>
      </c>
      <c r="M341" t="s">
        <v>33</v>
      </c>
      <c r="N341" s="1">
        <v>385.38</v>
      </c>
      <c r="O341" s="1">
        <v>4.7619047620000003</v>
      </c>
      <c r="P341" s="1">
        <v>19.268999999999998</v>
      </c>
      <c r="Q341">
        <v>8.9</v>
      </c>
      <c r="R341" s="13">
        <v>43501</v>
      </c>
      <c r="S341">
        <f t="shared" si="20"/>
        <v>2</v>
      </c>
      <c r="T341">
        <f t="shared" si="21"/>
        <v>15</v>
      </c>
      <c r="U341">
        <f t="shared" si="22"/>
        <v>5</v>
      </c>
      <c r="V341" s="13" t="str">
        <f t="shared" si="23"/>
        <v>Tuesday</v>
      </c>
    </row>
    <row r="342" spans="1:22" x14ac:dyDescent="0.25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 s="1">
        <v>48.09</v>
      </c>
      <c r="H342">
        <v>3</v>
      </c>
      <c r="I342" s="1">
        <v>7.2134999999999998</v>
      </c>
      <c r="J342" s="1">
        <v>151.48349999999999</v>
      </c>
      <c r="K342" s="3">
        <v>43740</v>
      </c>
      <c r="L342" s="2">
        <v>0.76597222222222228</v>
      </c>
      <c r="M342" t="s">
        <v>33</v>
      </c>
      <c r="N342" s="1">
        <v>144.27000000000001</v>
      </c>
      <c r="O342" s="1">
        <v>4.7619047620000003</v>
      </c>
      <c r="P342" s="1">
        <v>7.2134999999999998</v>
      </c>
      <c r="Q342">
        <v>7.8</v>
      </c>
      <c r="R342" s="13">
        <v>43506</v>
      </c>
      <c r="S342">
        <f t="shared" si="20"/>
        <v>2</v>
      </c>
      <c r="T342">
        <f t="shared" si="21"/>
        <v>18</v>
      </c>
      <c r="U342">
        <f t="shared" si="22"/>
        <v>10</v>
      </c>
      <c r="V342" s="13" t="str">
        <f t="shared" si="23"/>
        <v>Sunday</v>
      </c>
    </row>
    <row r="343" spans="1:22" x14ac:dyDescent="0.25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 s="1">
        <v>55.97</v>
      </c>
      <c r="H343">
        <v>7</v>
      </c>
      <c r="I343" s="1">
        <v>19.589500000000001</v>
      </c>
      <c r="J343" s="1">
        <v>411.37950000000001</v>
      </c>
      <c r="K343" s="3">
        <v>43588</v>
      </c>
      <c r="L343" s="2">
        <v>0.79583333333333328</v>
      </c>
      <c r="M343" t="s">
        <v>23</v>
      </c>
      <c r="N343" s="1">
        <v>391.79</v>
      </c>
      <c r="O343" s="1">
        <v>4.7619047620000003</v>
      </c>
      <c r="P343" s="1">
        <v>19.589500000000001</v>
      </c>
      <c r="Q343">
        <v>8.9</v>
      </c>
      <c r="R343" s="13">
        <v>43529</v>
      </c>
      <c r="S343">
        <f t="shared" si="20"/>
        <v>3</v>
      </c>
      <c r="T343">
        <f t="shared" si="21"/>
        <v>19</v>
      </c>
      <c r="U343">
        <f t="shared" si="22"/>
        <v>5</v>
      </c>
      <c r="V343" s="13" t="str">
        <f t="shared" si="23"/>
        <v>Tuesday</v>
      </c>
    </row>
    <row r="344" spans="1:22" x14ac:dyDescent="0.25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 s="1">
        <v>76.900000000000006</v>
      </c>
      <c r="H344">
        <v>7</v>
      </c>
      <c r="I344" s="1">
        <v>26.914999999999999</v>
      </c>
      <c r="J344" s="1">
        <v>565.21500000000003</v>
      </c>
      <c r="K344" s="3" t="s">
        <v>118</v>
      </c>
      <c r="L344" s="2">
        <v>0.84791666666666665</v>
      </c>
      <c r="M344" t="s">
        <v>29</v>
      </c>
      <c r="N344" s="1">
        <v>538.29999999999995</v>
      </c>
      <c r="O344" s="1">
        <v>4.7619047620000003</v>
      </c>
      <c r="P344" s="1">
        <v>26.914999999999999</v>
      </c>
      <c r="Q344">
        <v>7.7</v>
      </c>
      <c r="R344" s="13">
        <v>43511</v>
      </c>
      <c r="S344">
        <f t="shared" si="20"/>
        <v>2</v>
      </c>
      <c r="T344">
        <f t="shared" si="21"/>
        <v>20</v>
      </c>
      <c r="U344">
        <f t="shared" si="22"/>
        <v>15</v>
      </c>
      <c r="V344" s="13" t="str">
        <f t="shared" si="23"/>
        <v>Friday</v>
      </c>
    </row>
    <row r="345" spans="1:22" x14ac:dyDescent="0.25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 s="1">
        <v>97.03</v>
      </c>
      <c r="H345">
        <v>5</v>
      </c>
      <c r="I345" s="1">
        <v>24.2575</v>
      </c>
      <c r="J345" s="1">
        <v>509.40750000000003</v>
      </c>
      <c r="K345" s="3" t="s">
        <v>241</v>
      </c>
      <c r="L345" s="2">
        <v>0.68333333333333335</v>
      </c>
      <c r="M345" t="s">
        <v>23</v>
      </c>
      <c r="N345" s="1">
        <v>485.15</v>
      </c>
      <c r="O345" s="1">
        <v>4.7619047620000003</v>
      </c>
      <c r="P345" s="1">
        <v>24.2575</v>
      </c>
      <c r="Q345">
        <v>9.3000000000000007</v>
      </c>
      <c r="R345" s="13">
        <v>43495</v>
      </c>
      <c r="S345">
        <f t="shared" si="20"/>
        <v>1</v>
      </c>
      <c r="T345">
        <f t="shared" si="21"/>
        <v>16</v>
      </c>
      <c r="U345">
        <f t="shared" si="22"/>
        <v>30</v>
      </c>
      <c r="V345" s="13" t="str">
        <f t="shared" si="23"/>
        <v>Wednesday</v>
      </c>
    </row>
    <row r="346" spans="1:22" x14ac:dyDescent="0.25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 s="1">
        <v>44.65</v>
      </c>
      <c r="H346">
        <v>3</v>
      </c>
      <c r="I346" s="1">
        <v>6.6974999999999998</v>
      </c>
      <c r="J346" s="1">
        <v>140.64750000000001</v>
      </c>
      <c r="K346" s="3" t="s">
        <v>123</v>
      </c>
      <c r="L346" s="2">
        <v>0.62777777777777777</v>
      </c>
      <c r="M346" t="s">
        <v>29</v>
      </c>
      <c r="N346" s="1">
        <v>133.94999999999999</v>
      </c>
      <c r="O346" s="1">
        <v>4.7619047620000003</v>
      </c>
      <c r="P346" s="1">
        <v>6.6974999999999998</v>
      </c>
      <c r="Q346">
        <v>6.2</v>
      </c>
      <c r="R346" s="13">
        <v>43510</v>
      </c>
      <c r="S346">
        <f t="shared" si="20"/>
        <v>2</v>
      </c>
      <c r="T346">
        <f t="shared" si="21"/>
        <v>15</v>
      </c>
      <c r="U346">
        <f t="shared" si="22"/>
        <v>14</v>
      </c>
      <c r="V346" s="13" t="str">
        <f t="shared" si="23"/>
        <v>Thursday</v>
      </c>
    </row>
    <row r="347" spans="1:22" x14ac:dyDescent="0.25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 s="1">
        <v>77.930000000000007</v>
      </c>
      <c r="H347">
        <v>9</v>
      </c>
      <c r="I347" s="1">
        <v>35.0685</v>
      </c>
      <c r="J347" s="1">
        <v>736.43849999999998</v>
      </c>
      <c r="K347" s="3" t="s">
        <v>99</v>
      </c>
      <c r="L347" s="2">
        <v>0.67361111111111116</v>
      </c>
      <c r="M347" t="s">
        <v>23</v>
      </c>
      <c r="N347" s="1">
        <v>701.37</v>
      </c>
      <c r="O347" s="1">
        <v>4.7619047620000003</v>
      </c>
      <c r="P347" s="1">
        <v>35.0685</v>
      </c>
      <c r="Q347">
        <v>7.6</v>
      </c>
      <c r="R347" s="13">
        <v>43523</v>
      </c>
      <c r="S347">
        <f t="shared" si="20"/>
        <v>2</v>
      </c>
      <c r="T347">
        <f t="shared" si="21"/>
        <v>16</v>
      </c>
      <c r="U347">
        <f t="shared" si="22"/>
        <v>27</v>
      </c>
      <c r="V347" s="13" t="str">
        <f t="shared" si="23"/>
        <v>Wednesday</v>
      </c>
    </row>
    <row r="348" spans="1:22" x14ac:dyDescent="0.25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 s="1">
        <v>71.95</v>
      </c>
      <c r="H348">
        <v>1</v>
      </c>
      <c r="I348" s="1">
        <v>3.5975000000000001</v>
      </c>
      <c r="J348" s="1">
        <v>75.547499999999999</v>
      </c>
      <c r="K348" s="3">
        <v>43557</v>
      </c>
      <c r="L348" s="2">
        <v>0.50972222222222219</v>
      </c>
      <c r="M348" t="s">
        <v>29</v>
      </c>
      <c r="N348" s="1">
        <v>71.95</v>
      </c>
      <c r="O348" s="1">
        <v>4.7619047620000003</v>
      </c>
      <c r="P348" s="1">
        <v>3.5975000000000001</v>
      </c>
      <c r="Q348">
        <v>7.3</v>
      </c>
      <c r="R348" s="13">
        <v>43500</v>
      </c>
      <c r="S348">
        <f t="shared" si="20"/>
        <v>2</v>
      </c>
      <c r="T348">
        <f t="shared" si="21"/>
        <v>12</v>
      </c>
      <c r="U348">
        <f t="shared" si="22"/>
        <v>4</v>
      </c>
      <c r="V348" s="13" t="str">
        <f t="shared" si="23"/>
        <v>Monday</v>
      </c>
    </row>
    <row r="349" spans="1:22" x14ac:dyDescent="0.25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 s="1">
        <v>89.25</v>
      </c>
      <c r="H349">
        <v>8</v>
      </c>
      <c r="I349" s="1">
        <v>35.700000000000003</v>
      </c>
      <c r="J349" s="1">
        <v>749.7</v>
      </c>
      <c r="K349" s="3" t="s">
        <v>115</v>
      </c>
      <c r="L349" s="2">
        <v>0.42569444444444443</v>
      </c>
      <c r="M349" t="s">
        <v>29</v>
      </c>
      <c r="N349" s="1">
        <v>714</v>
      </c>
      <c r="O349" s="1">
        <v>4.7619047620000003</v>
      </c>
      <c r="P349" s="1">
        <v>35.700000000000003</v>
      </c>
      <c r="Q349">
        <v>4.7</v>
      </c>
      <c r="R349" s="13">
        <v>43485</v>
      </c>
      <c r="S349">
        <f t="shared" si="20"/>
        <v>1</v>
      </c>
      <c r="T349">
        <f t="shared" si="21"/>
        <v>10</v>
      </c>
      <c r="U349">
        <f t="shared" si="22"/>
        <v>20</v>
      </c>
      <c r="V349" s="13" t="str">
        <f t="shared" si="23"/>
        <v>Sunday</v>
      </c>
    </row>
    <row r="350" spans="1:22" x14ac:dyDescent="0.25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 s="1">
        <v>26.02</v>
      </c>
      <c r="H350">
        <v>7</v>
      </c>
      <c r="I350" s="1">
        <v>9.1069999999999993</v>
      </c>
      <c r="J350" s="1">
        <v>191.24700000000001</v>
      </c>
      <c r="K350" s="3" t="s">
        <v>171</v>
      </c>
      <c r="L350" s="2">
        <v>0.73472222222222228</v>
      </c>
      <c r="M350" t="s">
        <v>29</v>
      </c>
      <c r="N350" s="1">
        <v>182.14</v>
      </c>
      <c r="O350" s="1">
        <v>4.7619047620000003</v>
      </c>
      <c r="P350" s="1">
        <v>9.1069999999999993</v>
      </c>
      <c r="Q350">
        <v>5.0999999999999996</v>
      </c>
      <c r="R350" s="13">
        <v>43552</v>
      </c>
      <c r="S350">
        <f t="shared" si="20"/>
        <v>3</v>
      </c>
      <c r="T350">
        <f t="shared" si="21"/>
        <v>17</v>
      </c>
      <c r="U350">
        <f t="shared" si="22"/>
        <v>28</v>
      </c>
      <c r="V350" s="13" t="str">
        <f t="shared" si="23"/>
        <v>Thursday</v>
      </c>
    </row>
    <row r="351" spans="1:22" x14ac:dyDescent="0.25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 s="1">
        <v>13.5</v>
      </c>
      <c r="H351">
        <v>10</v>
      </c>
      <c r="I351" s="1">
        <v>6.75</v>
      </c>
      <c r="J351" s="1">
        <v>141.75</v>
      </c>
      <c r="K351" s="3" t="s">
        <v>99</v>
      </c>
      <c r="L351" s="2">
        <v>0.46250000000000002</v>
      </c>
      <c r="M351" t="s">
        <v>33</v>
      </c>
      <c r="N351" s="1">
        <v>135</v>
      </c>
      <c r="O351" s="1">
        <v>4.7619047620000003</v>
      </c>
      <c r="P351" s="1">
        <v>6.75</v>
      </c>
      <c r="Q351">
        <v>4.8</v>
      </c>
      <c r="R351" s="13">
        <v>43523</v>
      </c>
      <c r="S351">
        <f t="shared" si="20"/>
        <v>2</v>
      </c>
      <c r="T351">
        <f t="shared" si="21"/>
        <v>11</v>
      </c>
      <c r="U351">
        <f t="shared" si="22"/>
        <v>27</v>
      </c>
      <c r="V351" s="13" t="str">
        <f t="shared" si="23"/>
        <v>Wednesday</v>
      </c>
    </row>
    <row r="352" spans="1:22" x14ac:dyDescent="0.25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 s="1">
        <v>99.3</v>
      </c>
      <c r="H352">
        <v>10</v>
      </c>
      <c r="I352" s="1">
        <v>49.65</v>
      </c>
      <c r="J352" s="1">
        <v>1042.6500000000001</v>
      </c>
      <c r="K352" s="3" t="s">
        <v>118</v>
      </c>
      <c r="L352" s="2">
        <v>0.62013888888888891</v>
      </c>
      <c r="M352" t="s">
        <v>33</v>
      </c>
      <c r="N352" s="1">
        <v>993</v>
      </c>
      <c r="O352" s="1">
        <v>4.7619047620000003</v>
      </c>
      <c r="P352" s="1">
        <v>49.65</v>
      </c>
      <c r="Q352">
        <v>6.6</v>
      </c>
      <c r="R352" s="13">
        <v>43511</v>
      </c>
      <c r="S352">
        <f t="shared" si="20"/>
        <v>2</v>
      </c>
      <c r="T352">
        <f t="shared" si="21"/>
        <v>14</v>
      </c>
      <c r="U352">
        <f t="shared" si="22"/>
        <v>15</v>
      </c>
      <c r="V352" s="13" t="str">
        <f t="shared" si="23"/>
        <v>Friday</v>
      </c>
    </row>
    <row r="353" spans="1:22" x14ac:dyDescent="0.25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 s="1">
        <v>51.69</v>
      </c>
      <c r="H353">
        <v>7</v>
      </c>
      <c r="I353" s="1">
        <v>18.0915</v>
      </c>
      <c r="J353" s="1">
        <v>379.92149999999998</v>
      </c>
      <c r="K353" s="3" t="s">
        <v>145</v>
      </c>
      <c r="L353" s="2">
        <v>0.76527777777777772</v>
      </c>
      <c r="M353" t="s">
        <v>29</v>
      </c>
      <c r="N353" s="1">
        <v>361.83</v>
      </c>
      <c r="O353" s="1">
        <v>4.7619047620000003</v>
      </c>
      <c r="P353" s="1">
        <v>18.0915</v>
      </c>
      <c r="Q353">
        <v>5.5</v>
      </c>
      <c r="R353" s="13">
        <v>43491</v>
      </c>
      <c r="S353">
        <f t="shared" si="20"/>
        <v>1</v>
      </c>
      <c r="T353">
        <f t="shared" si="21"/>
        <v>18</v>
      </c>
      <c r="U353">
        <f t="shared" si="22"/>
        <v>26</v>
      </c>
      <c r="V353" s="13" t="str">
        <f t="shared" si="23"/>
        <v>Saturday</v>
      </c>
    </row>
    <row r="354" spans="1:22" x14ac:dyDescent="0.25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 s="1">
        <v>54.73</v>
      </c>
      <c r="H354">
        <v>7</v>
      </c>
      <c r="I354" s="1">
        <v>19.1555</v>
      </c>
      <c r="J354" s="1">
        <v>402.26549999999997</v>
      </c>
      <c r="K354" s="3" t="s">
        <v>354</v>
      </c>
      <c r="L354" s="2">
        <v>0.79305555555555551</v>
      </c>
      <c r="M354" t="s">
        <v>33</v>
      </c>
      <c r="N354" s="1">
        <v>383.11</v>
      </c>
      <c r="O354" s="1">
        <v>4.7619047620000003</v>
      </c>
      <c r="P354" s="1">
        <v>19.1555</v>
      </c>
      <c r="Q354">
        <v>8.5</v>
      </c>
      <c r="R354" s="13">
        <v>43538</v>
      </c>
      <c r="S354">
        <f t="shared" si="20"/>
        <v>3</v>
      </c>
      <c r="T354">
        <f t="shared" si="21"/>
        <v>19</v>
      </c>
      <c r="U354">
        <f t="shared" si="22"/>
        <v>14</v>
      </c>
      <c r="V354" s="13" t="str">
        <f t="shared" si="23"/>
        <v>Thursday</v>
      </c>
    </row>
    <row r="355" spans="1:22" x14ac:dyDescent="0.25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 s="1">
        <v>27</v>
      </c>
      <c r="H355">
        <v>9</v>
      </c>
      <c r="I355" s="1">
        <v>12.15</v>
      </c>
      <c r="J355" s="1">
        <v>255.15</v>
      </c>
      <c r="K355" s="3">
        <v>43499</v>
      </c>
      <c r="L355" s="2">
        <v>0.59444444444444444</v>
      </c>
      <c r="M355" t="s">
        <v>29</v>
      </c>
      <c r="N355" s="1">
        <v>243</v>
      </c>
      <c r="O355" s="1">
        <v>4.7619047620000003</v>
      </c>
      <c r="P355" s="1">
        <v>12.15</v>
      </c>
      <c r="Q355">
        <v>4.8</v>
      </c>
      <c r="R355" s="13">
        <v>43526</v>
      </c>
      <c r="S355">
        <f t="shared" si="20"/>
        <v>3</v>
      </c>
      <c r="T355">
        <f t="shared" si="21"/>
        <v>14</v>
      </c>
      <c r="U355">
        <f t="shared" si="22"/>
        <v>2</v>
      </c>
      <c r="V355" s="13" t="str">
        <f t="shared" si="23"/>
        <v>Saturday</v>
      </c>
    </row>
    <row r="356" spans="1:22" x14ac:dyDescent="0.25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 s="1">
        <v>30.24</v>
      </c>
      <c r="H356">
        <v>1</v>
      </c>
      <c r="I356" s="1">
        <v>1.512</v>
      </c>
      <c r="J356" s="1">
        <v>31.751999999999999</v>
      </c>
      <c r="K356" s="3">
        <v>43558</v>
      </c>
      <c r="L356" s="2">
        <v>0.65555555555555556</v>
      </c>
      <c r="M356" t="s">
        <v>29</v>
      </c>
      <c r="N356" s="1">
        <v>30.24</v>
      </c>
      <c r="O356" s="1">
        <v>4.7619047620000003</v>
      </c>
      <c r="P356" s="1">
        <v>1.512</v>
      </c>
      <c r="Q356">
        <v>8.4</v>
      </c>
      <c r="R356" s="13">
        <v>43528</v>
      </c>
      <c r="S356">
        <f t="shared" si="20"/>
        <v>3</v>
      </c>
      <c r="T356">
        <f t="shared" si="21"/>
        <v>15</v>
      </c>
      <c r="U356">
        <f t="shared" si="22"/>
        <v>4</v>
      </c>
      <c r="V356" s="13" t="str">
        <f t="shared" si="23"/>
        <v>Monday</v>
      </c>
    </row>
    <row r="357" spans="1:22" x14ac:dyDescent="0.25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 s="1">
        <v>89.14</v>
      </c>
      <c r="H357">
        <v>4</v>
      </c>
      <c r="I357" s="1">
        <v>17.827999999999999</v>
      </c>
      <c r="J357" s="1">
        <v>374.38799999999998</v>
      </c>
      <c r="K357" s="3">
        <v>43647</v>
      </c>
      <c r="L357" s="2">
        <v>0.51388888888888884</v>
      </c>
      <c r="M357" t="s">
        <v>33</v>
      </c>
      <c r="N357" s="1">
        <v>356.56</v>
      </c>
      <c r="O357" s="1">
        <v>4.7619047620000003</v>
      </c>
      <c r="P357" s="1">
        <v>17.827999999999999</v>
      </c>
      <c r="Q357">
        <v>7.8</v>
      </c>
      <c r="R357" s="13">
        <v>43472</v>
      </c>
      <c r="S357">
        <f t="shared" si="20"/>
        <v>1</v>
      </c>
      <c r="T357">
        <f t="shared" si="21"/>
        <v>12</v>
      </c>
      <c r="U357">
        <f t="shared" si="22"/>
        <v>7</v>
      </c>
      <c r="V357" s="13" t="str">
        <f t="shared" si="23"/>
        <v>Monday</v>
      </c>
    </row>
    <row r="358" spans="1:22" x14ac:dyDescent="0.25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 s="1">
        <v>37.549999999999997</v>
      </c>
      <c r="H358">
        <v>10</v>
      </c>
      <c r="I358" s="1">
        <v>18.774999999999999</v>
      </c>
      <c r="J358" s="1">
        <v>394.27499999999998</v>
      </c>
      <c r="K358" s="3">
        <v>43680</v>
      </c>
      <c r="L358" s="2">
        <v>0.83402777777777781</v>
      </c>
      <c r="M358" t="s">
        <v>33</v>
      </c>
      <c r="N358" s="1">
        <v>375.5</v>
      </c>
      <c r="O358" s="1">
        <v>4.7619047620000003</v>
      </c>
      <c r="P358" s="1">
        <v>18.774999999999999</v>
      </c>
      <c r="Q358">
        <v>9.3000000000000007</v>
      </c>
      <c r="R358" s="13">
        <v>43532</v>
      </c>
      <c r="S358">
        <f t="shared" si="20"/>
        <v>3</v>
      </c>
      <c r="T358">
        <f t="shared" si="21"/>
        <v>20</v>
      </c>
      <c r="U358">
        <f t="shared" si="22"/>
        <v>8</v>
      </c>
      <c r="V358" s="13" t="str">
        <f t="shared" si="23"/>
        <v>Friday</v>
      </c>
    </row>
    <row r="359" spans="1:22" x14ac:dyDescent="0.25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 s="1">
        <v>95.44</v>
      </c>
      <c r="H359">
        <v>10</v>
      </c>
      <c r="I359" s="1">
        <v>47.72</v>
      </c>
      <c r="J359" s="1">
        <v>1002.12</v>
      </c>
      <c r="K359" s="3">
        <v>43709</v>
      </c>
      <c r="L359" s="2">
        <v>0.57291666666666663</v>
      </c>
      <c r="M359" t="s">
        <v>29</v>
      </c>
      <c r="N359" s="1">
        <v>954.4</v>
      </c>
      <c r="O359" s="1">
        <v>4.7619047620000003</v>
      </c>
      <c r="P359" s="1">
        <v>47.72</v>
      </c>
      <c r="Q359">
        <v>5.2</v>
      </c>
      <c r="R359" s="13">
        <v>43474</v>
      </c>
      <c r="S359">
        <f t="shared" si="20"/>
        <v>1</v>
      </c>
      <c r="T359">
        <f t="shared" si="21"/>
        <v>13</v>
      </c>
      <c r="U359">
        <f t="shared" si="22"/>
        <v>9</v>
      </c>
      <c r="V359" s="13" t="str">
        <f t="shared" si="23"/>
        <v>Wednesday</v>
      </c>
    </row>
    <row r="360" spans="1:22" x14ac:dyDescent="0.25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 s="1">
        <v>27.5</v>
      </c>
      <c r="H360">
        <v>3</v>
      </c>
      <c r="I360" s="1">
        <v>4.125</v>
      </c>
      <c r="J360" s="1">
        <v>86.625</v>
      </c>
      <c r="K360" s="3">
        <v>43468</v>
      </c>
      <c r="L360" s="2">
        <v>0.65277777777777779</v>
      </c>
      <c r="M360" t="s">
        <v>23</v>
      </c>
      <c r="N360" s="1">
        <v>82.5</v>
      </c>
      <c r="O360" s="1">
        <v>4.7619047620000003</v>
      </c>
      <c r="P360" s="1">
        <v>4.125</v>
      </c>
      <c r="Q360">
        <v>6.5</v>
      </c>
      <c r="R360" s="13">
        <v>43525</v>
      </c>
      <c r="S360">
        <f t="shared" si="20"/>
        <v>3</v>
      </c>
      <c r="T360">
        <f t="shared" si="21"/>
        <v>15</v>
      </c>
      <c r="U360">
        <f t="shared" si="22"/>
        <v>1</v>
      </c>
      <c r="V360" s="13" t="str">
        <f t="shared" si="23"/>
        <v>Friday</v>
      </c>
    </row>
    <row r="361" spans="1:22" x14ac:dyDescent="0.25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 s="1">
        <v>74.97</v>
      </c>
      <c r="H361">
        <v>1</v>
      </c>
      <c r="I361" s="1">
        <v>3.7484999999999999</v>
      </c>
      <c r="J361" s="1">
        <v>78.718500000000006</v>
      </c>
      <c r="K361" s="3" t="s">
        <v>96</v>
      </c>
      <c r="L361" s="2">
        <v>0.70694444444444449</v>
      </c>
      <c r="M361" t="s">
        <v>29</v>
      </c>
      <c r="N361" s="1">
        <v>74.97</v>
      </c>
      <c r="O361" s="1">
        <v>4.7619047620000003</v>
      </c>
      <c r="P361" s="1">
        <v>3.7484999999999999</v>
      </c>
      <c r="Q361">
        <v>5.6</v>
      </c>
      <c r="R361" s="13">
        <v>43540</v>
      </c>
      <c r="S361">
        <f t="shared" si="20"/>
        <v>3</v>
      </c>
      <c r="T361">
        <f t="shared" si="21"/>
        <v>16</v>
      </c>
      <c r="U361">
        <f t="shared" si="22"/>
        <v>16</v>
      </c>
      <c r="V361" s="13" t="str">
        <f t="shared" si="23"/>
        <v>Saturday</v>
      </c>
    </row>
    <row r="362" spans="1:22" x14ac:dyDescent="0.25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 s="1">
        <v>80.959999999999994</v>
      </c>
      <c r="H362">
        <v>8</v>
      </c>
      <c r="I362" s="1">
        <v>32.384</v>
      </c>
      <c r="J362" s="1">
        <v>680.06399999999996</v>
      </c>
      <c r="K362" s="3" t="s">
        <v>69</v>
      </c>
      <c r="L362" s="2">
        <v>0.46666666666666667</v>
      </c>
      <c r="M362" t="s">
        <v>33</v>
      </c>
      <c r="N362" s="1">
        <v>647.67999999999995</v>
      </c>
      <c r="O362" s="1">
        <v>4.7619047620000003</v>
      </c>
      <c r="P362" s="1">
        <v>32.384</v>
      </c>
      <c r="Q362">
        <v>7.4</v>
      </c>
      <c r="R362" s="13">
        <v>43513</v>
      </c>
      <c r="S362">
        <f t="shared" si="20"/>
        <v>2</v>
      </c>
      <c r="T362">
        <f t="shared" si="21"/>
        <v>11</v>
      </c>
      <c r="U362">
        <f t="shared" si="22"/>
        <v>17</v>
      </c>
      <c r="V362" s="13" t="str">
        <f t="shared" si="23"/>
        <v>Sunday</v>
      </c>
    </row>
    <row r="363" spans="1:22" x14ac:dyDescent="0.25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 s="1">
        <v>94.47</v>
      </c>
      <c r="H363">
        <v>8</v>
      </c>
      <c r="I363" s="1">
        <v>37.787999999999997</v>
      </c>
      <c r="J363" s="1">
        <v>793.548</v>
      </c>
      <c r="K363" s="3" t="s">
        <v>99</v>
      </c>
      <c r="L363" s="2">
        <v>0.6333333333333333</v>
      </c>
      <c r="M363" t="s">
        <v>29</v>
      </c>
      <c r="N363" s="1">
        <v>755.76</v>
      </c>
      <c r="O363" s="1">
        <v>4.7619047620000003</v>
      </c>
      <c r="P363" s="1">
        <v>37.787999999999997</v>
      </c>
      <c r="Q363">
        <v>9.1</v>
      </c>
      <c r="R363" s="13">
        <v>43523</v>
      </c>
      <c r="S363">
        <f t="shared" si="20"/>
        <v>2</v>
      </c>
      <c r="T363">
        <f t="shared" si="21"/>
        <v>15</v>
      </c>
      <c r="U363">
        <f t="shared" si="22"/>
        <v>27</v>
      </c>
      <c r="V363" s="13" t="str">
        <f t="shared" si="23"/>
        <v>Wednesday</v>
      </c>
    </row>
    <row r="364" spans="1:22" x14ac:dyDescent="0.25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 s="1">
        <v>99.79</v>
      </c>
      <c r="H364">
        <v>2</v>
      </c>
      <c r="I364" s="1">
        <v>9.9789999999999992</v>
      </c>
      <c r="J364" s="1">
        <v>209.559</v>
      </c>
      <c r="K364" s="3">
        <v>43649</v>
      </c>
      <c r="L364" s="2">
        <v>0.85902777777777772</v>
      </c>
      <c r="M364" t="s">
        <v>23</v>
      </c>
      <c r="N364" s="1">
        <v>199.58</v>
      </c>
      <c r="O364" s="1">
        <v>4.7619047620000003</v>
      </c>
      <c r="P364" s="1">
        <v>9.9789999999999992</v>
      </c>
      <c r="Q364">
        <v>8</v>
      </c>
      <c r="R364" s="13">
        <v>43531</v>
      </c>
      <c r="S364">
        <f t="shared" si="20"/>
        <v>3</v>
      </c>
      <c r="T364">
        <f t="shared" si="21"/>
        <v>20</v>
      </c>
      <c r="U364">
        <f t="shared" si="22"/>
        <v>7</v>
      </c>
      <c r="V364" s="13" t="str">
        <f t="shared" si="23"/>
        <v>Thursday</v>
      </c>
    </row>
    <row r="365" spans="1:22" x14ac:dyDescent="0.25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 s="1">
        <v>73.22</v>
      </c>
      <c r="H365">
        <v>6</v>
      </c>
      <c r="I365" s="1">
        <v>21.966000000000001</v>
      </c>
      <c r="J365" s="1">
        <v>461.286</v>
      </c>
      <c r="K365" s="3" t="s">
        <v>62</v>
      </c>
      <c r="L365" s="2">
        <v>0.73888888888888893</v>
      </c>
      <c r="M365" t="s">
        <v>29</v>
      </c>
      <c r="N365" s="1">
        <v>439.32</v>
      </c>
      <c r="O365" s="1">
        <v>4.7619047620000003</v>
      </c>
      <c r="P365" s="1">
        <v>21.966000000000001</v>
      </c>
      <c r="Q365">
        <v>7.2</v>
      </c>
      <c r="R365" s="13">
        <v>43486</v>
      </c>
      <c r="S365">
        <f t="shared" si="20"/>
        <v>1</v>
      </c>
      <c r="T365">
        <f t="shared" si="21"/>
        <v>17</v>
      </c>
      <c r="U365">
        <f t="shared" si="22"/>
        <v>21</v>
      </c>
      <c r="V365" s="13" t="str">
        <f t="shared" si="23"/>
        <v>Monday</v>
      </c>
    </row>
    <row r="366" spans="1:22" x14ac:dyDescent="0.25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 s="1">
        <v>41.24</v>
      </c>
      <c r="H366">
        <v>4</v>
      </c>
      <c r="I366" s="1">
        <v>8.2479999999999993</v>
      </c>
      <c r="J366" s="1">
        <v>173.208</v>
      </c>
      <c r="K366" s="3" t="s">
        <v>453</v>
      </c>
      <c r="L366" s="2">
        <v>0.68263888888888891</v>
      </c>
      <c r="M366" t="s">
        <v>29</v>
      </c>
      <c r="N366" s="1">
        <v>164.96</v>
      </c>
      <c r="O366" s="1">
        <v>4.7619047620000003</v>
      </c>
      <c r="P366" s="1">
        <v>8.2479999999999993</v>
      </c>
      <c r="Q366">
        <v>7.1</v>
      </c>
      <c r="R366" s="13">
        <v>43515</v>
      </c>
      <c r="S366">
        <f t="shared" si="20"/>
        <v>2</v>
      </c>
      <c r="T366">
        <f t="shared" si="21"/>
        <v>16</v>
      </c>
      <c r="U366">
        <f t="shared" si="22"/>
        <v>19</v>
      </c>
      <c r="V366" s="13" t="str">
        <f t="shared" si="23"/>
        <v>Tuesday</v>
      </c>
    </row>
    <row r="367" spans="1:22" x14ac:dyDescent="0.25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 s="1">
        <v>81.680000000000007</v>
      </c>
      <c r="H367">
        <v>4</v>
      </c>
      <c r="I367" s="1">
        <v>16.335999999999999</v>
      </c>
      <c r="J367" s="1">
        <v>343.05599999999998</v>
      </c>
      <c r="K367" s="3">
        <v>43617</v>
      </c>
      <c r="L367" s="2">
        <v>0.5083333333333333</v>
      </c>
      <c r="M367" t="s">
        <v>29</v>
      </c>
      <c r="N367" s="1">
        <v>326.72000000000003</v>
      </c>
      <c r="O367" s="1">
        <v>4.7619047620000003</v>
      </c>
      <c r="P367" s="1">
        <v>16.335999999999999</v>
      </c>
      <c r="Q367">
        <v>9.1</v>
      </c>
      <c r="R367" s="13">
        <v>43471</v>
      </c>
      <c r="S367">
        <f t="shared" si="20"/>
        <v>1</v>
      </c>
      <c r="T367">
        <f t="shared" si="21"/>
        <v>12</v>
      </c>
      <c r="U367">
        <f t="shared" si="22"/>
        <v>6</v>
      </c>
      <c r="V367" s="13" t="str">
        <f t="shared" si="23"/>
        <v>Sunday</v>
      </c>
    </row>
    <row r="368" spans="1:22" x14ac:dyDescent="0.25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 s="1">
        <v>51.32</v>
      </c>
      <c r="H368">
        <v>9</v>
      </c>
      <c r="I368" s="1">
        <v>23.094000000000001</v>
      </c>
      <c r="J368" s="1">
        <v>484.97399999999999</v>
      </c>
      <c r="K368" s="3" t="s">
        <v>354</v>
      </c>
      <c r="L368" s="2">
        <v>0.81458333333333333</v>
      </c>
      <c r="M368" t="s">
        <v>29</v>
      </c>
      <c r="N368" s="1">
        <v>461.88</v>
      </c>
      <c r="O368" s="1">
        <v>4.7619047620000003</v>
      </c>
      <c r="P368" s="1">
        <v>23.094000000000001</v>
      </c>
      <c r="Q368">
        <v>5.6</v>
      </c>
      <c r="R368" s="13">
        <v>43538</v>
      </c>
      <c r="S368">
        <f t="shared" si="20"/>
        <v>3</v>
      </c>
      <c r="T368">
        <f t="shared" si="21"/>
        <v>19</v>
      </c>
      <c r="U368">
        <f t="shared" si="22"/>
        <v>14</v>
      </c>
      <c r="V368" s="13" t="str">
        <f t="shared" si="23"/>
        <v>Thursday</v>
      </c>
    </row>
    <row r="369" spans="1:22" x14ac:dyDescent="0.25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 s="1">
        <v>65.94</v>
      </c>
      <c r="H369">
        <v>4</v>
      </c>
      <c r="I369" s="1">
        <v>13.188000000000001</v>
      </c>
      <c r="J369" s="1">
        <v>276.94799999999998</v>
      </c>
      <c r="K369" s="3" t="s">
        <v>177</v>
      </c>
      <c r="L369" s="2">
        <v>0.43680555555555556</v>
      </c>
      <c r="M369" t="s">
        <v>29</v>
      </c>
      <c r="N369" s="1">
        <v>263.76</v>
      </c>
      <c r="O369" s="1">
        <v>4.7619047620000003</v>
      </c>
      <c r="P369" s="1">
        <v>13.188000000000001</v>
      </c>
      <c r="Q369">
        <v>6</v>
      </c>
      <c r="R369" s="13">
        <v>43548</v>
      </c>
      <c r="S369">
        <f t="shared" si="20"/>
        <v>3</v>
      </c>
      <c r="T369">
        <f t="shared" si="21"/>
        <v>10</v>
      </c>
      <c r="U369">
        <f t="shared" si="22"/>
        <v>24</v>
      </c>
      <c r="V369" s="13" t="str">
        <f t="shared" si="23"/>
        <v>Sunday</v>
      </c>
    </row>
    <row r="370" spans="1:22" x14ac:dyDescent="0.25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 s="1">
        <v>14.36</v>
      </c>
      <c r="H370">
        <v>10</v>
      </c>
      <c r="I370" s="1">
        <v>7.18</v>
      </c>
      <c r="J370" s="1">
        <v>150.78</v>
      </c>
      <c r="K370" s="3" t="s">
        <v>35</v>
      </c>
      <c r="L370" s="2">
        <v>0.60277777777777775</v>
      </c>
      <c r="M370" t="s">
        <v>29</v>
      </c>
      <c r="N370" s="1">
        <v>143.6</v>
      </c>
      <c r="O370" s="1">
        <v>4.7619047620000003</v>
      </c>
      <c r="P370" s="1">
        <v>7.18</v>
      </c>
      <c r="Q370">
        <v>5.4</v>
      </c>
      <c r="R370" s="13">
        <v>43492</v>
      </c>
      <c r="S370">
        <f t="shared" si="20"/>
        <v>1</v>
      </c>
      <c r="T370">
        <f t="shared" si="21"/>
        <v>14</v>
      </c>
      <c r="U370">
        <f t="shared" si="22"/>
        <v>27</v>
      </c>
      <c r="V370" s="13" t="str">
        <f t="shared" si="23"/>
        <v>Sunday</v>
      </c>
    </row>
    <row r="371" spans="1:22" x14ac:dyDescent="0.25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 s="1">
        <v>21.5</v>
      </c>
      <c r="H371">
        <v>9</v>
      </c>
      <c r="I371" s="1">
        <v>9.6750000000000007</v>
      </c>
      <c r="J371" s="1">
        <v>203.17500000000001</v>
      </c>
      <c r="K371" s="3">
        <v>43619</v>
      </c>
      <c r="L371" s="2">
        <v>0.53194444444444444</v>
      </c>
      <c r="M371" t="s">
        <v>33</v>
      </c>
      <c r="N371" s="1">
        <v>193.5</v>
      </c>
      <c r="O371" s="1">
        <v>4.7619047620000003</v>
      </c>
      <c r="P371" s="1">
        <v>9.6750000000000007</v>
      </c>
      <c r="Q371">
        <v>7.8</v>
      </c>
      <c r="R371" s="13">
        <v>43530</v>
      </c>
      <c r="S371">
        <f t="shared" si="20"/>
        <v>3</v>
      </c>
      <c r="T371">
        <f t="shared" si="21"/>
        <v>12</v>
      </c>
      <c r="U371">
        <f t="shared" si="22"/>
        <v>6</v>
      </c>
      <c r="V371" s="13" t="str">
        <f t="shared" si="23"/>
        <v>Wednesday</v>
      </c>
    </row>
    <row r="372" spans="1:22" x14ac:dyDescent="0.25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 s="1">
        <v>26.26</v>
      </c>
      <c r="H372">
        <v>7</v>
      </c>
      <c r="I372" s="1">
        <v>9.1910000000000007</v>
      </c>
      <c r="J372" s="1">
        <v>193.011</v>
      </c>
      <c r="K372" s="3">
        <v>43498</v>
      </c>
      <c r="L372" s="2">
        <v>0.81944444444444442</v>
      </c>
      <c r="M372" t="s">
        <v>29</v>
      </c>
      <c r="N372" s="1">
        <v>183.82</v>
      </c>
      <c r="O372" s="1">
        <v>4.7619047620000003</v>
      </c>
      <c r="P372" s="1">
        <v>9.1910000000000007</v>
      </c>
      <c r="Q372">
        <v>9.9</v>
      </c>
      <c r="R372" s="13">
        <v>43498</v>
      </c>
      <c r="S372">
        <f t="shared" si="20"/>
        <v>2</v>
      </c>
      <c r="T372">
        <f t="shared" si="21"/>
        <v>19</v>
      </c>
      <c r="U372">
        <f t="shared" si="22"/>
        <v>2</v>
      </c>
      <c r="V372" s="13" t="str">
        <f t="shared" si="23"/>
        <v>Saturday</v>
      </c>
    </row>
    <row r="373" spans="1:22" x14ac:dyDescent="0.25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 s="1">
        <v>60.96</v>
      </c>
      <c r="H373">
        <v>2</v>
      </c>
      <c r="I373" s="1">
        <v>6.0960000000000001</v>
      </c>
      <c r="J373" s="1">
        <v>128.01599999999999</v>
      </c>
      <c r="K373" s="3" t="s">
        <v>76</v>
      </c>
      <c r="L373" s="2">
        <v>0.81874999999999998</v>
      </c>
      <c r="M373" t="s">
        <v>33</v>
      </c>
      <c r="N373" s="1">
        <v>121.92</v>
      </c>
      <c r="O373" s="1">
        <v>4.7619047620000003</v>
      </c>
      <c r="P373" s="1">
        <v>6.0960000000000001</v>
      </c>
      <c r="Q373">
        <v>4.9000000000000004</v>
      </c>
      <c r="R373" s="13">
        <v>43490</v>
      </c>
      <c r="S373">
        <f t="shared" si="20"/>
        <v>1</v>
      </c>
      <c r="T373">
        <f t="shared" si="21"/>
        <v>19</v>
      </c>
      <c r="U373">
        <f t="shared" si="22"/>
        <v>25</v>
      </c>
      <c r="V373" s="13" t="str">
        <f t="shared" si="23"/>
        <v>Friday</v>
      </c>
    </row>
    <row r="374" spans="1:22" x14ac:dyDescent="0.25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 s="1">
        <v>70.11</v>
      </c>
      <c r="H374">
        <v>6</v>
      </c>
      <c r="I374" s="1">
        <v>21.033000000000001</v>
      </c>
      <c r="J374" s="1">
        <v>441.69299999999998</v>
      </c>
      <c r="K374" s="3" t="s">
        <v>354</v>
      </c>
      <c r="L374" s="2">
        <v>0.74583333333333335</v>
      </c>
      <c r="M374" t="s">
        <v>23</v>
      </c>
      <c r="N374" s="1">
        <v>420.66</v>
      </c>
      <c r="O374" s="1">
        <v>4.7619047620000003</v>
      </c>
      <c r="P374" s="1">
        <v>21.033000000000001</v>
      </c>
      <c r="Q374">
        <v>5.2</v>
      </c>
      <c r="R374" s="13">
        <v>43538</v>
      </c>
      <c r="S374">
        <f t="shared" si="20"/>
        <v>3</v>
      </c>
      <c r="T374">
        <f t="shared" si="21"/>
        <v>17</v>
      </c>
      <c r="U374">
        <f t="shared" si="22"/>
        <v>14</v>
      </c>
      <c r="V374" s="13" t="str">
        <f t="shared" si="23"/>
        <v>Thursday</v>
      </c>
    </row>
    <row r="375" spans="1:22" x14ac:dyDescent="0.25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 s="1">
        <v>42.08</v>
      </c>
      <c r="H375">
        <v>6</v>
      </c>
      <c r="I375" s="1">
        <v>12.624000000000001</v>
      </c>
      <c r="J375" s="1">
        <v>265.10399999999998</v>
      </c>
      <c r="K375" s="3" t="s">
        <v>228</v>
      </c>
      <c r="L375" s="2">
        <v>0.51736111111111116</v>
      </c>
      <c r="M375" t="s">
        <v>29</v>
      </c>
      <c r="N375" s="1">
        <v>252.48</v>
      </c>
      <c r="O375" s="1">
        <v>4.7619047620000003</v>
      </c>
      <c r="P375" s="1">
        <v>12.624000000000001</v>
      </c>
      <c r="Q375">
        <v>8.9</v>
      </c>
      <c r="R375" s="13">
        <v>43494</v>
      </c>
      <c r="S375">
        <f t="shared" si="20"/>
        <v>1</v>
      </c>
      <c r="T375">
        <f t="shared" si="21"/>
        <v>12</v>
      </c>
      <c r="U375">
        <f t="shared" si="22"/>
        <v>29</v>
      </c>
      <c r="V375" s="13" t="str">
        <f t="shared" si="23"/>
        <v>Tuesday</v>
      </c>
    </row>
    <row r="376" spans="1:22" x14ac:dyDescent="0.25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 s="1">
        <v>67.09</v>
      </c>
      <c r="H376">
        <v>5</v>
      </c>
      <c r="I376" s="1">
        <v>16.772500000000001</v>
      </c>
      <c r="J376" s="1">
        <v>352.22250000000003</v>
      </c>
      <c r="K376" s="3">
        <v>43525</v>
      </c>
      <c r="L376" s="2">
        <v>0.69930555555555551</v>
      </c>
      <c r="M376" t="s">
        <v>33</v>
      </c>
      <c r="N376" s="1">
        <v>335.45</v>
      </c>
      <c r="O376" s="1">
        <v>4.7619047620000003</v>
      </c>
      <c r="P376" s="1">
        <v>16.772500000000001</v>
      </c>
      <c r="Q376">
        <v>9.1</v>
      </c>
      <c r="R376" s="13">
        <v>43468</v>
      </c>
      <c r="S376">
        <f t="shared" si="20"/>
        <v>1</v>
      </c>
      <c r="T376">
        <f t="shared" si="21"/>
        <v>16</v>
      </c>
      <c r="U376">
        <f t="shared" si="22"/>
        <v>3</v>
      </c>
      <c r="V376" s="13" t="str">
        <f t="shared" si="23"/>
        <v>Thursday</v>
      </c>
    </row>
    <row r="377" spans="1:22" x14ac:dyDescent="0.25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 s="1">
        <v>96.7</v>
      </c>
      <c r="H377">
        <v>5</v>
      </c>
      <c r="I377" s="1">
        <v>24.175000000000001</v>
      </c>
      <c r="J377" s="1">
        <v>507.67500000000001</v>
      </c>
      <c r="K377" s="3" t="s">
        <v>283</v>
      </c>
      <c r="L377" s="2">
        <v>0.53611111111111109</v>
      </c>
      <c r="M377" t="s">
        <v>23</v>
      </c>
      <c r="N377" s="1">
        <v>483.5</v>
      </c>
      <c r="O377" s="1">
        <v>4.7619047620000003</v>
      </c>
      <c r="P377" s="1">
        <v>24.175000000000001</v>
      </c>
      <c r="Q377">
        <v>7</v>
      </c>
      <c r="R377" s="13">
        <v>43479</v>
      </c>
      <c r="S377">
        <f t="shared" si="20"/>
        <v>1</v>
      </c>
      <c r="T377">
        <f t="shared" si="21"/>
        <v>12</v>
      </c>
      <c r="U377">
        <f t="shared" si="22"/>
        <v>14</v>
      </c>
      <c r="V377" s="13" t="str">
        <f t="shared" si="23"/>
        <v>Monday</v>
      </c>
    </row>
    <row r="378" spans="1:22" x14ac:dyDescent="0.25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 s="1">
        <v>35.380000000000003</v>
      </c>
      <c r="H378">
        <v>9</v>
      </c>
      <c r="I378" s="1">
        <v>15.920999999999999</v>
      </c>
      <c r="J378" s="1">
        <v>334.34100000000001</v>
      </c>
      <c r="K378" s="3">
        <v>43586</v>
      </c>
      <c r="L378" s="2">
        <v>0.82638888888888884</v>
      </c>
      <c r="M378" t="s">
        <v>33</v>
      </c>
      <c r="N378" s="1">
        <v>318.42</v>
      </c>
      <c r="O378" s="1">
        <v>4.7619047620000003</v>
      </c>
      <c r="P378" s="1">
        <v>15.920999999999999</v>
      </c>
      <c r="Q378">
        <v>9.6</v>
      </c>
      <c r="R378" s="13">
        <v>43470</v>
      </c>
      <c r="S378">
        <f t="shared" si="20"/>
        <v>1</v>
      </c>
      <c r="T378">
        <f t="shared" si="21"/>
        <v>19</v>
      </c>
      <c r="U378">
        <f t="shared" si="22"/>
        <v>5</v>
      </c>
      <c r="V378" s="13" t="str">
        <f t="shared" si="23"/>
        <v>Saturday</v>
      </c>
    </row>
    <row r="379" spans="1:22" x14ac:dyDescent="0.25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 s="1">
        <v>95.49</v>
      </c>
      <c r="H379">
        <v>7</v>
      </c>
      <c r="I379" s="1">
        <v>33.421500000000002</v>
      </c>
      <c r="J379" s="1">
        <v>701.85149999999999</v>
      </c>
      <c r="K379" s="3" t="s">
        <v>218</v>
      </c>
      <c r="L379" s="2">
        <v>0.76180555555555551</v>
      </c>
      <c r="M379" t="s">
        <v>23</v>
      </c>
      <c r="N379" s="1">
        <v>668.43</v>
      </c>
      <c r="O379" s="1">
        <v>4.7619047620000003</v>
      </c>
      <c r="P379" s="1">
        <v>33.421500000000002</v>
      </c>
      <c r="Q379">
        <v>8.6999999999999993</v>
      </c>
      <c r="R379" s="13">
        <v>43518</v>
      </c>
      <c r="S379">
        <f t="shared" si="20"/>
        <v>2</v>
      </c>
      <c r="T379">
        <f t="shared" si="21"/>
        <v>18</v>
      </c>
      <c r="U379">
        <f t="shared" si="22"/>
        <v>22</v>
      </c>
      <c r="V379" s="13" t="str">
        <f t="shared" si="23"/>
        <v>Friday</v>
      </c>
    </row>
    <row r="380" spans="1:22" x14ac:dyDescent="0.25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 s="1">
        <v>96.98</v>
      </c>
      <c r="H380">
        <v>4</v>
      </c>
      <c r="I380" s="1">
        <v>19.396000000000001</v>
      </c>
      <c r="J380" s="1">
        <v>407.31599999999997</v>
      </c>
      <c r="K380" s="3">
        <v>43618</v>
      </c>
      <c r="L380" s="2">
        <v>0.72222222222222221</v>
      </c>
      <c r="M380" t="s">
        <v>23</v>
      </c>
      <c r="N380" s="1">
        <v>387.92</v>
      </c>
      <c r="O380" s="1">
        <v>4.7619047620000003</v>
      </c>
      <c r="P380" s="1">
        <v>19.396000000000001</v>
      </c>
      <c r="Q380">
        <v>9.4</v>
      </c>
      <c r="R380" s="13">
        <v>43502</v>
      </c>
      <c r="S380">
        <f t="shared" si="20"/>
        <v>2</v>
      </c>
      <c r="T380">
        <f t="shared" si="21"/>
        <v>17</v>
      </c>
      <c r="U380">
        <f t="shared" si="22"/>
        <v>6</v>
      </c>
      <c r="V380" s="13" t="str">
        <f t="shared" si="23"/>
        <v>Wednesday</v>
      </c>
    </row>
    <row r="381" spans="1:22" x14ac:dyDescent="0.25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 s="1">
        <v>23.65</v>
      </c>
      <c r="H381">
        <v>4</v>
      </c>
      <c r="I381" s="1">
        <v>4.7300000000000004</v>
      </c>
      <c r="J381" s="1">
        <v>99.33</v>
      </c>
      <c r="K381" s="3" t="s">
        <v>241</v>
      </c>
      <c r="L381" s="2">
        <v>0.56388888888888888</v>
      </c>
      <c r="M381" t="s">
        <v>33</v>
      </c>
      <c r="N381" s="1">
        <v>94.6</v>
      </c>
      <c r="O381" s="1">
        <v>4.7619047620000003</v>
      </c>
      <c r="P381" s="1">
        <v>4.7300000000000004</v>
      </c>
      <c r="Q381">
        <v>4</v>
      </c>
      <c r="R381" s="13">
        <v>43495</v>
      </c>
      <c r="S381">
        <f t="shared" si="20"/>
        <v>1</v>
      </c>
      <c r="T381">
        <f t="shared" si="21"/>
        <v>13</v>
      </c>
      <c r="U381">
        <f t="shared" si="22"/>
        <v>30</v>
      </c>
      <c r="V381" s="13" t="str">
        <f t="shared" si="23"/>
        <v>Wednesday</v>
      </c>
    </row>
    <row r="382" spans="1:22" x14ac:dyDescent="0.25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 s="1">
        <v>82.33</v>
      </c>
      <c r="H382">
        <v>4</v>
      </c>
      <c r="I382" s="1">
        <v>16.466000000000001</v>
      </c>
      <c r="J382" s="1">
        <v>345.786</v>
      </c>
      <c r="K382" s="3">
        <v>43770</v>
      </c>
      <c r="L382" s="2">
        <v>0.44236111111111109</v>
      </c>
      <c r="M382" t="s">
        <v>33</v>
      </c>
      <c r="N382" s="1">
        <v>329.32</v>
      </c>
      <c r="O382" s="1">
        <v>4.7619047620000003</v>
      </c>
      <c r="P382" s="1">
        <v>16.466000000000001</v>
      </c>
      <c r="Q382">
        <v>7.5</v>
      </c>
      <c r="R382" s="13">
        <v>43476</v>
      </c>
      <c r="S382">
        <f t="shared" si="20"/>
        <v>1</v>
      </c>
      <c r="T382">
        <f t="shared" si="21"/>
        <v>10</v>
      </c>
      <c r="U382">
        <f t="shared" si="22"/>
        <v>11</v>
      </c>
      <c r="V382" s="13" t="str">
        <f t="shared" si="23"/>
        <v>Friday</v>
      </c>
    </row>
    <row r="383" spans="1:22" x14ac:dyDescent="0.25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 s="1">
        <v>26.61</v>
      </c>
      <c r="H383">
        <v>2</v>
      </c>
      <c r="I383" s="1">
        <v>2.661</v>
      </c>
      <c r="J383" s="1">
        <v>55.881</v>
      </c>
      <c r="K383" s="3" t="s">
        <v>103</v>
      </c>
      <c r="L383" s="2">
        <v>0.60763888888888884</v>
      </c>
      <c r="M383" t="s">
        <v>29</v>
      </c>
      <c r="N383" s="1">
        <v>53.22</v>
      </c>
      <c r="O383" s="1">
        <v>4.7619047620000003</v>
      </c>
      <c r="P383" s="1">
        <v>2.661</v>
      </c>
      <c r="Q383">
        <v>4.2</v>
      </c>
      <c r="R383" s="13">
        <v>43543</v>
      </c>
      <c r="S383">
        <f t="shared" si="20"/>
        <v>3</v>
      </c>
      <c r="T383">
        <f t="shared" si="21"/>
        <v>14</v>
      </c>
      <c r="U383">
        <f t="shared" si="22"/>
        <v>19</v>
      </c>
      <c r="V383" s="13" t="str">
        <f t="shared" si="23"/>
        <v>Tuesday</v>
      </c>
    </row>
    <row r="384" spans="1:22" x14ac:dyDescent="0.25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 s="1">
        <v>99.69</v>
      </c>
      <c r="H384">
        <v>5</v>
      </c>
      <c r="I384" s="1">
        <v>24.922499999999999</v>
      </c>
      <c r="J384" s="1">
        <v>523.37249999999995</v>
      </c>
      <c r="K384" s="3" t="s">
        <v>283</v>
      </c>
      <c r="L384" s="2">
        <v>0.50624999999999998</v>
      </c>
      <c r="M384" t="s">
        <v>29</v>
      </c>
      <c r="N384" s="1">
        <v>498.45</v>
      </c>
      <c r="O384" s="1">
        <v>4.7619047620000003</v>
      </c>
      <c r="P384" s="1">
        <v>24.922499999999999</v>
      </c>
      <c r="Q384">
        <v>9.9</v>
      </c>
      <c r="R384" s="13">
        <v>43479</v>
      </c>
      <c r="S384">
        <f t="shared" si="20"/>
        <v>1</v>
      </c>
      <c r="T384">
        <f t="shared" si="21"/>
        <v>12</v>
      </c>
      <c r="U384">
        <f t="shared" si="22"/>
        <v>14</v>
      </c>
      <c r="V384" s="13" t="str">
        <f t="shared" si="23"/>
        <v>Monday</v>
      </c>
    </row>
    <row r="385" spans="1:22" x14ac:dyDescent="0.25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 s="1">
        <v>74.89</v>
      </c>
      <c r="H385">
        <v>4</v>
      </c>
      <c r="I385" s="1">
        <v>14.978</v>
      </c>
      <c r="J385" s="1">
        <v>314.53800000000001</v>
      </c>
      <c r="K385" s="3">
        <v>43468</v>
      </c>
      <c r="L385" s="2">
        <v>0.64722222222222225</v>
      </c>
      <c r="M385" t="s">
        <v>23</v>
      </c>
      <c r="N385" s="1">
        <v>299.56</v>
      </c>
      <c r="O385" s="1">
        <v>4.7619047620000003</v>
      </c>
      <c r="P385" s="1">
        <v>14.978</v>
      </c>
      <c r="Q385">
        <v>4.2</v>
      </c>
      <c r="R385" s="13">
        <v>43525</v>
      </c>
      <c r="S385">
        <f t="shared" si="20"/>
        <v>3</v>
      </c>
      <c r="T385">
        <f t="shared" si="21"/>
        <v>15</v>
      </c>
      <c r="U385">
        <f t="shared" si="22"/>
        <v>1</v>
      </c>
      <c r="V385" s="13" t="str">
        <f t="shared" si="23"/>
        <v>Friday</v>
      </c>
    </row>
    <row r="386" spans="1:22" x14ac:dyDescent="0.25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 s="1">
        <v>40.94</v>
      </c>
      <c r="H386">
        <v>5</v>
      </c>
      <c r="I386" s="1">
        <v>10.234999999999999</v>
      </c>
      <c r="J386" s="1">
        <v>214.935</v>
      </c>
      <c r="K386" s="3">
        <v>43617</v>
      </c>
      <c r="L386" s="2">
        <v>0.58194444444444449</v>
      </c>
      <c r="M386" t="s">
        <v>23</v>
      </c>
      <c r="N386" s="1">
        <v>204.7</v>
      </c>
      <c r="O386" s="1">
        <v>4.7619047620000003</v>
      </c>
      <c r="P386" s="1">
        <v>10.234999999999999</v>
      </c>
      <c r="Q386">
        <v>9.9</v>
      </c>
      <c r="R386" s="13">
        <v>43471</v>
      </c>
      <c r="S386">
        <f t="shared" si="20"/>
        <v>1</v>
      </c>
      <c r="T386">
        <f t="shared" si="21"/>
        <v>13</v>
      </c>
      <c r="U386">
        <f t="shared" si="22"/>
        <v>6</v>
      </c>
      <c r="V386" s="13" t="str">
        <f t="shared" si="23"/>
        <v>Sunday</v>
      </c>
    </row>
    <row r="387" spans="1:22" x14ac:dyDescent="0.25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 s="1">
        <v>75.819999999999993</v>
      </c>
      <c r="H387">
        <v>1</v>
      </c>
      <c r="I387" s="1">
        <v>3.7909999999999999</v>
      </c>
      <c r="J387" s="1">
        <v>79.611000000000004</v>
      </c>
      <c r="K387" s="3" t="s">
        <v>305</v>
      </c>
      <c r="L387" s="2">
        <v>0.55486111111111114</v>
      </c>
      <c r="M387" t="s">
        <v>29</v>
      </c>
      <c r="N387" s="1">
        <v>75.819999999999993</v>
      </c>
      <c r="O387" s="1">
        <v>4.7619047620000003</v>
      </c>
      <c r="P387" s="1">
        <v>3.7909999999999999</v>
      </c>
      <c r="Q387">
        <v>5.8</v>
      </c>
      <c r="R387" s="13">
        <v>43496</v>
      </c>
      <c r="S387">
        <f t="shared" ref="S387:S450" si="24">MONTH(R387)</f>
        <v>1</v>
      </c>
      <c r="T387">
        <f t="shared" ref="T387:T450" si="25">HOUR(L387)</f>
        <v>13</v>
      </c>
      <c r="U387">
        <f t="shared" ref="U387:U450" si="26">DAY(R387)</f>
        <v>31</v>
      </c>
      <c r="V387" s="13" t="str">
        <f t="shared" ref="V387:V450" si="27">TEXT(R387,"DDDD")</f>
        <v>Thursday</v>
      </c>
    </row>
    <row r="388" spans="1:22" x14ac:dyDescent="0.25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 s="1">
        <v>46.77</v>
      </c>
      <c r="H388">
        <v>6</v>
      </c>
      <c r="I388" s="1">
        <v>14.031000000000001</v>
      </c>
      <c r="J388" s="1">
        <v>294.65100000000001</v>
      </c>
      <c r="K388" s="3">
        <v>43772</v>
      </c>
      <c r="L388" s="2">
        <v>0.56736111111111109</v>
      </c>
      <c r="M388" t="s">
        <v>29</v>
      </c>
      <c r="N388" s="1">
        <v>280.62</v>
      </c>
      <c r="O388" s="1">
        <v>4.7619047620000003</v>
      </c>
      <c r="P388" s="1">
        <v>14.031000000000001</v>
      </c>
      <c r="Q388">
        <v>6</v>
      </c>
      <c r="R388" s="13">
        <v>43535</v>
      </c>
      <c r="S388">
        <f t="shared" si="24"/>
        <v>3</v>
      </c>
      <c r="T388">
        <f t="shared" si="25"/>
        <v>13</v>
      </c>
      <c r="U388">
        <f t="shared" si="26"/>
        <v>11</v>
      </c>
      <c r="V388" s="13" t="str">
        <f t="shared" si="27"/>
        <v>Monday</v>
      </c>
    </row>
    <row r="389" spans="1:22" x14ac:dyDescent="0.25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 s="1">
        <v>32.32</v>
      </c>
      <c r="H389">
        <v>10</v>
      </c>
      <c r="I389" s="1">
        <v>16.16</v>
      </c>
      <c r="J389" s="1">
        <v>339.36</v>
      </c>
      <c r="K389" s="3" t="s">
        <v>49</v>
      </c>
      <c r="L389" s="2">
        <v>0.7006944444444444</v>
      </c>
      <c r="M389" t="s">
        <v>33</v>
      </c>
      <c r="N389" s="1">
        <v>323.2</v>
      </c>
      <c r="O389" s="1">
        <v>4.7619047620000003</v>
      </c>
      <c r="P389" s="1">
        <v>16.16</v>
      </c>
      <c r="Q389">
        <v>10</v>
      </c>
      <c r="R389" s="13">
        <v>43516</v>
      </c>
      <c r="S389">
        <f t="shared" si="24"/>
        <v>2</v>
      </c>
      <c r="T389">
        <f t="shared" si="25"/>
        <v>16</v>
      </c>
      <c r="U389">
        <f t="shared" si="26"/>
        <v>20</v>
      </c>
      <c r="V389" s="13" t="str">
        <f t="shared" si="27"/>
        <v>Wednesday</v>
      </c>
    </row>
    <row r="390" spans="1:22" x14ac:dyDescent="0.25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 s="1">
        <v>54.07</v>
      </c>
      <c r="H390">
        <v>9</v>
      </c>
      <c r="I390" s="1">
        <v>24.331499999999998</v>
      </c>
      <c r="J390" s="1">
        <v>510.9615</v>
      </c>
      <c r="K390" s="3" t="s">
        <v>35</v>
      </c>
      <c r="L390" s="2">
        <v>0.62152777777777779</v>
      </c>
      <c r="M390" t="s">
        <v>23</v>
      </c>
      <c r="N390" s="1">
        <v>486.63</v>
      </c>
      <c r="O390" s="1">
        <v>4.7619047620000003</v>
      </c>
      <c r="P390" s="1">
        <v>24.331499999999998</v>
      </c>
      <c r="Q390">
        <v>9.5</v>
      </c>
      <c r="R390" s="13">
        <v>43492</v>
      </c>
      <c r="S390">
        <f t="shared" si="24"/>
        <v>1</v>
      </c>
      <c r="T390">
        <f t="shared" si="25"/>
        <v>14</v>
      </c>
      <c r="U390">
        <f t="shared" si="26"/>
        <v>27</v>
      </c>
      <c r="V390" s="13" t="str">
        <f t="shared" si="27"/>
        <v>Sunday</v>
      </c>
    </row>
    <row r="391" spans="1:22" x14ac:dyDescent="0.25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 s="1">
        <v>18.22</v>
      </c>
      <c r="H391">
        <v>7</v>
      </c>
      <c r="I391" s="1">
        <v>6.3769999999999998</v>
      </c>
      <c r="J391" s="1">
        <v>133.917</v>
      </c>
      <c r="K391" s="3">
        <v>43741</v>
      </c>
      <c r="L391" s="2">
        <v>0.58611111111111114</v>
      </c>
      <c r="M391" t="s">
        <v>33</v>
      </c>
      <c r="N391" s="1">
        <v>127.54</v>
      </c>
      <c r="O391" s="1">
        <v>4.7619047620000003</v>
      </c>
      <c r="P391" s="1">
        <v>6.3769999999999998</v>
      </c>
      <c r="Q391">
        <v>6.6</v>
      </c>
      <c r="R391" s="13">
        <v>43534</v>
      </c>
      <c r="S391">
        <f t="shared" si="24"/>
        <v>3</v>
      </c>
      <c r="T391">
        <f t="shared" si="25"/>
        <v>14</v>
      </c>
      <c r="U391">
        <f t="shared" si="26"/>
        <v>10</v>
      </c>
      <c r="V391" s="13" t="str">
        <f t="shared" si="27"/>
        <v>Sunday</v>
      </c>
    </row>
    <row r="392" spans="1:22" x14ac:dyDescent="0.25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 s="1">
        <v>80.48</v>
      </c>
      <c r="H392">
        <v>3</v>
      </c>
      <c r="I392" s="1">
        <v>12.071999999999999</v>
      </c>
      <c r="J392" s="1">
        <v>253.512</v>
      </c>
      <c r="K392" s="3" t="s">
        <v>118</v>
      </c>
      <c r="L392" s="2">
        <v>0.52152777777777781</v>
      </c>
      <c r="M392" t="s">
        <v>29</v>
      </c>
      <c r="N392" s="1">
        <v>241.44</v>
      </c>
      <c r="O392" s="1">
        <v>4.7619047620000003</v>
      </c>
      <c r="P392" s="1">
        <v>12.071999999999999</v>
      </c>
      <c r="Q392">
        <v>8.1</v>
      </c>
      <c r="R392" s="13">
        <v>43511</v>
      </c>
      <c r="S392">
        <f t="shared" si="24"/>
        <v>2</v>
      </c>
      <c r="T392">
        <f t="shared" si="25"/>
        <v>12</v>
      </c>
      <c r="U392">
        <f t="shared" si="26"/>
        <v>15</v>
      </c>
      <c r="V392" s="13" t="str">
        <f t="shared" si="27"/>
        <v>Friday</v>
      </c>
    </row>
    <row r="393" spans="1:22" x14ac:dyDescent="0.25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 s="1">
        <v>37.950000000000003</v>
      </c>
      <c r="H393">
        <v>10</v>
      </c>
      <c r="I393" s="1">
        <v>18.975000000000001</v>
      </c>
      <c r="J393" s="1">
        <v>398.47500000000002</v>
      </c>
      <c r="K393" s="3" t="s">
        <v>145</v>
      </c>
      <c r="L393" s="2">
        <v>0.61875000000000002</v>
      </c>
      <c r="M393" t="s">
        <v>29</v>
      </c>
      <c r="N393" s="1">
        <v>379.5</v>
      </c>
      <c r="O393" s="1">
        <v>4.7619047620000003</v>
      </c>
      <c r="P393" s="1">
        <v>18.975000000000001</v>
      </c>
      <c r="Q393">
        <v>9.6999999999999993</v>
      </c>
      <c r="R393" s="13">
        <v>43491</v>
      </c>
      <c r="S393">
        <f t="shared" si="24"/>
        <v>1</v>
      </c>
      <c r="T393">
        <f t="shared" si="25"/>
        <v>14</v>
      </c>
      <c r="U393">
        <f t="shared" si="26"/>
        <v>26</v>
      </c>
      <c r="V393" s="13" t="str">
        <f t="shared" si="27"/>
        <v>Saturday</v>
      </c>
    </row>
    <row r="394" spans="1:22" x14ac:dyDescent="0.25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 s="1">
        <v>76.819999999999993</v>
      </c>
      <c r="H394">
        <v>1</v>
      </c>
      <c r="I394" s="1">
        <v>3.8410000000000002</v>
      </c>
      <c r="J394" s="1">
        <v>80.661000000000001</v>
      </c>
      <c r="K394" s="3" t="s">
        <v>257</v>
      </c>
      <c r="L394" s="2">
        <v>0.76875000000000004</v>
      </c>
      <c r="M394" t="s">
        <v>23</v>
      </c>
      <c r="N394" s="1">
        <v>76.819999999999993</v>
      </c>
      <c r="O394" s="1">
        <v>4.7619047620000003</v>
      </c>
      <c r="P394" s="1">
        <v>3.8410000000000002</v>
      </c>
      <c r="Q394">
        <v>7.2</v>
      </c>
      <c r="R394" s="13">
        <v>43509</v>
      </c>
      <c r="S394">
        <f t="shared" si="24"/>
        <v>2</v>
      </c>
      <c r="T394">
        <f t="shared" si="25"/>
        <v>18</v>
      </c>
      <c r="U394">
        <f t="shared" si="26"/>
        <v>13</v>
      </c>
      <c r="V394" s="13" t="str">
        <f t="shared" si="27"/>
        <v>Wednesday</v>
      </c>
    </row>
    <row r="395" spans="1:22" x14ac:dyDescent="0.25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 s="1">
        <v>52.26</v>
      </c>
      <c r="H395">
        <v>10</v>
      </c>
      <c r="I395" s="1">
        <v>26.13</v>
      </c>
      <c r="J395" s="1">
        <v>548.73</v>
      </c>
      <c r="K395" s="3">
        <v>43711</v>
      </c>
      <c r="L395" s="2">
        <v>0.53125</v>
      </c>
      <c r="M395" t="s">
        <v>33</v>
      </c>
      <c r="N395" s="1">
        <v>522.6</v>
      </c>
      <c r="O395" s="1">
        <v>4.7619047620000003</v>
      </c>
      <c r="P395" s="1">
        <v>26.13</v>
      </c>
      <c r="Q395">
        <v>6.2</v>
      </c>
      <c r="R395" s="13">
        <v>43533</v>
      </c>
      <c r="S395">
        <f t="shared" si="24"/>
        <v>3</v>
      </c>
      <c r="T395">
        <f t="shared" si="25"/>
        <v>12</v>
      </c>
      <c r="U395">
        <f t="shared" si="26"/>
        <v>9</v>
      </c>
      <c r="V395" s="13" t="str">
        <f t="shared" si="27"/>
        <v>Saturday</v>
      </c>
    </row>
    <row r="396" spans="1:22" x14ac:dyDescent="0.25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 s="1">
        <v>79.739999999999995</v>
      </c>
      <c r="H396">
        <v>1</v>
      </c>
      <c r="I396" s="1">
        <v>3.9870000000000001</v>
      </c>
      <c r="J396" s="1">
        <v>83.727000000000004</v>
      </c>
      <c r="K396" s="3">
        <v>43619</v>
      </c>
      <c r="L396" s="2">
        <v>0.44166666666666665</v>
      </c>
      <c r="M396" t="s">
        <v>23</v>
      </c>
      <c r="N396" s="1">
        <v>79.739999999999995</v>
      </c>
      <c r="O396" s="1">
        <v>4.7619047620000003</v>
      </c>
      <c r="P396" s="1">
        <v>3.9870000000000001</v>
      </c>
      <c r="Q396">
        <v>7.3</v>
      </c>
      <c r="R396" s="13">
        <v>43530</v>
      </c>
      <c r="S396">
        <f t="shared" si="24"/>
        <v>3</v>
      </c>
      <c r="T396">
        <f t="shared" si="25"/>
        <v>10</v>
      </c>
      <c r="U396">
        <f t="shared" si="26"/>
        <v>6</v>
      </c>
      <c r="V396" s="13" t="str">
        <f t="shared" si="27"/>
        <v>Wednesday</v>
      </c>
    </row>
    <row r="397" spans="1:22" x14ac:dyDescent="0.25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 s="1">
        <v>77.5</v>
      </c>
      <c r="H397">
        <v>5</v>
      </c>
      <c r="I397" s="1">
        <v>19.375</v>
      </c>
      <c r="J397" s="1">
        <v>406.875</v>
      </c>
      <c r="K397" s="3" t="s">
        <v>129</v>
      </c>
      <c r="L397" s="2">
        <v>0.85833333333333328</v>
      </c>
      <c r="M397" t="s">
        <v>23</v>
      </c>
      <c r="N397" s="1">
        <v>387.5</v>
      </c>
      <c r="O397" s="1">
        <v>4.7619047620000003</v>
      </c>
      <c r="P397" s="1">
        <v>19.375</v>
      </c>
      <c r="Q397">
        <v>4.3</v>
      </c>
      <c r="R397" s="13">
        <v>43489</v>
      </c>
      <c r="S397">
        <f t="shared" si="24"/>
        <v>1</v>
      </c>
      <c r="T397">
        <f t="shared" si="25"/>
        <v>20</v>
      </c>
      <c r="U397">
        <f t="shared" si="26"/>
        <v>24</v>
      </c>
      <c r="V397" s="13" t="str">
        <f t="shared" si="27"/>
        <v>Thursday</v>
      </c>
    </row>
    <row r="398" spans="1:22" x14ac:dyDescent="0.25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 s="1">
        <v>54.27</v>
      </c>
      <c r="H398">
        <v>5</v>
      </c>
      <c r="I398" s="1">
        <v>13.567500000000001</v>
      </c>
      <c r="J398" s="1">
        <v>284.91750000000002</v>
      </c>
      <c r="K398" s="3" t="s">
        <v>125</v>
      </c>
      <c r="L398" s="2">
        <v>0.59444444444444444</v>
      </c>
      <c r="M398" t="s">
        <v>23</v>
      </c>
      <c r="N398" s="1">
        <v>271.35000000000002</v>
      </c>
      <c r="O398" s="1">
        <v>4.7619047620000003</v>
      </c>
      <c r="P398" s="1">
        <v>13.567500000000001</v>
      </c>
      <c r="Q398">
        <v>4.5999999999999996</v>
      </c>
      <c r="R398" s="13">
        <v>43537</v>
      </c>
      <c r="S398">
        <f t="shared" si="24"/>
        <v>3</v>
      </c>
      <c r="T398">
        <f t="shared" si="25"/>
        <v>14</v>
      </c>
      <c r="U398">
        <f t="shared" si="26"/>
        <v>13</v>
      </c>
      <c r="V398" s="13" t="str">
        <f t="shared" si="27"/>
        <v>Wednesday</v>
      </c>
    </row>
    <row r="399" spans="1:22" x14ac:dyDescent="0.25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 s="1">
        <v>13.59</v>
      </c>
      <c r="H399">
        <v>9</v>
      </c>
      <c r="I399" s="1">
        <v>6.1154999999999999</v>
      </c>
      <c r="J399" s="1">
        <v>128.4255</v>
      </c>
      <c r="K399" s="3" t="s">
        <v>67</v>
      </c>
      <c r="L399" s="2">
        <v>0.43472222222222223</v>
      </c>
      <c r="M399" t="s">
        <v>29</v>
      </c>
      <c r="N399" s="1">
        <v>122.31</v>
      </c>
      <c r="O399" s="1">
        <v>4.7619047620000003</v>
      </c>
      <c r="P399" s="1">
        <v>6.1154999999999999</v>
      </c>
      <c r="Q399">
        <v>5.8</v>
      </c>
      <c r="R399" s="13">
        <v>43539</v>
      </c>
      <c r="S399">
        <f t="shared" si="24"/>
        <v>3</v>
      </c>
      <c r="T399">
        <f t="shared" si="25"/>
        <v>10</v>
      </c>
      <c r="U399">
        <f t="shared" si="26"/>
        <v>15</v>
      </c>
      <c r="V399" s="13" t="str">
        <f t="shared" si="27"/>
        <v>Friday</v>
      </c>
    </row>
    <row r="400" spans="1:22" x14ac:dyDescent="0.25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 s="1">
        <v>41.06</v>
      </c>
      <c r="H400">
        <v>6</v>
      </c>
      <c r="I400" s="1">
        <v>12.318</v>
      </c>
      <c r="J400" s="1">
        <v>258.678</v>
      </c>
      <c r="K400" s="3">
        <v>43588</v>
      </c>
      <c r="L400" s="2">
        <v>0.5625</v>
      </c>
      <c r="M400" t="s">
        <v>33</v>
      </c>
      <c r="N400" s="1">
        <v>246.36</v>
      </c>
      <c r="O400" s="1">
        <v>4.7619047620000003</v>
      </c>
      <c r="P400" s="1">
        <v>12.318</v>
      </c>
      <c r="Q400">
        <v>8.3000000000000007</v>
      </c>
      <c r="R400" s="13">
        <v>43529</v>
      </c>
      <c r="S400">
        <f t="shared" si="24"/>
        <v>3</v>
      </c>
      <c r="T400">
        <f t="shared" si="25"/>
        <v>13</v>
      </c>
      <c r="U400">
        <f t="shared" si="26"/>
        <v>5</v>
      </c>
      <c r="V400" s="13" t="str">
        <f t="shared" si="27"/>
        <v>Tuesday</v>
      </c>
    </row>
    <row r="401" spans="1:22" x14ac:dyDescent="0.25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 s="1">
        <v>19.239999999999998</v>
      </c>
      <c r="H401">
        <v>9</v>
      </c>
      <c r="I401" s="1">
        <v>8.6579999999999995</v>
      </c>
      <c r="J401" s="1">
        <v>181.81800000000001</v>
      </c>
      <c r="K401" s="3">
        <v>43558</v>
      </c>
      <c r="L401" s="2">
        <v>0.68611111111111112</v>
      </c>
      <c r="M401" t="s">
        <v>29</v>
      </c>
      <c r="N401" s="1">
        <v>173.16</v>
      </c>
      <c r="O401" s="1">
        <v>4.7619047620000003</v>
      </c>
      <c r="P401" s="1">
        <v>8.6579999999999995</v>
      </c>
      <c r="Q401">
        <v>8</v>
      </c>
      <c r="R401" s="13">
        <v>43528</v>
      </c>
      <c r="S401">
        <f t="shared" si="24"/>
        <v>3</v>
      </c>
      <c r="T401">
        <f t="shared" si="25"/>
        <v>16</v>
      </c>
      <c r="U401">
        <f t="shared" si="26"/>
        <v>4</v>
      </c>
      <c r="V401" s="13" t="str">
        <f t="shared" si="27"/>
        <v>Monday</v>
      </c>
    </row>
    <row r="402" spans="1:22" x14ac:dyDescent="0.25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 s="1">
        <v>39.43</v>
      </c>
      <c r="H402">
        <v>6</v>
      </c>
      <c r="I402" s="1">
        <v>11.829000000000001</v>
      </c>
      <c r="J402" s="1">
        <v>248.40899999999999</v>
      </c>
      <c r="K402" s="3" t="s">
        <v>39</v>
      </c>
      <c r="L402" s="2">
        <v>0.84583333333333333</v>
      </c>
      <c r="M402" t="s">
        <v>33</v>
      </c>
      <c r="N402" s="1">
        <v>236.58</v>
      </c>
      <c r="O402" s="1">
        <v>4.7619047620000003</v>
      </c>
      <c r="P402" s="1">
        <v>11.829000000000001</v>
      </c>
      <c r="Q402">
        <v>9.4</v>
      </c>
      <c r="R402" s="13">
        <v>43549</v>
      </c>
      <c r="S402">
        <f t="shared" si="24"/>
        <v>3</v>
      </c>
      <c r="T402">
        <f t="shared" si="25"/>
        <v>20</v>
      </c>
      <c r="U402">
        <f t="shared" si="26"/>
        <v>25</v>
      </c>
      <c r="V402" s="13" t="str">
        <f t="shared" si="27"/>
        <v>Monday</v>
      </c>
    </row>
    <row r="403" spans="1:22" x14ac:dyDescent="0.25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 s="1">
        <v>46.22</v>
      </c>
      <c r="H403">
        <v>4</v>
      </c>
      <c r="I403" s="1">
        <v>9.2439999999999998</v>
      </c>
      <c r="J403" s="1">
        <v>194.124</v>
      </c>
      <c r="K403" s="3">
        <v>43802</v>
      </c>
      <c r="L403" s="2">
        <v>0.83611111111111114</v>
      </c>
      <c r="M403" t="s">
        <v>33</v>
      </c>
      <c r="N403" s="1">
        <v>184.88</v>
      </c>
      <c r="O403" s="1">
        <v>4.7619047620000003</v>
      </c>
      <c r="P403" s="1">
        <v>9.2439999999999998</v>
      </c>
      <c r="Q403">
        <v>6.2</v>
      </c>
      <c r="R403" s="13">
        <v>43536</v>
      </c>
      <c r="S403">
        <f t="shared" si="24"/>
        <v>3</v>
      </c>
      <c r="T403">
        <f t="shared" si="25"/>
        <v>20</v>
      </c>
      <c r="U403">
        <f t="shared" si="26"/>
        <v>12</v>
      </c>
      <c r="V403" s="13" t="str">
        <f t="shared" si="27"/>
        <v>Tuesday</v>
      </c>
    </row>
    <row r="404" spans="1:22" x14ac:dyDescent="0.25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 s="1">
        <v>13.98</v>
      </c>
      <c r="H404">
        <v>1</v>
      </c>
      <c r="I404" s="1">
        <v>0.69899999999999995</v>
      </c>
      <c r="J404" s="1">
        <v>14.679</v>
      </c>
      <c r="K404" s="3">
        <v>43557</v>
      </c>
      <c r="L404" s="2">
        <v>0.56805555555555554</v>
      </c>
      <c r="M404" t="s">
        <v>23</v>
      </c>
      <c r="N404" s="1">
        <v>13.98</v>
      </c>
      <c r="O404" s="1">
        <v>4.7619047620000003</v>
      </c>
      <c r="P404" s="1">
        <v>0.69899999999999995</v>
      </c>
      <c r="Q404">
        <v>9.8000000000000007</v>
      </c>
      <c r="R404" s="13">
        <v>43500</v>
      </c>
      <c r="S404">
        <f t="shared" si="24"/>
        <v>2</v>
      </c>
      <c r="T404">
        <f t="shared" si="25"/>
        <v>13</v>
      </c>
      <c r="U404">
        <f t="shared" si="26"/>
        <v>4</v>
      </c>
      <c r="V404" s="13" t="str">
        <f t="shared" si="27"/>
        <v>Monday</v>
      </c>
    </row>
    <row r="405" spans="1:22" x14ac:dyDescent="0.25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 s="1">
        <v>39.75</v>
      </c>
      <c r="H405">
        <v>5</v>
      </c>
      <c r="I405" s="1">
        <v>9.9375</v>
      </c>
      <c r="J405" s="1">
        <v>208.6875</v>
      </c>
      <c r="K405" s="3" t="s">
        <v>218</v>
      </c>
      <c r="L405" s="2">
        <v>0.4465277777777778</v>
      </c>
      <c r="M405" t="s">
        <v>23</v>
      </c>
      <c r="N405" s="1">
        <v>198.75</v>
      </c>
      <c r="O405" s="1">
        <v>4.7619047620000003</v>
      </c>
      <c r="P405" s="1">
        <v>9.9375</v>
      </c>
      <c r="Q405">
        <v>9.6</v>
      </c>
      <c r="R405" s="13">
        <v>43518</v>
      </c>
      <c r="S405">
        <f t="shared" si="24"/>
        <v>2</v>
      </c>
      <c r="T405">
        <f t="shared" si="25"/>
        <v>10</v>
      </c>
      <c r="U405">
        <f t="shared" si="26"/>
        <v>22</v>
      </c>
      <c r="V405" s="13" t="str">
        <f t="shared" si="27"/>
        <v>Friday</v>
      </c>
    </row>
    <row r="406" spans="1:22" x14ac:dyDescent="0.25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 s="1">
        <v>97.79</v>
      </c>
      <c r="H406">
        <v>7</v>
      </c>
      <c r="I406" s="1">
        <v>34.226500000000001</v>
      </c>
      <c r="J406" s="1">
        <v>718.75649999999996</v>
      </c>
      <c r="K406" s="3" t="s">
        <v>212</v>
      </c>
      <c r="L406" s="2">
        <v>0.72916666666666663</v>
      </c>
      <c r="M406" t="s">
        <v>23</v>
      </c>
      <c r="N406" s="1">
        <v>684.53</v>
      </c>
      <c r="O406" s="1">
        <v>4.7619047620000003</v>
      </c>
      <c r="P406" s="1">
        <v>34.226500000000001</v>
      </c>
      <c r="Q406">
        <v>4.9000000000000004</v>
      </c>
      <c r="R406" s="13">
        <v>43512</v>
      </c>
      <c r="S406">
        <f t="shared" si="24"/>
        <v>2</v>
      </c>
      <c r="T406">
        <f t="shared" si="25"/>
        <v>17</v>
      </c>
      <c r="U406">
        <f t="shared" si="26"/>
        <v>16</v>
      </c>
      <c r="V406" s="13" t="str">
        <f t="shared" si="27"/>
        <v>Saturday</v>
      </c>
    </row>
    <row r="407" spans="1:22" x14ac:dyDescent="0.25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 s="1">
        <v>67.260000000000005</v>
      </c>
      <c r="H407">
        <v>4</v>
      </c>
      <c r="I407" s="1">
        <v>13.452</v>
      </c>
      <c r="J407" s="1">
        <v>282.49200000000002</v>
      </c>
      <c r="K407" s="3" t="s">
        <v>183</v>
      </c>
      <c r="L407" s="2">
        <v>0.64444444444444449</v>
      </c>
      <c r="M407" t="s">
        <v>33</v>
      </c>
      <c r="N407" s="1">
        <v>269.04000000000002</v>
      </c>
      <c r="O407" s="1">
        <v>4.7619047620000003</v>
      </c>
      <c r="P407" s="1">
        <v>13.452</v>
      </c>
      <c r="Q407">
        <v>8</v>
      </c>
      <c r="R407" s="13">
        <v>43484</v>
      </c>
      <c r="S407">
        <f t="shared" si="24"/>
        <v>1</v>
      </c>
      <c r="T407">
        <f t="shared" si="25"/>
        <v>15</v>
      </c>
      <c r="U407">
        <f t="shared" si="26"/>
        <v>19</v>
      </c>
      <c r="V407" s="13" t="str">
        <f t="shared" si="27"/>
        <v>Saturday</v>
      </c>
    </row>
    <row r="408" spans="1:22" x14ac:dyDescent="0.25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 s="1">
        <v>13.79</v>
      </c>
      <c r="H408">
        <v>5</v>
      </c>
      <c r="I408" s="1">
        <v>3.4474999999999998</v>
      </c>
      <c r="J408" s="1">
        <v>72.397499999999994</v>
      </c>
      <c r="K408" s="3">
        <v>43770</v>
      </c>
      <c r="L408" s="2">
        <v>0.79652777777777772</v>
      </c>
      <c r="M408" t="s">
        <v>33</v>
      </c>
      <c r="N408" s="1">
        <v>68.95</v>
      </c>
      <c r="O408" s="1">
        <v>4.7619047620000003</v>
      </c>
      <c r="P408" s="1">
        <v>3.4474999999999998</v>
      </c>
      <c r="Q408">
        <v>7.8</v>
      </c>
      <c r="R408" s="13">
        <v>43476</v>
      </c>
      <c r="S408">
        <f t="shared" si="24"/>
        <v>1</v>
      </c>
      <c r="T408">
        <f t="shared" si="25"/>
        <v>19</v>
      </c>
      <c r="U408">
        <f t="shared" si="26"/>
        <v>11</v>
      </c>
      <c r="V408" s="13" t="str">
        <f t="shared" si="27"/>
        <v>Friday</v>
      </c>
    </row>
    <row r="409" spans="1:22" x14ac:dyDescent="0.25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 s="1">
        <v>68.709999999999994</v>
      </c>
      <c r="H409">
        <v>4</v>
      </c>
      <c r="I409" s="1">
        <v>13.742000000000001</v>
      </c>
      <c r="J409" s="1">
        <v>288.58199999999999</v>
      </c>
      <c r="K409" s="3">
        <v>43556</v>
      </c>
      <c r="L409" s="2">
        <v>0.79236111111111107</v>
      </c>
      <c r="M409" t="s">
        <v>29</v>
      </c>
      <c r="N409" s="1">
        <v>274.83999999999997</v>
      </c>
      <c r="O409" s="1">
        <v>4.7619047620000003</v>
      </c>
      <c r="P409" s="1">
        <v>13.742000000000001</v>
      </c>
      <c r="Q409">
        <v>4.0999999999999996</v>
      </c>
      <c r="R409" s="13">
        <v>43469</v>
      </c>
      <c r="S409">
        <f t="shared" si="24"/>
        <v>1</v>
      </c>
      <c r="T409">
        <f t="shared" si="25"/>
        <v>19</v>
      </c>
      <c r="U409">
        <f t="shared" si="26"/>
        <v>4</v>
      </c>
      <c r="V409" s="13" t="str">
        <f t="shared" si="27"/>
        <v>Friday</v>
      </c>
    </row>
    <row r="410" spans="1:22" x14ac:dyDescent="0.25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 s="1">
        <v>56.53</v>
      </c>
      <c r="H410">
        <v>4</v>
      </c>
      <c r="I410" s="1">
        <v>11.305999999999999</v>
      </c>
      <c r="J410" s="1">
        <v>237.42599999999999</v>
      </c>
      <c r="K410" s="3">
        <v>43558</v>
      </c>
      <c r="L410" s="2">
        <v>0.82499999999999996</v>
      </c>
      <c r="M410" t="s">
        <v>23</v>
      </c>
      <c r="N410" s="1">
        <v>226.12</v>
      </c>
      <c r="O410" s="1">
        <v>4.7619047620000003</v>
      </c>
      <c r="P410" s="1">
        <v>11.305999999999999</v>
      </c>
      <c r="Q410">
        <v>5.5</v>
      </c>
      <c r="R410" s="13">
        <v>43528</v>
      </c>
      <c r="S410">
        <f t="shared" si="24"/>
        <v>3</v>
      </c>
      <c r="T410">
        <f t="shared" si="25"/>
        <v>19</v>
      </c>
      <c r="U410">
        <f t="shared" si="26"/>
        <v>4</v>
      </c>
      <c r="V410" s="13" t="str">
        <f t="shared" si="27"/>
        <v>Monday</v>
      </c>
    </row>
    <row r="411" spans="1:22" x14ac:dyDescent="0.25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 s="1">
        <v>23.82</v>
      </c>
      <c r="H411">
        <v>5</v>
      </c>
      <c r="I411" s="1">
        <v>5.9550000000000001</v>
      </c>
      <c r="J411" s="1">
        <v>125.05500000000001</v>
      </c>
      <c r="K411" s="3" t="s">
        <v>80</v>
      </c>
      <c r="L411" s="2">
        <v>0.80833333333333335</v>
      </c>
      <c r="M411" t="s">
        <v>23</v>
      </c>
      <c r="N411" s="1">
        <v>119.1</v>
      </c>
      <c r="O411" s="1">
        <v>4.7619047620000003</v>
      </c>
      <c r="P411" s="1">
        <v>5.9550000000000001</v>
      </c>
      <c r="Q411">
        <v>5.4</v>
      </c>
      <c r="R411" s="13">
        <v>43493</v>
      </c>
      <c r="S411">
        <f t="shared" si="24"/>
        <v>1</v>
      </c>
      <c r="T411">
        <f t="shared" si="25"/>
        <v>19</v>
      </c>
      <c r="U411">
        <f t="shared" si="26"/>
        <v>28</v>
      </c>
      <c r="V411" s="13" t="str">
        <f t="shared" si="27"/>
        <v>Monday</v>
      </c>
    </row>
    <row r="412" spans="1:22" x14ac:dyDescent="0.25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 s="1">
        <v>34.21</v>
      </c>
      <c r="H412">
        <v>10</v>
      </c>
      <c r="I412" s="1">
        <v>17.105</v>
      </c>
      <c r="J412" s="1">
        <v>359.20499999999998</v>
      </c>
      <c r="K412" s="3">
        <v>43497</v>
      </c>
      <c r="L412" s="2">
        <v>0.54166666666666663</v>
      </c>
      <c r="M412" t="s">
        <v>29</v>
      </c>
      <c r="N412" s="1">
        <v>342.1</v>
      </c>
      <c r="O412" s="1">
        <v>4.7619047620000003</v>
      </c>
      <c r="P412" s="1">
        <v>17.105</v>
      </c>
      <c r="Q412">
        <v>5.0999999999999996</v>
      </c>
      <c r="R412" s="13">
        <v>43467</v>
      </c>
      <c r="S412">
        <f t="shared" si="24"/>
        <v>1</v>
      </c>
      <c r="T412">
        <f t="shared" si="25"/>
        <v>13</v>
      </c>
      <c r="U412">
        <f t="shared" si="26"/>
        <v>2</v>
      </c>
      <c r="V412" s="13" t="str">
        <f t="shared" si="27"/>
        <v>Wednesday</v>
      </c>
    </row>
    <row r="413" spans="1:22" x14ac:dyDescent="0.25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 s="1">
        <v>21.87</v>
      </c>
      <c r="H413">
        <v>2</v>
      </c>
      <c r="I413" s="1">
        <v>2.1869999999999998</v>
      </c>
      <c r="J413" s="1">
        <v>45.927</v>
      </c>
      <c r="K413" s="3" t="s">
        <v>76</v>
      </c>
      <c r="L413" s="2">
        <v>0.60347222222222219</v>
      </c>
      <c r="M413" t="s">
        <v>23</v>
      </c>
      <c r="N413" s="1">
        <v>43.74</v>
      </c>
      <c r="O413" s="1">
        <v>4.7619047620000003</v>
      </c>
      <c r="P413" s="1">
        <v>2.1869999999999998</v>
      </c>
      <c r="Q413">
        <v>6.9</v>
      </c>
      <c r="R413" s="13">
        <v>43490</v>
      </c>
      <c r="S413">
        <f t="shared" si="24"/>
        <v>1</v>
      </c>
      <c r="T413">
        <f t="shared" si="25"/>
        <v>14</v>
      </c>
      <c r="U413">
        <f t="shared" si="26"/>
        <v>25</v>
      </c>
      <c r="V413" s="13" t="str">
        <f t="shared" si="27"/>
        <v>Friday</v>
      </c>
    </row>
    <row r="414" spans="1:22" x14ac:dyDescent="0.25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 s="1">
        <v>20.97</v>
      </c>
      <c r="H414">
        <v>5</v>
      </c>
      <c r="I414" s="1">
        <v>5.2424999999999997</v>
      </c>
      <c r="J414" s="1">
        <v>110.0925</v>
      </c>
      <c r="K414" s="3">
        <v>43556</v>
      </c>
      <c r="L414" s="2">
        <v>0.55625000000000002</v>
      </c>
      <c r="M414" t="s">
        <v>29</v>
      </c>
      <c r="N414" s="1">
        <v>104.85</v>
      </c>
      <c r="O414" s="1">
        <v>4.7619047620000003</v>
      </c>
      <c r="P414" s="1">
        <v>5.2424999999999997</v>
      </c>
      <c r="Q414">
        <v>7.8</v>
      </c>
      <c r="R414" s="13">
        <v>43469</v>
      </c>
      <c r="S414">
        <f t="shared" si="24"/>
        <v>1</v>
      </c>
      <c r="T414">
        <f t="shared" si="25"/>
        <v>13</v>
      </c>
      <c r="U414">
        <f t="shared" si="26"/>
        <v>4</v>
      </c>
      <c r="V414" s="13" t="str">
        <f t="shared" si="27"/>
        <v>Friday</v>
      </c>
    </row>
    <row r="415" spans="1:22" x14ac:dyDescent="0.25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 s="1">
        <v>25.84</v>
      </c>
      <c r="H415">
        <v>3</v>
      </c>
      <c r="I415" s="1">
        <v>3.8759999999999999</v>
      </c>
      <c r="J415" s="1">
        <v>81.396000000000001</v>
      </c>
      <c r="K415" s="3">
        <v>43741</v>
      </c>
      <c r="L415" s="2">
        <v>0.78819444444444442</v>
      </c>
      <c r="M415" t="s">
        <v>23</v>
      </c>
      <c r="N415" s="1">
        <v>77.52</v>
      </c>
      <c r="O415" s="1">
        <v>4.7619047620000003</v>
      </c>
      <c r="P415" s="1">
        <v>3.8759999999999999</v>
      </c>
      <c r="Q415">
        <v>6.6</v>
      </c>
      <c r="R415" s="13">
        <v>43534</v>
      </c>
      <c r="S415">
        <f t="shared" si="24"/>
        <v>3</v>
      </c>
      <c r="T415">
        <f t="shared" si="25"/>
        <v>18</v>
      </c>
      <c r="U415">
        <f t="shared" si="26"/>
        <v>10</v>
      </c>
      <c r="V415" s="13" t="str">
        <f t="shared" si="27"/>
        <v>Sunday</v>
      </c>
    </row>
    <row r="416" spans="1:22" x14ac:dyDescent="0.25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 s="1">
        <v>50.93</v>
      </c>
      <c r="H416">
        <v>8</v>
      </c>
      <c r="I416" s="1">
        <v>20.372</v>
      </c>
      <c r="J416" s="1">
        <v>427.81200000000001</v>
      </c>
      <c r="K416" s="3" t="s">
        <v>72</v>
      </c>
      <c r="L416" s="2">
        <v>0.81666666666666665</v>
      </c>
      <c r="M416" t="s">
        <v>23</v>
      </c>
      <c r="N416" s="1">
        <v>407.44</v>
      </c>
      <c r="O416" s="1">
        <v>4.7619047620000003</v>
      </c>
      <c r="P416" s="1">
        <v>20.372</v>
      </c>
      <c r="Q416">
        <v>9.1999999999999993</v>
      </c>
      <c r="R416" s="13">
        <v>43546</v>
      </c>
      <c r="S416">
        <f t="shared" si="24"/>
        <v>3</v>
      </c>
      <c r="T416">
        <f t="shared" si="25"/>
        <v>19</v>
      </c>
      <c r="U416">
        <f t="shared" si="26"/>
        <v>22</v>
      </c>
      <c r="V416" s="13" t="str">
        <f t="shared" si="27"/>
        <v>Friday</v>
      </c>
    </row>
    <row r="417" spans="1:22" x14ac:dyDescent="0.25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 s="1">
        <v>96.11</v>
      </c>
      <c r="H417">
        <v>1</v>
      </c>
      <c r="I417" s="1">
        <v>4.8055000000000003</v>
      </c>
      <c r="J417" s="1">
        <v>100.91549999999999</v>
      </c>
      <c r="K417" s="3" t="s">
        <v>76</v>
      </c>
      <c r="L417" s="2">
        <v>0.68611111111111112</v>
      </c>
      <c r="M417" t="s">
        <v>23</v>
      </c>
      <c r="N417" s="1">
        <v>96.11</v>
      </c>
      <c r="O417" s="1">
        <v>4.7619047620000003</v>
      </c>
      <c r="P417" s="1">
        <v>4.8055000000000003</v>
      </c>
      <c r="Q417">
        <v>7.8</v>
      </c>
      <c r="R417" s="13">
        <v>43490</v>
      </c>
      <c r="S417">
        <f t="shared" si="24"/>
        <v>1</v>
      </c>
      <c r="T417">
        <f t="shared" si="25"/>
        <v>16</v>
      </c>
      <c r="U417">
        <f t="shared" si="26"/>
        <v>25</v>
      </c>
      <c r="V417" s="13" t="str">
        <f t="shared" si="27"/>
        <v>Friday</v>
      </c>
    </row>
    <row r="418" spans="1:22" x14ac:dyDescent="0.25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 s="1">
        <v>45.38</v>
      </c>
      <c r="H418">
        <v>4</v>
      </c>
      <c r="I418" s="1">
        <v>9.0760000000000005</v>
      </c>
      <c r="J418" s="1">
        <v>190.596</v>
      </c>
      <c r="K418" s="3">
        <v>43678</v>
      </c>
      <c r="L418" s="2">
        <v>0.57499999999999996</v>
      </c>
      <c r="M418" t="s">
        <v>33</v>
      </c>
      <c r="N418" s="1">
        <v>181.52</v>
      </c>
      <c r="O418" s="1">
        <v>4.7619047620000003</v>
      </c>
      <c r="P418" s="1">
        <v>9.0760000000000005</v>
      </c>
      <c r="Q418">
        <v>8.6999999999999993</v>
      </c>
      <c r="R418" s="13">
        <v>43473</v>
      </c>
      <c r="S418">
        <f t="shared" si="24"/>
        <v>1</v>
      </c>
      <c r="T418">
        <f t="shared" si="25"/>
        <v>13</v>
      </c>
      <c r="U418">
        <f t="shared" si="26"/>
        <v>8</v>
      </c>
      <c r="V418" s="13" t="str">
        <f t="shared" si="27"/>
        <v>Tuesday</v>
      </c>
    </row>
    <row r="419" spans="1:22" x14ac:dyDescent="0.25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 s="1">
        <v>81.510000000000005</v>
      </c>
      <c r="H419">
        <v>1</v>
      </c>
      <c r="I419" s="1">
        <v>4.0754999999999999</v>
      </c>
      <c r="J419" s="1">
        <v>85.585499999999996</v>
      </c>
      <c r="K419" s="3" t="s">
        <v>136</v>
      </c>
      <c r="L419" s="2">
        <v>0.45624999999999999</v>
      </c>
      <c r="M419" t="s">
        <v>23</v>
      </c>
      <c r="N419" s="1">
        <v>81.510000000000005</v>
      </c>
      <c r="O419" s="1">
        <v>4.7619047620000003</v>
      </c>
      <c r="P419" s="1">
        <v>4.0754999999999999</v>
      </c>
      <c r="Q419">
        <v>9.1999999999999993</v>
      </c>
      <c r="R419" s="13">
        <v>43487</v>
      </c>
      <c r="S419">
        <f t="shared" si="24"/>
        <v>1</v>
      </c>
      <c r="T419">
        <f t="shared" si="25"/>
        <v>10</v>
      </c>
      <c r="U419">
        <f t="shared" si="26"/>
        <v>22</v>
      </c>
      <c r="V419" s="13" t="str">
        <f t="shared" si="27"/>
        <v>Tuesday</v>
      </c>
    </row>
    <row r="420" spans="1:22" x14ac:dyDescent="0.25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 s="1">
        <v>57.22</v>
      </c>
      <c r="H420">
        <v>2</v>
      </c>
      <c r="I420" s="1">
        <v>5.7220000000000004</v>
      </c>
      <c r="J420" s="1">
        <v>120.16200000000001</v>
      </c>
      <c r="K420" s="3">
        <v>43800</v>
      </c>
      <c r="L420" s="2">
        <v>0.71736111111111112</v>
      </c>
      <c r="M420" t="s">
        <v>23</v>
      </c>
      <c r="N420" s="1">
        <v>114.44</v>
      </c>
      <c r="O420" s="1">
        <v>4.7619047620000003</v>
      </c>
      <c r="P420" s="1">
        <v>5.7220000000000004</v>
      </c>
      <c r="Q420">
        <v>8.3000000000000007</v>
      </c>
      <c r="R420" s="13">
        <v>43477</v>
      </c>
      <c r="S420">
        <f t="shared" si="24"/>
        <v>1</v>
      </c>
      <c r="T420">
        <f t="shared" si="25"/>
        <v>17</v>
      </c>
      <c r="U420">
        <f t="shared" si="26"/>
        <v>12</v>
      </c>
      <c r="V420" s="13" t="str">
        <f t="shared" si="27"/>
        <v>Saturday</v>
      </c>
    </row>
    <row r="421" spans="1:22" x14ac:dyDescent="0.25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 s="1">
        <v>25.22</v>
      </c>
      <c r="H421">
        <v>7</v>
      </c>
      <c r="I421" s="1">
        <v>8.827</v>
      </c>
      <c r="J421" s="1">
        <v>185.36699999999999</v>
      </c>
      <c r="K421" s="3">
        <v>43557</v>
      </c>
      <c r="L421" s="2">
        <v>0.43263888888888891</v>
      </c>
      <c r="M421" t="s">
        <v>29</v>
      </c>
      <c r="N421" s="1">
        <v>176.54</v>
      </c>
      <c r="O421" s="1">
        <v>4.7619047620000003</v>
      </c>
      <c r="P421" s="1">
        <v>8.827</v>
      </c>
      <c r="Q421">
        <v>8.1999999999999993</v>
      </c>
      <c r="R421" s="13">
        <v>43500</v>
      </c>
      <c r="S421">
        <f t="shared" si="24"/>
        <v>2</v>
      </c>
      <c r="T421">
        <f t="shared" si="25"/>
        <v>10</v>
      </c>
      <c r="U421">
        <f t="shared" si="26"/>
        <v>4</v>
      </c>
      <c r="V421" s="13" t="str">
        <f t="shared" si="27"/>
        <v>Monday</v>
      </c>
    </row>
    <row r="422" spans="1:22" x14ac:dyDescent="0.25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 s="1">
        <v>38.6</v>
      </c>
      <c r="H422">
        <v>3</v>
      </c>
      <c r="I422" s="1">
        <v>5.79</v>
      </c>
      <c r="J422" s="1">
        <v>121.59</v>
      </c>
      <c r="K422" s="3" t="s">
        <v>171</v>
      </c>
      <c r="L422" s="2">
        <v>0.58125000000000004</v>
      </c>
      <c r="M422" t="s">
        <v>23</v>
      </c>
      <c r="N422" s="1">
        <v>115.8</v>
      </c>
      <c r="O422" s="1">
        <v>4.7619047620000003</v>
      </c>
      <c r="P422" s="1">
        <v>5.79</v>
      </c>
      <c r="Q422">
        <v>7.5</v>
      </c>
      <c r="R422" s="13">
        <v>43552</v>
      </c>
      <c r="S422">
        <f t="shared" si="24"/>
        <v>3</v>
      </c>
      <c r="T422">
        <f t="shared" si="25"/>
        <v>13</v>
      </c>
      <c r="U422">
        <f t="shared" si="26"/>
        <v>28</v>
      </c>
      <c r="V422" s="13" t="str">
        <f t="shared" si="27"/>
        <v>Thursday</v>
      </c>
    </row>
    <row r="423" spans="1:22" x14ac:dyDescent="0.25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 s="1">
        <v>84.05</v>
      </c>
      <c r="H423">
        <v>3</v>
      </c>
      <c r="I423" s="1">
        <v>12.6075</v>
      </c>
      <c r="J423" s="1">
        <v>264.75749999999999</v>
      </c>
      <c r="K423" s="3" t="s">
        <v>147</v>
      </c>
      <c r="L423" s="2">
        <v>0.56180555555555556</v>
      </c>
      <c r="M423" t="s">
        <v>29</v>
      </c>
      <c r="N423" s="1">
        <v>252.15</v>
      </c>
      <c r="O423" s="1">
        <v>4.7619047620000003</v>
      </c>
      <c r="P423" s="1">
        <v>12.6075</v>
      </c>
      <c r="Q423">
        <v>9.8000000000000007</v>
      </c>
      <c r="R423" s="13">
        <v>43488</v>
      </c>
      <c r="S423">
        <f t="shared" si="24"/>
        <v>1</v>
      </c>
      <c r="T423">
        <f t="shared" si="25"/>
        <v>13</v>
      </c>
      <c r="U423">
        <f t="shared" si="26"/>
        <v>23</v>
      </c>
      <c r="V423" s="13" t="str">
        <f t="shared" si="27"/>
        <v>Wednesday</v>
      </c>
    </row>
    <row r="424" spans="1:22" x14ac:dyDescent="0.25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 s="1">
        <v>97.21</v>
      </c>
      <c r="H424">
        <v>10</v>
      </c>
      <c r="I424" s="1">
        <v>48.604999999999997</v>
      </c>
      <c r="J424" s="1">
        <v>1020.705</v>
      </c>
      <c r="K424" s="3">
        <v>43679</v>
      </c>
      <c r="L424" s="2">
        <v>0.54166666666666663</v>
      </c>
      <c r="M424" t="s">
        <v>33</v>
      </c>
      <c r="N424" s="1">
        <v>972.1</v>
      </c>
      <c r="O424" s="1">
        <v>4.7619047620000003</v>
      </c>
      <c r="P424" s="1">
        <v>48.604999999999997</v>
      </c>
      <c r="Q424">
        <v>8.6999999999999993</v>
      </c>
      <c r="R424" s="13">
        <v>43504</v>
      </c>
      <c r="S424">
        <f t="shared" si="24"/>
        <v>2</v>
      </c>
      <c r="T424">
        <f t="shared" si="25"/>
        <v>13</v>
      </c>
      <c r="U424">
        <f t="shared" si="26"/>
        <v>8</v>
      </c>
      <c r="V424" s="13" t="str">
        <f t="shared" si="27"/>
        <v>Friday</v>
      </c>
    </row>
    <row r="425" spans="1:22" x14ac:dyDescent="0.25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 s="1">
        <v>25.42</v>
      </c>
      <c r="H425">
        <v>8</v>
      </c>
      <c r="I425" s="1">
        <v>10.167999999999999</v>
      </c>
      <c r="J425" s="1">
        <v>213.52799999999999</v>
      </c>
      <c r="K425" s="3" t="s">
        <v>103</v>
      </c>
      <c r="L425" s="2">
        <v>0.8208333333333333</v>
      </c>
      <c r="M425" t="s">
        <v>33</v>
      </c>
      <c r="N425" s="1">
        <v>203.36</v>
      </c>
      <c r="O425" s="1">
        <v>4.7619047620000003</v>
      </c>
      <c r="P425" s="1">
        <v>10.167999999999999</v>
      </c>
      <c r="Q425">
        <v>6.7</v>
      </c>
      <c r="R425" s="13">
        <v>43543</v>
      </c>
      <c r="S425">
        <f t="shared" si="24"/>
        <v>3</v>
      </c>
      <c r="T425">
        <f t="shared" si="25"/>
        <v>19</v>
      </c>
      <c r="U425">
        <f t="shared" si="26"/>
        <v>19</v>
      </c>
      <c r="V425" s="13" t="str">
        <f t="shared" si="27"/>
        <v>Tuesday</v>
      </c>
    </row>
    <row r="426" spans="1:22" x14ac:dyDescent="0.25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 s="1">
        <v>16.28</v>
      </c>
      <c r="H426">
        <v>1</v>
      </c>
      <c r="I426" s="1">
        <v>0.81399999999999995</v>
      </c>
      <c r="J426" s="1">
        <v>17.094000000000001</v>
      </c>
      <c r="K426" s="3">
        <v>43711</v>
      </c>
      <c r="L426" s="2">
        <v>0.65</v>
      </c>
      <c r="M426" t="s">
        <v>29</v>
      </c>
      <c r="N426" s="1">
        <v>16.28</v>
      </c>
      <c r="O426" s="1">
        <v>4.7619047620000003</v>
      </c>
      <c r="P426" s="1">
        <v>0.81399999999999995</v>
      </c>
      <c r="Q426">
        <v>5</v>
      </c>
      <c r="R426" s="13">
        <v>43533</v>
      </c>
      <c r="S426">
        <f t="shared" si="24"/>
        <v>3</v>
      </c>
      <c r="T426">
        <f t="shared" si="25"/>
        <v>15</v>
      </c>
      <c r="U426">
        <f t="shared" si="26"/>
        <v>9</v>
      </c>
      <c r="V426" s="13" t="str">
        <f t="shared" si="27"/>
        <v>Saturday</v>
      </c>
    </row>
    <row r="427" spans="1:22" x14ac:dyDescent="0.25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 s="1">
        <v>40.61</v>
      </c>
      <c r="H427">
        <v>9</v>
      </c>
      <c r="I427" s="1">
        <v>18.2745</v>
      </c>
      <c r="J427" s="1">
        <v>383.7645</v>
      </c>
      <c r="K427" s="3">
        <v>43497</v>
      </c>
      <c r="L427" s="2">
        <v>0.56944444444444442</v>
      </c>
      <c r="M427" t="s">
        <v>29</v>
      </c>
      <c r="N427" s="1">
        <v>365.49</v>
      </c>
      <c r="O427" s="1">
        <v>4.7619047620000003</v>
      </c>
      <c r="P427" s="1">
        <v>18.2745</v>
      </c>
      <c r="Q427">
        <v>7</v>
      </c>
      <c r="R427" s="13">
        <v>43467</v>
      </c>
      <c r="S427">
        <f t="shared" si="24"/>
        <v>1</v>
      </c>
      <c r="T427">
        <f t="shared" si="25"/>
        <v>13</v>
      </c>
      <c r="U427">
        <f t="shared" si="26"/>
        <v>2</v>
      </c>
      <c r="V427" s="13" t="str">
        <f t="shared" si="27"/>
        <v>Wednesday</v>
      </c>
    </row>
    <row r="428" spans="1:22" x14ac:dyDescent="0.25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 s="1">
        <v>53.17</v>
      </c>
      <c r="H428">
        <v>7</v>
      </c>
      <c r="I428" s="1">
        <v>18.609500000000001</v>
      </c>
      <c r="J428" s="1">
        <v>390.79950000000002</v>
      </c>
      <c r="K428" s="3" t="s">
        <v>62</v>
      </c>
      <c r="L428" s="2">
        <v>0.75069444444444444</v>
      </c>
      <c r="M428" t="s">
        <v>29</v>
      </c>
      <c r="N428" s="1">
        <v>372.19</v>
      </c>
      <c r="O428" s="1">
        <v>4.7619047620000003</v>
      </c>
      <c r="P428" s="1">
        <v>18.609500000000001</v>
      </c>
      <c r="Q428">
        <v>8.9</v>
      </c>
      <c r="R428" s="13">
        <v>43486</v>
      </c>
      <c r="S428">
        <f t="shared" si="24"/>
        <v>1</v>
      </c>
      <c r="T428">
        <f t="shared" si="25"/>
        <v>18</v>
      </c>
      <c r="U428">
        <f t="shared" si="26"/>
        <v>21</v>
      </c>
      <c r="V428" s="13" t="str">
        <f t="shared" si="27"/>
        <v>Monday</v>
      </c>
    </row>
    <row r="429" spans="1:22" x14ac:dyDescent="0.25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 s="1">
        <v>20.87</v>
      </c>
      <c r="H429">
        <v>3</v>
      </c>
      <c r="I429" s="1">
        <v>3.1305000000000001</v>
      </c>
      <c r="J429" s="1">
        <v>65.740499999999997</v>
      </c>
      <c r="K429" s="3" t="s">
        <v>295</v>
      </c>
      <c r="L429" s="2">
        <v>0.57847222222222228</v>
      </c>
      <c r="M429" t="s">
        <v>33</v>
      </c>
      <c r="N429" s="1">
        <v>62.61</v>
      </c>
      <c r="O429" s="1">
        <v>4.7619047620000003</v>
      </c>
      <c r="P429" s="1">
        <v>3.1305000000000001</v>
      </c>
      <c r="Q429">
        <v>8</v>
      </c>
      <c r="R429" s="13">
        <v>43544</v>
      </c>
      <c r="S429">
        <f t="shared" si="24"/>
        <v>3</v>
      </c>
      <c r="T429">
        <f t="shared" si="25"/>
        <v>13</v>
      </c>
      <c r="U429">
        <f t="shared" si="26"/>
        <v>20</v>
      </c>
      <c r="V429" s="13" t="str">
        <f t="shared" si="27"/>
        <v>Wednesday</v>
      </c>
    </row>
    <row r="430" spans="1:22" x14ac:dyDescent="0.25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 s="1">
        <v>67.27</v>
      </c>
      <c r="H430">
        <v>5</v>
      </c>
      <c r="I430" s="1">
        <v>16.817499999999999</v>
      </c>
      <c r="J430" s="1">
        <v>353.16750000000002</v>
      </c>
      <c r="K430" s="3" t="s">
        <v>99</v>
      </c>
      <c r="L430" s="2">
        <v>0.7270833333333333</v>
      </c>
      <c r="M430" t="s">
        <v>29</v>
      </c>
      <c r="N430" s="1">
        <v>336.35</v>
      </c>
      <c r="O430" s="1">
        <v>4.7619047620000003</v>
      </c>
      <c r="P430" s="1">
        <v>16.817499999999999</v>
      </c>
      <c r="Q430">
        <v>6.9</v>
      </c>
      <c r="R430" s="13">
        <v>43523</v>
      </c>
      <c r="S430">
        <f t="shared" si="24"/>
        <v>2</v>
      </c>
      <c r="T430">
        <f t="shared" si="25"/>
        <v>17</v>
      </c>
      <c r="U430">
        <f t="shared" si="26"/>
        <v>27</v>
      </c>
      <c r="V430" s="13" t="str">
        <f t="shared" si="27"/>
        <v>Wednesday</v>
      </c>
    </row>
    <row r="431" spans="1:22" x14ac:dyDescent="0.25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 s="1">
        <v>90.65</v>
      </c>
      <c r="H431">
        <v>10</v>
      </c>
      <c r="I431" s="1">
        <v>45.325000000000003</v>
      </c>
      <c r="J431" s="1">
        <v>951.82500000000005</v>
      </c>
      <c r="K431" s="3">
        <v>43680</v>
      </c>
      <c r="L431" s="2">
        <v>0.45347222222222222</v>
      </c>
      <c r="M431" t="s">
        <v>23</v>
      </c>
      <c r="N431" s="1">
        <v>906.5</v>
      </c>
      <c r="O431" s="1">
        <v>4.7619047620000003</v>
      </c>
      <c r="P431" s="1">
        <v>45.325000000000003</v>
      </c>
      <c r="Q431">
        <v>7.3</v>
      </c>
      <c r="R431" s="13">
        <v>43532</v>
      </c>
      <c r="S431">
        <f t="shared" si="24"/>
        <v>3</v>
      </c>
      <c r="T431">
        <f t="shared" si="25"/>
        <v>10</v>
      </c>
      <c r="U431">
        <f t="shared" si="26"/>
        <v>8</v>
      </c>
      <c r="V431" s="13" t="str">
        <f t="shared" si="27"/>
        <v>Friday</v>
      </c>
    </row>
    <row r="432" spans="1:22" x14ac:dyDescent="0.25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 s="1">
        <v>69.08</v>
      </c>
      <c r="H432">
        <v>2</v>
      </c>
      <c r="I432" s="1">
        <v>6.9080000000000004</v>
      </c>
      <c r="J432" s="1">
        <v>145.06800000000001</v>
      </c>
      <c r="K432" s="3" t="s">
        <v>305</v>
      </c>
      <c r="L432" s="2">
        <v>0.82499999999999996</v>
      </c>
      <c r="M432" t="s">
        <v>33</v>
      </c>
      <c r="N432" s="1">
        <v>138.16</v>
      </c>
      <c r="O432" s="1">
        <v>4.7619047620000003</v>
      </c>
      <c r="P432" s="1">
        <v>6.9080000000000004</v>
      </c>
      <c r="Q432">
        <v>6.9</v>
      </c>
      <c r="R432" s="13">
        <v>43496</v>
      </c>
      <c r="S432">
        <f t="shared" si="24"/>
        <v>1</v>
      </c>
      <c r="T432">
        <f t="shared" si="25"/>
        <v>19</v>
      </c>
      <c r="U432">
        <f t="shared" si="26"/>
        <v>31</v>
      </c>
      <c r="V432" s="13" t="str">
        <f t="shared" si="27"/>
        <v>Thursday</v>
      </c>
    </row>
    <row r="433" spans="1:22" x14ac:dyDescent="0.25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 s="1">
        <v>43.27</v>
      </c>
      <c r="H433">
        <v>2</v>
      </c>
      <c r="I433" s="1">
        <v>4.327</v>
      </c>
      <c r="J433" s="1">
        <v>90.867000000000004</v>
      </c>
      <c r="K433" s="3">
        <v>43680</v>
      </c>
      <c r="L433" s="2">
        <v>0.70347222222222228</v>
      </c>
      <c r="M433" t="s">
        <v>23</v>
      </c>
      <c r="N433" s="1">
        <v>86.54</v>
      </c>
      <c r="O433" s="1">
        <v>4.7619047620000003</v>
      </c>
      <c r="P433" s="1">
        <v>4.327</v>
      </c>
      <c r="Q433">
        <v>5.7</v>
      </c>
      <c r="R433" s="13">
        <v>43532</v>
      </c>
      <c r="S433">
        <f t="shared" si="24"/>
        <v>3</v>
      </c>
      <c r="T433">
        <f t="shared" si="25"/>
        <v>16</v>
      </c>
      <c r="U433">
        <f t="shared" si="26"/>
        <v>8</v>
      </c>
      <c r="V433" s="13" t="str">
        <f t="shared" si="27"/>
        <v>Friday</v>
      </c>
    </row>
    <row r="434" spans="1:22" x14ac:dyDescent="0.25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 s="1">
        <v>23.46</v>
      </c>
      <c r="H434">
        <v>6</v>
      </c>
      <c r="I434" s="1">
        <v>7.0380000000000003</v>
      </c>
      <c r="J434" s="1">
        <v>147.798</v>
      </c>
      <c r="K434" s="3" t="s">
        <v>138</v>
      </c>
      <c r="L434" s="2">
        <v>0.80138888888888893</v>
      </c>
      <c r="M434" t="s">
        <v>23</v>
      </c>
      <c r="N434" s="1">
        <v>140.76</v>
      </c>
      <c r="O434" s="1">
        <v>4.7619047620000003</v>
      </c>
      <c r="P434" s="1">
        <v>7.0380000000000003</v>
      </c>
      <c r="Q434">
        <v>6.4</v>
      </c>
      <c r="R434" s="13">
        <v>43478</v>
      </c>
      <c r="S434">
        <f t="shared" si="24"/>
        <v>1</v>
      </c>
      <c r="T434">
        <f t="shared" si="25"/>
        <v>19</v>
      </c>
      <c r="U434">
        <f t="shared" si="26"/>
        <v>13</v>
      </c>
      <c r="V434" s="13" t="str">
        <f t="shared" si="27"/>
        <v>Sunday</v>
      </c>
    </row>
    <row r="435" spans="1:22" x14ac:dyDescent="0.25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 s="1">
        <v>95.54</v>
      </c>
      <c r="H435">
        <v>7</v>
      </c>
      <c r="I435" s="1">
        <v>33.439</v>
      </c>
      <c r="J435" s="1">
        <v>702.21900000000005</v>
      </c>
      <c r="K435" s="3">
        <v>43711</v>
      </c>
      <c r="L435" s="2">
        <v>0.60833333333333328</v>
      </c>
      <c r="M435" t="s">
        <v>33</v>
      </c>
      <c r="N435" s="1">
        <v>668.78</v>
      </c>
      <c r="O435" s="1">
        <v>4.7619047620000003</v>
      </c>
      <c r="P435" s="1">
        <v>33.439</v>
      </c>
      <c r="Q435">
        <v>9.6</v>
      </c>
      <c r="R435" s="13">
        <v>43533</v>
      </c>
      <c r="S435">
        <f t="shared" si="24"/>
        <v>3</v>
      </c>
      <c r="T435">
        <f t="shared" si="25"/>
        <v>14</v>
      </c>
      <c r="U435">
        <f t="shared" si="26"/>
        <v>9</v>
      </c>
      <c r="V435" s="13" t="str">
        <f t="shared" si="27"/>
        <v>Saturday</v>
      </c>
    </row>
    <row r="436" spans="1:22" x14ac:dyDescent="0.25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 s="1">
        <v>47.44</v>
      </c>
      <c r="H436">
        <v>1</v>
      </c>
      <c r="I436" s="1">
        <v>2.3719999999999999</v>
      </c>
      <c r="J436" s="1">
        <v>49.811999999999998</v>
      </c>
      <c r="K436" s="3" t="s">
        <v>218</v>
      </c>
      <c r="L436" s="2">
        <v>0.7631944444444444</v>
      </c>
      <c r="M436" t="s">
        <v>33</v>
      </c>
      <c r="N436" s="1">
        <v>47.44</v>
      </c>
      <c r="O436" s="1">
        <v>4.7619047620000003</v>
      </c>
      <c r="P436" s="1">
        <v>2.3719999999999999</v>
      </c>
      <c r="Q436">
        <v>6.8</v>
      </c>
      <c r="R436" s="13">
        <v>43518</v>
      </c>
      <c r="S436">
        <f t="shared" si="24"/>
        <v>2</v>
      </c>
      <c r="T436">
        <f t="shared" si="25"/>
        <v>18</v>
      </c>
      <c r="U436">
        <f t="shared" si="26"/>
        <v>22</v>
      </c>
      <c r="V436" s="13" t="str">
        <f t="shared" si="27"/>
        <v>Friday</v>
      </c>
    </row>
    <row r="437" spans="1:22" x14ac:dyDescent="0.25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 s="1">
        <v>99.24</v>
      </c>
      <c r="H437">
        <v>9</v>
      </c>
      <c r="I437" s="1">
        <v>44.658000000000001</v>
      </c>
      <c r="J437" s="1">
        <v>937.81799999999998</v>
      </c>
      <c r="K437" s="3" t="s">
        <v>103</v>
      </c>
      <c r="L437" s="2">
        <v>0.79791666666666672</v>
      </c>
      <c r="M437" t="s">
        <v>23</v>
      </c>
      <c r="N437" s="1">
        <v>893.16</v>
      </c>
      <c r="O437" s="1">
        <v>4.7619047620000003</v>
      </c>
      <c r="P437" s="1">
        <v>44.658000000000001</v>
      </c>
      <c r="Q437">
        <v>9</v>
      </c>
      <c r="R437" s="13">
        <v>43543</v>
      </c>
      <c r="S437">
        <f t="shared" si="24"/>
        <v>3</v>
      </c>
      <c r="T437">
        <f t="shared" si="25"/>
        <v>19</v>
      </c>
      <c r="U437">
        <f t="shared" si="26"/>
        <v>19</v>
      </c>
      <c r="V437" s="13" t="str">
        <f t="shared" si="27"/>
        <v>Tuesday</v>
      </c>
    </row>
    <row r="438" spans="1:22" x14ac:dyDescent="0.25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 s="1">
        <v>82.93</v>
      </c>
      <c r="H438">
        <v>4</v>
      </c>
      <c r="I438" s="1">
        <v>16.585999999999999</v>
      </c>
      <c r="J438" s="1">
        <v>348.30599999999998</v>
      </c>
      <c r="K438" s="3" t="s">
        <v>115</v>
      </c>
      <c r="L438" s="2">
        <v>0.70208333333333328</v>
      </c>
      <c r="M438" t="s">
        <v>23</v>
      </c>
      <c r="N438" s="1">
        <v>331.72</v>
      </c>
      <c r="O438" s="1">
        <v>4.7619047620000003</v>
      </c>
      <c r="P438" s="1">
        <v>16.585999999999999</v>
      </c>
      <c r="Q438">
        <v>9.6</v>
      </c>
      <c r="R438" s="13">
        <v>43485</v>
      </c>
      <c r="S438">
        <f t="shared" si="24"/>
        <v>1</v>
      </c>
      <c r="T438">
        <f t="shared" si="25"/>
        <v>16</v>
      </c>
      <c r="U438">
        <f t="shared" si="26"/>
        <v>20</v>
      </c>
      <c r="V438" s="13" t="str">
        <f t="shared" si="27"/>
        <v>Sunday</v>
      </c>
    </row>
    <row r="439" spans="1:22" x14ac:dyDescent="0.25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 s="1">
        <v>33.99</v>
      </c>
      <c r="H439">
        <v>6</v>
      </c>
      <c r="I439" s="1">
        <v>10.196999999999999</v>
      </c>
      <c r="J439" s="1">
        <v>214.137</v>
      </c>
      <c r="K439" s="3">
        <v>43680</v>
      </c>
      <c r="L439" s="2">
        <v>0.65069444444444446</v>
      </c>
      <c r="M439" t="s">
        <v>33</v>
      </c>
      <c r="N439" s="1">
        <v>203.94</v>
      </c>
      <c r="O439" s="1">
        <v>4.7619047620000003</v>
      </c>
      <c r="P439" s="1">
        <v>10.196999999999999</v>
      </c>
      <c r="Q439">
        <v>7.7</v>
      </c>
      <c r="R439" s="13">
        <v>43532</v>
      </c>
      <c r="S439">
        <f t="shared" si="24"/>
        <v>3</v>
      </c>
      <c r="T439">
        <f t="shared" si="25"/>
        <v>15</v>
      </c>
      <c r="U439">
        <f t="shared" si="26"/>
        <v>8</v>
      </c>
      <c r="V439" s="13" t="str">
        <f t="shared" si="27"/>
        <v>Friday</v>
      </c>
    </row>
    <row r="440" spans="1:22" x14ac:dyDescent="0.25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 s="1">
        <v>17.04</v>
      </c>
      <c r="H440">
        <v>4</v>
      </c>
      <c r="I440" s="1">
        <v>3.4079999999999999</v>
      </c>
      <c r="J440" s="1">
        <v>71.567999999999998</v>
      </c>
      <c r="K440" s="3">
        <v>43680</v>
      </c>
      <c r="L440" s="2">
        <v>0.84375</v>
      </c>
      <c r="M440" t="s">
        <v>23</v>
      </c>
      <c r="N440" s="1">
        <v>68.16</v>
      </c>
      <c r="O440" s="1">
        <v>4.7619047620000003</v>
      </c>
      <c r="P440" s="1">
        <v>3.4079999999999999</v>
      </c>
      <c r="Q440">
        <v>7</v>
      </c>
      <c r="R440" s="13">
        <v>43532</v>
      </c>
      <c r="S440">
        <f t="shared" si="24"/>
        <v>3</v>
      </c>
      <c r="T440">
        <f t="shared" si="25"/>
        <v>20</v>
      </c>
      <c r="U440">
        <f t="shared" si="26"/>
        <v>8</v>
      </c>
      <c r="V440" s="13" t="str">
        <f t="shared" si="27"/>
        <v>Friday</v>
      </c>
    </row>
    <row r="441" spans="1:22" x14ac:dyDescent="0.25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 s="1">
        <v>40.86</v>
      </c>
      <c r="H441">
        <v>8</v>
      </c>
      <c r="I441" s="1">
        <v>16.344000000000001</v>
      </c>
      <c r="J441" s="1">
        <v>343.22399999999999</v>
      </c>
      <c r="K441" s="3">
        <v>43648</v>
      </c>
      <c r="L441" s="2">
        <v>0.60972222222222228</v>
      </c>
      <c r="M441" t="s">
        <v>33</v>
      </c>
      <c r="N441" s="1">
        <v>326.88</v>
      </c>
      <c r="O441" s="1">
        <v>4.7619047620000003</v>
      </c>
      <c r="P441" s="1">
        <v>16.344000000000001</v>
      </c>
      <c r="Q441">
        <v>6.5</v>
      </c>
      <c r="R441" s="13">
        <v>43503</v>
      </c>
      <c r="S441">
        <f t="shared" si="24"/>
        <v>2</v>
      </c>
      <c r="T441">
        <f t="shared" si="25"/>
        <v>14</v>
      </c>
      <c r="U441">
        <f t="shared" si="26"/>
        <v>7</v>
      </c>
      <c r="V441" s="13" t="str">
        <f t="shared" si="27"/>
        <v>Thursday</v>
      </c>
    </row>
    <row r="442" spans="1:22" x14ac:dyDescent="0.25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 s="1">
        <v>17.440000000000001</v>
      </c>
      <c r="H442">
        <v>5</v>
      </c>
      <c r="I442" s="1">
        <v>4.3600000000000003</v>
      </c>
      <c r="J442" s="1">
        <v>91.56</v>
      </c>
      <c r="K442" s="3" t="s">
        <v>58</v>
      </c>
      <c r="L442" s="2">
        <v>0.80902777777777779</v>
      </c>
      <c r="M442" t="s">
        <v>29</v>
      </c>
      <c r="N442" s="1">
        <v>87.2</v>
      </c>
      <c r="O442" s="1">
        <v>4.7619047620000003</v>
      </c>
      <c r="P442" s="1">
        <v>4.3600000000000003</v>
      </c>
      <c r="Q442">
        <v>8.1</v>
      </c>
      <c r="R442" s="13">
        <v>43480</v>
      </c>
      <c r="S442">
        <f t="shared" si="24"/>
        <v>1</v>
      </c>
      <c r="T442">
        <f t="shared" si="25"/>
        <v>19</v>
      </c>
      <c r="U442">
        <f t="shared" si="26"/>
        <v>15</v>
      </c>
      <c r="V442" s="13" t="str">
        <f t="shared" si="27"/>
        <v>Tuesday</v>
      </c>
    </row>
    <row r="443" spans="1:22" x14ac:dyDescent="0.25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 s="1">
        <v>88.43</v>
      </c>
      <c r="H443">
        <v>8</v>
      </c>
      <c r="I443" s="1">
        <v>35.372</v>
      </c>
      <c r="J443" s="1">
        <v>742.81200000000001</v>
      </c>
      <c r="K443" s="3" t="s">
        <v>72</v>
      </c>
      <c r="L443" s="2">
        <v>0.81597222222222221</v>
      </c>
      <c r="M443" t="s">
        <v>33</v>
      </c>
      <c r="N443" s="1">
        <v>707.44</v>
      </c>
      <c r="O443" s="1">
        <v>4.7619047620000003</v>
      </c>
      <c r="P443" s="1">
        <v>35.372</v>
      </c>
      <c r="Q443">
        <v>4.3</v>
      </c>
      <c r="R443" s="13">
        <v>43546</v>
      </c>
      <c r="S443">
        <f t="shared" si="24"/>
        <v>3</v>
      </c>
      <c r="T443">
        <f t="shared" si="25"/>
        <v>19</v>
      </c>
      <c r="U443">
        <f t="shared" si="26"/>
        <v>22</v>
      </c>
      <c r="V443" s="13" t="str">
        <f t="shared" si="27"/>
        <v>Friday</v>
      </c>
    </row>
    <row r="444" spans="1:22" x14ac:dyDescent="0.25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 s="1">
        <v>89.21</v>
      </c>
      <c r="H444">
        <v>9</v>
      </c>
      <c r="I444" s="1">
        <v>40.144500000000001</v>
      </c>
      <c r="J444" s="1">
        <v>843.03449999999998</v>
      </c>
      <c r="K444" s="3" t="s">
        <v>58</v>
      </c>
      <c r="L444" s="2">
        <v>0.65416666666666667</v>
      </c>
      <c r="M444" t="s">
        <v>33</v>
      </c>
      <c r="N444" s="1">
        <v>802.89</v>
      </c>
      <c r="O444" s="1">
        <v>4.7619047620000003</v>
      </c>
      <c r="P444" s="1">
        <v>40.144500000000001</v>
      </c>
      <c r="Q444">
        <v>6.5</v>
      </c>
      <c r="R444" s="13">
        <v>43480</v>
      </c>
      <c r="S444">
        <f t="shared" si="24"/>
        <v>1</v>
      </c>
      <c r="T444">
        <f t="shared" si="25"/>
        <v>15</v>
      </c>
      <c r="U444">
        <f t="shared" si="26"/>
        <v>15</v>
      </c>
      <c r="V444" s="13" t="str">
        <f t="shared" si="27"/>
        <v>Tuesday</v>
      </c>
    </row>
    <row r="445" spans="1:22" x14ac:dyDescent="0.25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 s="1">
        <v>12.78</v>
      </c>
      <c r="H445">
        <v>1</v>
      </c>
      <c r="I445" s="1">
        <v>0.63900000000000001</v>
      </c>
      <c r="J445" s="1">
        <v>13.419</v>
      </c>
      <c r="K445" s="3">
        <v>43678</v>
      </c>
      <c r="L445" s="2">
        <v>0.59097222222222223</v>
      </c>
      <c r="M445" t="s">
        <v>23</v>
      </c>
      <c r="N445" s="1">
        <v>12.78</v>
      </c>
      <c r="O445" s="1">
        <v>4.7619047620000003</v>
      </c>
      <c r="P445" s="1">
        <v>0.63900000000000001</v>
      </c>
      <c r="Q445">
        <v>9.5</v>
      </c>
      <c r="R445" s="13">
        <v>43473</v>
      </c>
      <c r="S445">
        <f t="shared" si="24"/>
        <v>1</v>
      </c>
      <c r="T445">
        <f t="shared" si="25"/>
        <v>14</v>
      </c>
      <c r="U445">
        <f t="shared" si="26"/>
        <v>8</v>
      </c>
      <c r="V445" s="13" t="str">
        <f t="shared" si="27"/>
        <v>Tuesday</v>
      </c>
    </row>
    <row r="446" spans="1:22" x14ac:dyDescent="0.25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 s="1">
        <v>19.100000000000001</v>
      </c>
      <c r="H446">
        <v>7</v>
      </c>
      <c r="I446" s="1">
        <v>6.6849999999999996</v>
      </c>
      <c r="J446" s="1">
        <v>140.38499999999999</v>
      </c>
      <c r="K446" s="3" t="s">
        <v>58</v>
      </c>
      <c r="L446" s="2">
        <v>0.4465277777777778</v>
      </c>
      <c r="M446" t="s">
        <v>29</v>
      </c>
      <c r="N446" s="1">
        <v>133.69999999999999</v>
      </c>
      <c r="O446" s="1">
        <v>4.7619047620000003</v>
      </c>
      <c r="P446" s="1">
        <v>6.6849999999999996</v>
      </c>
      <c r="Q446">
        <v>9.6999999999999993</v>
      </c>
      <c r="R446" s="13">
        <v>43480</v>
      </c>
      <c r="S446">
        <f t="shared" si="24"/>
        <v>1</v>
      </c>
      <c r="T446">
        <f t="shared" si="25"/>
        <v>10</v>
      </c>
      <c r="U446">
        <f t="shared" si="26"/>
        <v>15</v>
      </c>
      <c r="V446" s="13" t="str">
        <f t="shared" si="27"/>
        <v>Tuesday</v>
      </c>
    </row>
    <row r="447" spans="1:22" x14ac:dyDescent="0.25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 s="1">
        <v>19.149999999999999</v>
      </c>
      <c r="H447">
        <v>1</v>
      </c>
      <c r="I447" s="1">
        <v>0.95750000000000002</v>
      </c>
      <c r="J447" s="1">
        <v>20.107500000000002</v>
      </c>
      <c r="K447" s="3" t="s">
        <v>80</v>
      </c>
      <c r="L447" s="2">
        <v>0.74861111111111112</v>
      </c>
      <c r="M447" t="s">
        <v>33</v>
      </c>
      <c r="N447" s="1">
        <v>19.149999999999999</v>
      </c>
      <c r="O447" s="1">
        <v>4.7619047620000003</v>
      </c>
      <c r="P447" s="1">
        <v>0.95750000000000002</v>
      </c>
      <c r="Q447">
        <v>9.5</v>
      </c>
      <c r="R447" s="13">
        <v>43493</v>
      </c>
      <c r="S447">
        <f t="shared" si="24"/>
        <v>1</v>
      </c>
      <c r="T447">
        <f t="shared" si="25"/>
        <v>17</v>
      </c>
      <c r="U447">
        <f t="shared" si="26"/>
        <v>28</v>
      </c>
      <c r="V447" s="13" t="str">
        <f t="shared" si="27"/>
        <v>Monday</v>
      </c>
    </row>
    <row r="448" spans="1:22" x14ac:dyDescent="0.25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 s="1">
        <v>27.66</v>
      </c>
      <c r="H448">
        <v>10</v>
      </c>
      <c r="I448" s="1">
        <v>13.83</v>
      </c>
      <c r="J448" s="1">
        <v>290.43</v>
      </c>
      <c r="K448" s="3" t="s">
        <v>123</v>
      </c>
      <c r="L448" s="2">
        <v>0.47638888888888886</v>
      </c>
      <c r="M448" t="s">
        <v>33</v>
      </c>
      <c r="N448" s="1">
        <v>276.60000000000002</v>
      </c>
      <c r="O448" s="1">
        <v>4.7619047620000003</v>
      </c>
      <c r="P448" s="1">
        <v>13.83</v>
      </c>
      <c r="Q448">
        <v>8.9</v>
      </c>
      <c r="R448" s="13">
        <v>43510</v>
      </c>
      <c r="S448">
        <f t="shared" si="24"/>
        <v>2</v>
      </c>
      <c r="T448">
        <f t="shared" si="25"/>
        <v>11</v>
      </c>
      <c r="U448">
        <f t="shared" si="26"/>
        <v>14</v>
      </c>
      <c r="V448" s="13" t="str">
        <f t="shared" si="27"/>
        <v>Thursday</v>
      </c>
    </row>
    <row r="449" spans="1:22" x14ac:dyDescent="0.25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 s="1">
        <v>45.74</v>
      </c>
      <c r="H449">
        <v>3</v>
      </c>
      <c r="I449" s="1">
        <v>6.8609999999999998</v>
      </c>
      <c r="J449" s="1">
        <v>144.08099999999999</v>
      </c>
      <c r="K449" s="3">
        <v>43741</v>
      </c>
      <c r="L449" s="2">
        <v>0.73472222222222228</v>
      </c>
      <c r="M449" t="s">
        <v>33</v>
      </c>
      <c r="N449" s="1">
        <v>137.22</v>
      </c>
      <c r="O449" s="1">
        <v>4.7619047620000003</v>
      </c>
      <c r="P449" s="1">
        <v>6.8609999999999998</v>
      </c>
      <c r="Q449">
        <v>6.5</v>
      </c>
      <c r="R449" s="13">
        <v>43534</v>
      </c>
      <c r="S449">
        <f t="shared" si="24"/>
        <v>3</v>
      </c>
      <c r="T449">
        <f t="shared" si="25"/>
        <v>17</v>
      </c>
      <c r="U449">
        <f t="shared" si="26"/>
        <v>10</v>
      </c>
      <c r="V449" s="13" t="str">
        <f t="shared" si="27"/>
        <v>Sunday</v>
      </c>
    </row>
    <row r="450" spans="1:22" x14ac:dyDescent="0.25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 s="1">
        <v>27.07</v>
      </c>
      <c r="H450">
        <v>1</v>
      </c>
      <c r="I450" s="1">
        <v>1.3534999999999999</v>
      </c>
      <c r="J450" s="1">
        <v>28.423500000000001</v>
      </c>
      <c r="K450" s="3">
        <v>43800</v>
      </c>
      <c r="L450" s="2">
        <v>0.83819444444444446</v>
      </c>
      <c r="M450" t="s">
        <v>33</v>
      </c>
      <c r="N450" s="1">
        <v>27.07</v>
      </c>
      <c r="O450" s="1">
        <v>4.7619047620000003</v>
      </c>
      <c r="P450" s="1">
        <v>1.3534999999999999</v>
      </c>
      <c r="Q450">
        <v>5.3</v>
      </c>
      <c r="R450" s="13">
        <v>43477</v>
      </c>
      <c r="S450">
        <f t="shared" si="24"/>
        <v>1</v>
      </c>
      <c r="T450">
        <f t="shared" si="25"/>
        <v>20</v>
      </c>
      <c r="U450">
        <f t="shared" si="26"/>
        <v>12</v>
      </c>
      <c r="V450" s="13" t="str">
        <f t="shared" si="27"/>
        <v>Saturday</v>
      </c>
    </row>
    <row r="451" spans="1:22" x14ac:dyDescent="0.25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 s="1">
        <v>39.119999999999997</v>
      </c>
      <c r="H451">
        <v>1</v>
      </c>
      <c r="I451" s="1">
        <v>1.956</v>
      </c>
      <c r="J451" s="1">
        <v>41.076000000000001</v>
      </c>
      <c r="K451" s="3" t="s">
        <v>167</v>
      </c>
      <c r="L451" s="2">
        <v>0.4597222222222222</v>
      </c>
      <c r="M451" t="s">
        <v>33</v>
      </c>
      <c r="N451" s="1">
        <v>39.119999999999997</v>
      </c>
      <c r="O451" s="1">
        <v>4.7619047620000003</v>
      </c>
      <c r="P451" s="1">
        <v>1.956</v>
      </c>
      <c r="Q451">
        <v>9.6</v>
      </c>
      <c r="R451" s="13">
        <v>43550</v>
      </c>
      <c r="S451">
        <f t="shared" ref="S451:S514" si="28">MONTH(R451)</f>
        <v>3</v>
      </c>
      <c r="T451">
        <f t="shared" ref="T451:T514" si="29">HOUR(L451)</f>
        <v>11</v>
      </c>
      <c r="U451">
        <f t="shared" ref="U451:U514" si="30">DAY(R451)</f>
        <v>26</v>
      </c>
      <c r="V451" s="13" t="str">
        <f t="shared" ref="V451:V514" si="31">TEXT(R451,"DDDD")</f>
        <v>Tuesday</v>
      </c>
    </row>
    <row r="452" spans="1:22" x14ac:dyDescent="0.25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 s="1">
        <v>74.709999999999994</v>
      </c>
      <c r="H452">
        <v>6</v>
      </c>
      <c r="I452" s="1">
        <v>22.413</v>
      </c>
      <c r="J452" s="1">
        <v>470.673</v>
      </c>
      <c r="K452" s="3">
        <v>43466</v>
      </c>
      <c r="L452" s="2">
        <v>0.79652777777777772</v>
      </c>
      <c r="M452" t="s">
        <v>29</v>
      </c>
      <c r="N452" s="1">
        <v>448.26</v>
      </c>
      <c r="O452" s="1">
        <v>4.7619047620000003</v>
      </c>
      <c r="P452" s="1">
        <v>22.413</v>
      </c>
      <c r="Q452">
        <v>6.7</v>
      </c>
      <c r="R452" s="13">
        <v>43466</v>
      </c>
      <c r="S452">
        <f t="shared" si="28"/>
        <v>1</v>
      </c>
      <c r="T452">
        <f t="shared" si="29"/>
        <v>19</v>
      </c>
      <c r="U452">
        <f t="shared" si="30"/>
        <v>1</v>
      </c>
      <c r="V452" s="13" t="str">
        <f t="shared" si="31"/>
        <v>Tuesday</v>
      </c>
    </row>
    <row r="453" spans="1:22" x14ac:dyDescent="0.25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 s="1">
        <v>22.01</v>
      </c>
      <c r="H453">
        <v>6</v>
      </c>
      <c r="I453" s="1">
        <v>6.6029999999999998</v>
      </c>
      <c r="J453" s="1">
        <v>138.66300000000001</v>
      </c>
      <c r="K453" s="3">
        <v>43497</v>
      </c>
      <c r="L453" s="2">
        <v>0.78472222222222221</v>
      </c>
      <c r="M453" t="s">
        <v>29</v>
      </c>
      <c r="N453" s="1">
        <v>132.06</v>
      </c>
      <c r="O453" s="1">
        <v>4.7619047620000003</v>
      </c>
      <c r="P453" s="1">
        <v>6.6029999999999998</v>
      </c>
      <c r="Q453">
        <v>7.6</v>
      </c>
      <c r="R453" s="13">
        <v>43467</v>
      </c>
      <c r="S453">
        <f t="shared" si="28"/>
        <v>1</v>
      </c>
      <c r="T453">
        <f t="shared" si="29"/>
        <v>18</v>
      </c>
      <c r="U453">
        <f t="shared" si="30"/>
        <v>2</v>
      </c>
      <c r="V453" s="13" t="str">
        <f t="shared" si="31"/>
        <v>Wednesday</v>
      </c>
    </row>
    <row r="454" spans="1:22" x14ac:dyDescent="0.25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 s="1">
        <v>63.61</v>
      </c>
      <c r="H454">
        <v>5</v>
      </c>
      <c r="I454" s="1">
        <v>15.9025</v>
      </c>
      <c r="J454" s="1">
        <v>333.95249999999999</v>
      </c>
      <c r="K454" s="3" t="s">
        <v>96</v>
      </c>
      <c r="L454" s="2">
        <v>0.52986111111111112</v>
      </c>
      <c r="M454" t="s">
        <v>23</v>
      </c>
      <c r="N454" s="1">
        <v>318.05</v>
      </c>
      <c r="O454" s="1">
        <v>4.7619047620000003</v>
      </c>
      <c r="P454" s="1">
        <v>15.9025</v>
      </c>
      <c r="Q454">
        <v>4.8</v>
      </c>
      <c r="R454" s="13">
        <v>43540</v>
      </c>
      <c r="S454">
        <f t="shared" si="28"/>
        <v>3</v>
      </c>
      <c r="T454">
        <f t="shared" si="29"/>
        <v>12</v>
      </c>
      <c r="U454">
        <f t="shared" si="30"/>
        <v>16</v>
      </c>
      <c r="V454" s="13" t="str">
        <f t="shared" si="31"/>
        <v>Saturday</v>
      </c>
    </row>
    <row r="455" spans="1:22" x14ac:dyDescent="0.25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 s="1">
        <v>25</v>
      </c>
      <c r="H455">
        <v>1</v>
      </c>
      <c r="I455" s="1">
        <v>1.25</v>
      </c>
      <c r="J455" s="1">
        <v>26.25</v>
      </c>
      <c r="K455" s="3">
        <v>43527</v>
      </c>
      <c r="L455" s="2">
        <v>0.63124999999999998</v>
      </c>
      <c r="M455" t="s">
        <v>23</v>
      </c>
      <c r="N455" s="1">
        <v>25</v>
      </c>
      <c r="O455" s="1">
        <v>4.7619047620000003</v>
      </c>
      <c r="P455" s="1">
        <v>1.25</v>
      </c>
      <c r="Q455">
        <v>5.5</v>
      </c>
      <c r="R455" s="13">
        <v>43527</v>
      </c>
      <c r="S455">
        <f t="shared" si="28"/>
        <v>3</v>
      </c>
      <c r="T455">
        <f t="shared" si="29"/>
        <v>15</v>
      </c>
      <c r="U455">
        <f t="shared" si="30"/>
        <v>3</v>
      </c>
      <c r="V455" s="13" t="str">
        <f t="shared" si="31"/>
        <v>Sunday</v>
      </c>
    </row>
    <row r="456" spans="1:22" x14ac:dyDescent="0.25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 s="1">
        <v>20.77</v>
      </c>
      <c r="H456">
        <v>4</v>
      </c>
      <c r="I456" s="1">
        <v>4.1539999999999999</v>
      </c>
      <c r="J456" s="1">
        <v>87.233999999999995</v>
      </c>
      <c r="K456" s="3" t="s">
        <v>305</v>
      </c>
      <c r="L456" s="2">
        <v>0.57430555555555551</v>
      </c>
      <c r="M456" t="s">
        <v>29</v>
      </c>
      <c r="N456" s="1">
        <v>83.08</v>
      </c>
      <c r="O456" s="1">
        <v>4.7619047620000003</v>
      </c>
      <c r="P456" s="1">
        <v>4.1539999999999999</v>
      </c>
      <c r="Q456">
        <v>4.7</v>
      </c>
      <c r="R456" s="13">
        <v>43496</v>
      </c>
      <c r="S456">
        <f t="shared" si="28"/>
        <v>1</v>
      </c>
      <c r="T456">
        <f t="shared" si="29"/>
        <v>13</v>
      </c>
      <c r="U456">
        <f t="shared" si="30"/>
        <v>31</v>
      </c>
      <c r="V456" s="13" t="str">
        <f t="shared" si="31"/>
        <v>Thursday</v>
      </c>
    </row>
    <row r="457" spans="1:22" x14ac:dyDescent="0.25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 s="1">
        <v>29.56</v>
      </c>
      <c r="H457">
        <v>5</v>
      </c>
      <c r="I457" s="1">
        <v>7.39</v>
      </c>
      <c r="J457" s="1">
        <v>155.19</v>
      </c>
      <c r="K457" s="3" t="s">
        <v>257</v>
      </c>
      <c r="L457" s="2">
        <v>0.70763888888888893</v>
      </c>
      <c r="M457" t="s">
        <v>29</v>
      </c>
      <c r="N457" s="1">
        <v>147.80000000000001</v>
      </c>
      <c r="O457" s="1">
        <v>4.7619047620000003</v>
      </c>
      <c r="P457" s="1">
        <v>7.39</v>
      </c>
      <c r="Q457">
        <v>6.9</v>
      </c>
      <c r="R457" s="13">
        <v>43509</v>
      </c>
      <c r="S457">
        <f t="shared" si="28"/>
        <v>2</v>
      </c>
      <c r="T457">
        <f t="shared" si="29"/>
        <v>16</v>
      </c>
      <c r="U457">
        <f t="shared" si="30"/>
        <v>13</v>
      </c>
      <c r="V457" s="13" t="str">
        <f t="shared" si="31"/>
        <v>Wednesday</v>
      </c>
    </row>
    <row r="458" spans="1:22" x14ac:dyDescent="0.25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 s="1">
        <v>77.400000000000006</v>
      </c>
      <c r="H458">
        <v>9</v>
      </c>
      <c r="I458" s="1">
        <v>34.83</v>
      </c>
      <c r="J458" s="1">
        <v>731.43</v>
      </c>
      <c r="K458" s="3" t="s">
        <v>118</v>
      </c>
      <c r="L458" s="2">
        <v>0.59375</v>
      </c>
      <c r="M458" t="s">
        <v>33</v>
      </c>
      <c r="N458" s="1">
        <v>696.6</v>
      </c>
      <c r="O458" s="1">
        <v>4.7619047620000003</v>
      </c>
      <c r="P458" s="1">
        <v>34.83</v>
      </c>
      <c r="Q458">
        <v>4.5</v>
      </c>
      <c r="R458" s="13">
        <v>43511</v>
      </c>
      <c r="S458">
        <f t="shared" si="28"/>
        <v>2</v>
      </c>
      <c r="T458">
        <f t="shared" si="29"/>
        <v>14</v>
      </c>
      <c r="U458">
        <f t="shared" si="30"/>
        <v>15</v>
      </c>
      <c r="V458" s="13" t="str">
        <f t="shared" si="31"/>
        <v>Friday</v>
      </c>
    </row>
    <row r="459" spans="1:22" x14ac:dyDescent="0.25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 s="1">
        <v>79.39</v>
      </c>
      <c r="H459">
        <v>10</v>
      </c>
      <c r="I459" s="1">
        <v>39.695</v>
      </c>
      <c r="J459" s="1">
        <v>833.59500000000003</v>
      </c>
      <c r="K459" s="3">
        <v>43648</v>
      </c>
      <c r="L459" s="2">
        <v>0.85</v>
      </c>
      <c r="M459" t="s">
        <v>29</v>
      </c>
      <c r="N459" s="1">
        <v>793.9</v>
      </c>
      <c r="O459" s="1">
        <v>4.7619047620000003</v>
      </c>
      <c r="P459" s="1">
        <v>39.695</v>
      </c>
      <c r="Q459">
        <v>6.2</v>
      </c>
      <c r="R459" s="13">
        <v>43503</v>
      </c>
      <c r="S459">
        <f t="shared" si="28"/>
        <v>2</v>
      </c>
      <c r="T459">
        <f t="shared" si="29"/>
        <v>20</v>
      </c>
      <c r="U459">
        <f t="shared" si="30"/>
        <v>7</v>
      </c>
      <c r="V459" s="13" t="str">
        <f t="shared" si="31"/>
        <v>Thursday</v>
      </c>
    </row>
    <row r="460" spans="1:22" x14ac:dyDescent="0.25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 s="1">
        <v>46.57</v>
      </c>
      <c r="H460">
        <v>10</v>
      </c>
      <c r="I460" s="1">
        <v>23.285</v>
      </c>
      <c r="J460" s="1">
        <v>488.98500000000001</v>
      </c>
      <c r="K460" s="3" t="s">
        <v>35</v>
      </c>
      <c r="L460" s="2">
        <v>0.58194444444444449</v>
      </c>
      <c r="M460" t="s">
        <v>29</v>
      </c>
      <c r="N460" s="1">
        <v>465.7</v>
      </c>
      <c r="O460" s="1">
        <v>4.7619047620000003</v>
      </c>
      <c r="P460" s="1">
        <v>23.285</v>
      </c>
      <c r="Q460">
        <v>7.6</v>
      </c>
      <c r="R460" s="13">
        <v>43492</v>
      </c>
      <c r="S460">
        <f t="shared" si="28"/>
        <v>1</v>
      </c>
      <c r="T460">
        <f t="shared" si="29"/>
        <v>13</v>
      </c>
      <c r="U460">
        <f t="shared" si="30"/>
        <v>27</v>
      </c>
      <c r="V460" s="13" t="str">
        <f t="shared" si="31"/>
        <v>Sunday</v>
      </c>
    </row>
    <row r="461" spans="1:22" x14ac:dyDescent="0.25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 s="1">
        <v>35.89</v>
      </c>
      <c r="H461">
        <v>1</v>
      </c>
      <c r="I461" s="1">
        <v>1.7945</v>
      </c>
      <c r="J461" s="1">
        <v>37.6845</v>
      </c>
      <c r="K461" s="3" t="s">
        <v>149</v>
      </c>
      <c r="L461" s="2">
        <v>0.70277777777777772</v>
      </c>
      <c r="M461" t="s">
        <v>33</v>
      </c>
      <c r="N461" s="1">
        <v>35.89</v>
      </c>
      <c r="O461" s="1">
        <v>4.7619047620000003</v>
      </c>
      <c r="P461" s="1">
        <v>1.7945</v>
      </c>
      <c r="Q461">
        <v>7.9</v>
      </c>
      <c r="R461" s="13">
        <v>43519</v>
      </c>
      <c r="S461">
        <f t="shared" si="28"/>
        <v>2</v>
      </c>
      <c r="T461">
        <f t="shared" si="29"/>
        <v>16</v>
      </c>
      <c r="U461">
        <f t="shared" si="30"/>
        <v>23</v>
      </c>
      <c r="V461" s="13" t="str">
        <f t="shared" si="31"/>
        <v>Saturday</v>
      </c>
    </row>
    <row r="462" spans="1:22" x14ac:dyDescent="0.25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 s="1">
        <v>40.520000000000003</v>
      </c>
      <c r="H462">
        <v>5</v>
      </c>
      <c r="I462" s="1">
        <v>10.130000000000001</v>
      </c>
      <c r="J462" s="1">
        <v>212.73</v>
      </c>
      <c r="K462" s="3">
        <v>43526</v>
      </c>
      <c r="L462" s="2">
        <v>0.6381944444444444</v>
      </c>
      <c r="M462" t="s">
        <v>29</v>
      </c>
      <c r="N462" s="1">
        <v>202.6</v>
      </c>
      <c r="O462" s="1">
        <v>4.7619047620000003</v>
      </c>
      <c r="P462" s="1">
        <v>10.130000000000001</v>
      </c>
      <c r="Q462">
        <v>4.5</v>
      </c>
      <c r="R462" s="13">
        <v>43499</v>
      </c>
      <c r="S462">
        <f t="shared" si="28"/>
        <v>2</v>
      </c>
      <c r="T462">
        <f t="shared" si="29"/>
        <v>15</v>
      </c>
      <c r="U462">
        <f t="shared" si="30"/>
        <v>3</v>
      </c>
      <c r="V462" s="13" t="str">
        <f t="shared" si="31"/>
        <v>Sunday</v>
      </c>
    </row>
    <row r="463" spans="1:22" x14ac:dyDescent="0.25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 s="1">
        <v>73.05</v>
      </c>
      <c r="H463">
        <v>10</v>
      </c>
      <c r="I463" s="1">
        <v>36.524999999999999</v>
      </c>
      <c r="J463" s="1">
        <v>767.02499999999998</v>
      </c>
      <c r="K463" s="3">
        <v>43527</v>
      </c>
      <c r="L463" s="2">
        <v>0.51736111111111116</v>
      </c>
      <c r="M463" t="s">
        <v>33</v>
      </c>
      <c r="N463" s="1">
        <v>730.5</v>
      </c>
      <c r="O463" s="1">
        <v>4.7619047620000003</v>
      </c>
      <c r="P463" s="1">
        <v>36.524999999999999</v>
      </c>
      <c r="Q463">
        <v>8.6999999999999993</v>
      </c>
      <c r="R463" s="13">
        <v>43527</v>
      </c>
      <c r="S463">
        <f t="shared" si="28"/>
        <v>3</v>
      </c>
      <c r="T463">
        <f t="shared" si="29"/>
        <v>12</v>
      </c>
      <c r="U463">
        <f t="shared" si="30"/>
        <v>3</v>
      </c>
      <c r="V463" s="13" t="str">
        <f t="shared" si="31"/>
        <v>Sunday</v>
      </c>
    </row>
    <row r="464" spans="1:22" x14ac:dyDescent="0.25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 s="1">
        <v>73.95</v>
      </c>
      <c r="H464">
        <v>4</v>
      </c>
      <c r="I464" s="1">
        <v>14.79</v>
      </c>
      <c r="J464" s="1">
        <v>310.58999999999997</v>
      </c>
      <c r="K464" s="3">
        <v>43526</v>
      </c>
      <c r="L464" s="2">
        <v>0.41805555555555557</v>
      </c>
      <c r="M464" t="s">
        <v>29</v>
      </c>
      <c r="N464" s="1">
        <v>295.8</v>
      </c>
      <c r="O464" s="1">
        <v>4.7619047620000003</v>
      </c>
      <c r="P464" s="1">
        <v>14.79</v>
      </c>
      <c r="Q464">
        <v>6.1</v>
      </c>
      <c r="R464" s="13">
        <v>43499</v>
      </c>
      <c r="S464">
        <f t="shared" si="28"/>
        <v>2</v>
      </c>
      <c r="T464">
        <f t="shared" si="29"/>
        <v>10</v>
      </c>
      <c r="U464">
        <f t="shared" si="30"/>
        <v>3</v>
      </c>
      <c r="V464" s="13" t="str">
        <f t="shared" si="31"/>
        <v>Sunday</v>
      </c>
    </row>
    <row r="465" spans="1:22" x14ac:dyDescent="0.25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 s="1">
        <v>22.62</v>
      </c>
      <c r="H465">
        <v>1</v>
      </c>
      <c r="I465" s="1">
        <v>1.131</v>
      </c>
      <c r="J465" s="1">
        <v>23.751000000000001</v>
      </c>
      <c r="K465" s="3" t="s">
        <v>338</v>
      </c>
      <c r="L465" s="2">
        <v>0.79027777777777775</v>
      </c>
      <c r="M465" t="s">
        <v>29</v>
      </c>
      <c r="N465" s="1">
        <v>22.62</v>
      </c>
      <c r="O465" s="1">
        <v>4.7619047620000003</v>
      </c>
      <c r="P465" s="1">
        <v>1.131</v>
      </c>
      <c r="Q465">
        <v>6.4</v>
      </c>
      <c r="R465" s="13">
        <v>43541</v>
      </c>
      <c r="S465">
        <f t="shared" si="28"/>
        <v>3</v>
      </c>
      <c r="T465">
        <f t="shared" si="29"/>
        <v>18</v>
      </c>
      <c r="U465">
        <f t="shared" si="30"/>
        <v>17</v>
      </c>
      <c r="V465" s="13" t="str">
        <f t="shared" si="31"/>
        <v>Sunday</v>
      </c>
    </row>
    <row r="466" spans="1:22" x14ac:dyDescent="0.25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 s="1">
        <v>51.34</v>
      </c>
      <c r="H466">
        <v>5</v>
      </c>
      <c r="I466" s="1">
        <v>12.835000000000001</v>
      </c>
      <c r="J466" s="1">
        <v>269.53500000000003</v>
      </c>
      <c r="K466" s="3" t="s">
        <v>171</v>
      </c>
      <c r="L466" s="2">
        <v>0.64652777777777781</v>
      </c>
      <c r="M466" t="s">
        <v>33</v>
      </c>
      <c r="N466" s="1">
        <v>256.7</v>
      </c>
      <c r="O466" s="1">
        <v>4.7619047620000003</v>
      </c>
      <c r="P466" s="1">
        <v>12.835000000000001</v>
      </c>
      <c r="Q466">
        <v>9.1</v>
      </c>
      <c r="R466" s="13">
        <v>43552</v>
      </c>
      <c r="S466">
        <f t="shared" si="28"/>
        <v>3</v>
      </c>
      <c r="T466">
        <f t="shared" si="29"/>
        <v>15</v>
      </c>
      <c r="U466">
        <f t="shared" si="30"/>
        <v>28</v>
      </c>
      <c r="V466" s="13" t="str">
        <f t="shared" si="31"/>
        <v>Thursday</v>
      </c>
    </row>
    <row r="467" spans="1:22" x14ac:dyDescent="0.25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 s="1">
        <v>54.55</v>
      </c>
      <c r="H467">
        <v>10</v>
      </c>
      <c r="I467" s="1">
        <v>27.274999999999999</v>
      </c>
      <c r="J467" s="1">
        <v>572.77499999999998</v>
      </c>
      <c r="K467" s="3">
        <v>43499</v>
      </c>
      <c r="L467" s="2">
        <v>0.47361111111111109</v>
      </c>
      <c r="M467" t="s">
        <v>33</v>
      </c>
      <c r="N467" s="1">
        <v>545.5</v>
      </c>
      <c r="O467" s="1">
        <v>4.7619047620000003</v>
      </c>
      <c r="P467" s="1">
        <v>27.274999999999999</v>
      </c>
      <c r="Q467">
        <v>7.1</v>
      </c>
      <c r="R467" s="13">
        <v>43526</v>
      </c>
      <c r="S467">
        <f t="shared" si="28"/>
        <v>3</v>
      </c>
      <c r="T467">
        <f t="shared" si="29"/>
        <v>11</v>
      </c>
      <c r="U467">
        <f t="shared" si="30"/>
        <v>2</v>
      </c>
      <c r="V467" s="13" t="str">
        <f t="shared" si="31"/>
        <v>Saturday</v>
      </c>
    </row>
    <row r="468" spans="1:22" x14ac:dyDescent="0.25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 s="1">
        <v>37.15</v>
      </c>
      <c r="H468">
        <v>7</v>
      </c>
      <c r="I468" s="1">
        <v>13.0025</v>
      </c>
      <c r="J468" s="1">
        <v>273.05250000000001</v>
      </c>
      <c r="K468" s="3">
        <v>43679</v>
      </c>
      <c r="L468" s="2">
        <v>0.55000000000000004</v>
      </c>
      <c r="M468" t="s">
        <v>33</v>
      </c>
      <c r="N468" s="1">
        <v>260.05</v>
      </c>
      <c r="O468" s="1">
        <v>4.7619047620000003</v>
      </c>
      <c r="P468" s="1">
        <v>13.0025</v>
      </c>
      <c r="Q468">
        <v>7.7</v>
      </c>
      <c r="R468" s="13">
        <v>43504</v>
      </c>
      <c r="S468">
        <f t="shared" si="28"/>
        <v>2</v>
      </c>
      <c r="T468">
        <f t="shared" si="29"/>
        <v>13</v>
      </c>
      <c r="U468">
        <f t="shared" si="30"/>
        <v>8</v>
      </c>
      <c r="V468" s="13" t="str">
        <f t="shared" si="31"/>
        <v>Friday</v>
      </c>
    </row>
    <row r="469" spans="1:22" x14ac:dyDescent="0.25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 s="1">
        <v>37.020000000000003</v>
      </c>
      <c r="H469">
        <v>6</v>
      </c>
      <c r="I469" s="1">
        <v>11.106</v>
      </c>
      <c r="J469" s="1">
        <v>233.226</v>
      </c>
      <c r="K469" s="3" t="s">
        <v>72</v>
      </c>
      <c r="L469" s="2">
        <v>0.7729166666666667</v>
      </c>
      <c r="M469" t="s">
        <v>29</v>
      </c>
      <c r="N469" s="1">
        <v>222.12</v>
      </c>
      <c r="O469" s="1">
        <v>4.7619047620000003</v>
      </c>
      <c r="P469" s="1">
        <v>11.106</v>
      </c>
      <c r="Q469">
        <v>4.5</v>
      </c>
      <c r="R469" s="13">
        <v>43546</v>
      </c>
      <c r="S469">
        <f t="shared" si="28"/>
        <v>3</v>
      </c>
      <c r="T469">
        <f t="shared" si="29"/>
        <v>18</v>
      </c>
      <c r="U469">
        <f t="shared" si="30"/>
        <v>22</v>
      </c>
      <c r="V469" s="13" t="str">
        <f t="shared" si="31"/>
        <v>Friday</v>
      </c>
    </row>
    <row r="470" spans="1:22" x14ac:dyDescent="0.25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 s="1">
        <v>21.58</v>
      </c>
      <c r="H470">
        <v>1</v>
      </c>
      <c r="I470" s="1">
        <v>1.079</v>
      </c>
      <c r="J470" s="1">
        <v>22.658999999999999</v>
      </c>
      <c r="K470" s="3">
        <v>43710</v>
      </c>
      <c r="L470" s="2">
        <v>0.41805555555555557</v>
      </c>
      <c r="M470" t="s">
        <v>23</v>
      </c>
      <c r="N470" s="1">
        <v>21.58</v>
      </c>
      <c r="O470" s="1">
        <v>4.7619047620000003</v>
      </c>
      <c r="P470" s="1">
        <v>1.079</v>
      </c>
      <c r="Q470">
        <v>7.2</v>
      </c>
      <c r="R470" s="13">
        <v>43505</v>
      </c>
      <c r="S470">
        <f t="shared" si="28"/>
        <v>2</v>
      </c>
      <c r="T470">
        <f t="shared" si="29"/>
        <v>10</v>
      </c>
      <c r="U470">
        <f t="shared" si="30"/>
        <v>9</v>
      </c>
      <c r="V470" s="13" t="str">
        <f t="shared" si="31"/>
        <v>Saturday</v>
      </c>
    </row>
    <row r="471" spans="1:22" x14ac:dyDescent="0.25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 s="1">
        <v>98.84</v>
      </c>
      <c r="H471">
        <v>1</v>
      </c>
      <c r="I471" s="1">
        <v>4.9420000000000002</v>
      </c>
      <c r="J471" s="1">
        <v>103.782</v>
      </c>
      <c r="K471" s="3" t="s">
        <v>118</v>
      </c>
      <c r="L471" s="2">
        <v>0.47291666666666665</v>
      </c>
      <c r="M471" t="s">
        <v>29</v>
      </c>
      <c r="N471" s="1">
        <v>98.84</v>
      </c>
      <c r="O471" s="1">
        <v>4.7619047620000003</v>
      </c>
      <c r="P471" s="1">
        <v>4.9420000000000002</v>
      </c>
      <c r="Q471">
        <v>8.4</v>
      </c>
      <c r="R471" s="13">
        <v>43511</v>
      </c>
      <c r="S471">
        <f t="shared" si="28"/>
        <v>2</v>
      </c>
      <c r="T471">
        <f t="shared" si="29"/>
        <v>11</v>
      </c>
      <c r="U471">
        <f t="shared" si="30"/>
        <v>15</v>
      </c>
      <c r="V471" s="13" t="str">
        <f t="shared" si="31"/>
        <v>Friday</v>
      </c>
    </row>
    <row r="472" spans="1:22" x14ac:dyDescent="0.25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 s="1">
        <v>83.77</v>
      </c>
      <c r="H472">
        <v>6</v>
      </c>
      <c r="I472" s="1">
        <v>25.131</v>
      </c>
      <c r="J472" s="1">
        <v>527.75099999999998</v>
      </c>
      <c r="K472" s="3" t="s">
        <v>147</v>
      </c>
      <c r="L472" s="2">
        <v>0.50694444444444442</v>
      </c>
      <c r="M472" t="s">
        <v>23</v>
      </c>
      <c r="N472" s="1">
        <v>502.62</v>
      </c>
      <c r="O472" s="1">
        <v>4.7619047620000003</v>
      </c>
      <c r="P472" s="1">
        <v>25.131</v>
      </c>
      <c r="Q472">
        <v>5.4</v>
      </c>
      <c r="R472" s="13">
        <v>43488</v>
      </c>
      <c r="S472">
        <f t="shared" si="28"/>
        <v>1</v>
      </c>
      <c r="T472">
        <f t="shared" si="29"/>
        <v>12</v>
      </c>
      <c r="U472">
        <f t="shared" si="30"/>
        <v>23</v>
      </c>
      <c r="V472" s="13" t="str">
        <f t="shared" si="31"/>
        <v>Wednesday</v>
      </c>
    </row>
    <row r="473" spans="1:22" x14ac:dyDescent="0.25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 s="1">
        <v>40.049999999999997</v>
      </c>
      <c r="H473">
        <v>4</v>
      </c>
      <c r="I473" s="1">
        <v>8.01</v>
      </c>
      <c r="J473" s="1">
        <v>168.21</v>
      </c>
      <c r="K473" s="3" t="s">
        <v>76</v>
      </c>
      <c r="L473" s="2">
        <v>0.4861111111111111</v>
      </c>
      <c r="M473" t="s">
        <v>29</v>
      </c>
      <c r="N473" s="1">
        <v>160.19999999999999</v>
      </c>
      <c r="O473" s="1">
        <v>4.7619047620000003</v>
      </c>
      <c r="P473" s="1">
        <v>8.01</v>
      </c>
      <c r="Q473">
        <v>9.6999999999999993</v>
      </c>
      <c r="R473" s="13">
        <v>43490</v>
      </c>
      <c r="S473">
        <f t="shared" si="28"/>
        <v>1</v>
      </c>
      <c r="T473">
        <f t="shared" si="29"/>
        <v>11</v>
      </c>
      <c r="U473">
        <f t="shared" si="30"/>
        <v>25</v>
      </c>
      <c r="V473" s="13" t="str">
        <f t="shared" si="31"/>
        <v>Friday</v>
      </c>
    </row>
    <row r="474" spans="1:22" x14ac:dyDescent="0.25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 s="1">
        <v>43.13</v>
      </c>
      <c r="H474">
        <v>10</v>
      </c>
      <c r="I474" s="1">
        <v>21.565000000000001</v>
      </c>
      <c r="J474" s="1">
        <v>452.86500000000001</v>
      </c>
      <c r="K474" s="3">
        <v>43498</v>
      </c>
      <c r="L474" s="2">
        <v>0.77152777777777781</v>
      </c>
      <c r="M474" t="s">
        <v>33</v>
      </c>
      <c r="N474" s="1">
        <v>431.3</v>
      </c>
      <c r="O474" s="1">
        <v>4.7619047620000003</v>
      </c>
      <c r="P474" s="1">
        <v>21.565000000000001</v>
      </c>
      <c r="Q474">
        <v>5.5</v>
      </c>
      <c r="R474" s="13">
        <v>43498</v>
      </c>
      <c r="S474">
        <f t="shared" si="28"/>
        <v>2</v>
      </c>
      <c r="T474">
        <f t="shared" si="29"/>
        <v>18</v>
      </c>
      <c r="U474">
        <f t="shared" si="30"/>
        <v>2</v>
      </c>
      <c r="V474" s="13" t="str">
        <f t="shared" si="31"/>
        <v>Saturday</v>
      </c>
    </row>
    <row r="475" spans="1:22" x14ac:dyDescent="0.25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 s="1">
        <v>72.569999999999993</v>
      </c>
      <c r="H475">
        <v>8</v>
      </c>
      <c r="I475" s="1">
        <v>29.027999999999999</v>
      </c>
      <c r="J475" s="1">
        <v>609.58799999999997</v>
      </c>
      <c r="K475" s="3" t="s">
        <v>235</v>
      </c>
      <c r="L475" s="2">
        <v>0.74861111111111112</v>
      </c>
      <c r="M475" t="s">
        <v>29</v>
      </c>
      <c r="N475" s="1">
        <v>580.55999999999995</v>
      </c>
      <c r="O475" s="1">
        <v>4.7619047620000003</v>
      </c>
      <c r="P475" s="1">
        <v>29.027999999999999</v>
      </c>
      <c r="Q475">
        <v>4.5999999999999996</v>
      </c>
      <c r="R475" s="13">
        <v>43554</v>
      </c>
      <c r="S475">
        <f t="shared" si="28"/>
        <v>3</v>
      </c>
      <c r="T475">
        <f t="shared" si="29"/>
        <v>17</v>
      </c>
      <c r="U475">
        <f t="shared" si="30"/>
        <v>30</v>
      </c>
      <c r="V475" s="13" t="str">
        <f t="shared" si="31"/>
        <v>Saturday</v>
      </c>
    </row>
    <row r="476" spans="1:22" x14ac:dyDescent="0.25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 s="1">
        <v>64.44</v>
      </c>
      <c r="H476">
        <v>5</v>
      </c>
      <c r="I476" s="1">
        <v>16.11</v>
      </c>
      <c r="J476" s="1">
        <v>338.31</v>
      </c>
      <c r="K476" s="3" t="s">
        <v>235</v>
      </c>
      <c r="L476" s="2">
        <v>0.71111111111111114</v>
      </c>
      <c r="M476" t="s">
        <v>29</v>
      </c>
      <c r="N476" s="1">
        <v>322.2</v>
      </c>
      <c r="O476" s="1">
        <v>4.7619047620000003</v>
      </c>
      <c r="P476" s="1">
        <v>16.11</v>
      </c>
      <c r="Q476">
        <v>6.6</v>
      </c>
      <c r="R476" s="13">
        <v>43554</v>
      </c>
      <c r="S476">
        <f t="shared" si="28"/>
        <v>3</v>
      </c>
      <c r="T476">
        <f t="shared" si="29"/>
        <v>17</v>
      </c>
      <c r="U476">
        <f t="shared" si="30"/>
        <v>30</v>
      </c>
      <c r="V476" s="13" t="str">
        <f t="shared" si="31"/>
        <v>Saturday</v>
      </c>
    </row>
    <row r="477" spans="1:22" x14ac:dyDescent="0.25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 s="1">
        <v>65.180000000000007</v>
      </c>
      <c r="H477">
        <v>3</v>
      </c>
      <c r="I477" s="1">
        <v>9.7769999999999992</v>
      </c>
      <c r="J477" s="1">
        <v>205.31700000000001</v>
      </c>
      <c r="K477" s="3" t="s">
        <v>41</v>
      </c>
      <c r="L477" s="2">
        <v>0.85763888888888884</v>
      </c>
      <c r="M477" t="s">
        <v>33</v>
      </c>
      <c r="N477" s="1">
        <v>195.54</v>
      </c>
      <c r="O477" s="1">
        <v>4.7619047620000003</v>
      </c>
      <c r="P477" s="1">
        <v>9.7769999999999992</v>
      </c>
      <c r="Q477">
        <v>6.3</v>
      </c>
      <c r="R477" s="13">
        <v>43521</v>
      </c>
      <c r="S477">
        <f t="shared" si="28"/>
        <v>2</v>
      </c>
      <c r="T477">
        <f t="shared" si="29"/>
        <v>20</v>
      </c>
      <c r="U477">
        <f t="shared" si="30"/>
        <v>25</v>
      </c>
      <c r="V477" s="13" t="str">
        <f t="shared" si="31"/>
        <v>Monday</v>
      </c>
    </row>
    <row r="478" spans="1:22" x14ac:dyDescent="0.25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 s="1">
        <v>33.26</v>
      </c>
      <c r="H478">
        <v>5</v>
      </c>
      <c r="I478" s="1">
        <v>8.3149999999999995</v>
      </c>
      <c r="J478" s="1">
        <v>174.61500000000001</v>
      </c>
      <c r="K478" s="3" t="s">
        <v>289</v>
      </c>
      <c r="L478" s="2">
        <v>0.67361111111111116</v>
      </c>
      <c r="M478" t="s">
        <v>33</v>
      </c>
      <c r="N478" s="1">
        <v>166.3</v>
      </c>
      <c r="O478" s="1">
        <v>4.7619047620000003</v>
      </c>
      <c r="P478" s="1">
        <v>8.3149999999999995</v>
      </c>
      <c r="Q478">
        <v>4.2</v>
      </c>
      <c r="R478" s="13">
        <v>43542</v>
      </c>
      <c r="S478">
        <f t="shared" si="28"/>
        <v>3</v>
      </c>
      <c r="T478">
        <f t="shared" si="29"/>
        <v>16</v>
      </c>
      <c r="U478">
        <f t="shared" si="30"/>
        <v>18</v>
      </c>
      <c r="V478" s="13" t="str">
        <f t="shared" si="31"/>
        <v>Monday</v>
      </c>
    </row>
    <row r="479" spans="1:22" x14ac:dyDescent="0.25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 s="1">
        <v>84.07</v>
      </c>
      <c r="H479">
        <v>4</v>
      </c>
      <c r="I479" s="1">
        <v>16.814</v>
      </c>
      <c r="J479" s="1">
        <v>353.09399999999999</v>
      </c>
      <c r="K479" s="3">
        <v>43649</v>
      </c>
      <c r="L479" s="2">
        <v>0.70416666666666672</v>
      </c>
      <c r="M479" t="s">
        <v>23</v>
      </c>
      <c r="N479" s="1">
        <v>336.28</v>
      </c>
      <c r="O479" s="1">
        <v>4.7619047620000003</v>
      </c>
      <c r="P479" s="1">
        <v>16.814</v>
      </c>
      <c r="Q479">
        <v>4.4000000000000004</v>
      </c>
      <c r="R479" s="13">
        <v>43531</v>
      </c>
      <c r="S479">
        <f t="shared" si="28"/>
        <v>3</v>
      </c>
      <c r="T479">
        <f t="shared" si="29"/>
        <v>16</v>
      </c>
      <c r="U479">
        <f t="shared" si="30"/>
        <v>7</v>
      </c>
      <c r="V479" s="13" t="str">
        <f t="shared" si="31"/>
        <v>Thursday</v>
      </c>
    </row>
    <row r="480" spans="1:22" x14ac:dyDescent="0.25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 s="1">
        <v>34.369999999999997</v>
      </c>
      <c r="H480">
        <v>10</v>
      </c>
      <c r="I480" s="1">
        <v>17.184999999999999</v>
      </c>
      <c r="J480" s="1">
        <v>360.88499999999999</v>
      </c>
      <c r="K480" s="3" t="s">
        <v>96</v>
      </c>
      <c r="L480" s="2">
        <v>0.42430555555555555</v>
      </c>
      <c r="M480" t="s">
        <v>23</v>
      </c>
      <c r="N480" s="1">
        <v>343.7</v>
      </c>
      <c r="O480" s="1">
        <v>4.7619047620000003</v>
      </c>
      <c r="P480" s="1">
        <v>17.184999999999999</v>
      </c>
      <c r="Q480">
        <v>6.7</v>
      </c>
      <c r="R480" s="13">
        <v>43540</v>
      </c>
      <c r="S480">
        <f t="shared" si="28"/>
        <v>3</v>
      </c>
      <c r="T480">
        <f t="shared" si="29"/>
        <v>10</v>
      </c>
      <c r="U480">
        <f t="shared" si="30"/>
        <v>16</v>
      </c>
      <c r="V480" s="13" t="str">
        <f t="shared" si="31"/>
        <v>Saturday</v>
      </c>
    </row>
    <row r="481" spans="1:22" x14ac:dyDescent="0.25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 s="1">
        <v>38.6</v>
      </c>
      <c r="H481">
        <v>1</v>
      </c>
      <c r="I481" s="1">
        <v>1.93</v>
      </c>
      <c r="J481" s="1">
        <v>40.53</v>
      </c>
      <c r="K481" s="3" t="s">
        <v>228</v>
      </c>
      <c r="L481" s="2">
        <v>0.47638888888888886</v>
      </c>
      <c r="M481" t="s">
        <v>23</v>
      </c>
      <c r="N481" s="1">
        <v>38.6</v>
      </c>
      <c r="O481" s="1">
        <v>4.7619047620000003</v>
      </c>
      <c r="P481" s="1">
        <v>1.93</v>
      </c>
      <c r="Q481">
        <v>6.7</v>
      </c>
      <c r="R481" s="13">
        <v>43494</v>
      </c>
      <c r="S481">
        <f t="shared" si="28"/>
        <v>1</v>
      </c>
      <c r="T481">
        <f t="shared" si="29"/>
        <v>11</v>
      </c>
      <c r="U481">
        <f t="shared" si="30"/>
        <v>29</v>
      </c>
      <c r="V481" s="13" t="str">
        <f t="shared" si="31"/>
        <v>Tuesday</v>
      </c>
    </row>
    <row r="482" spans="1:22" x14ac:dyDescent="0.25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 s="1">
        <v>65.97</v>
      </c>
      <c r="H482">
        <v>8</v>
      </c>
      <c r="I482" s="1">
        <v>26.388000000000002</v>
      </c>
      <c r="J482" s="1">
        <v>554.14800000000002</v>
      </c>
      <c r="K482" s="3">
        <v>43498</v>
      </c>
      <c r="L482" s="2">
        <v>0.85347222222222219</v>
      </c>
      <c r="M482" t="s">
        <v>29</v>
      </c>
      <c r="N482" s="1">
        <v>527.76</v>
      </c>
      <c r="O482" s="1">
        <v>4.7619047620000003</v>
      </c>
      <c r="P482" s="1">
        <v>26.388000000000002</v>
      </c>
      <c r="Q482">
        <v>8.4</v>
      </c>
      <c r="R482" s="13">
        <v>43498</v>
      </c>
      <c r="S482">
        <f t="shared" si="28"/>
        <v>2</v>
      </c>
      <c r="T482">
        <f t="shared" si="29"/>
        <v>20</v>
      </c>
      <c r="U482">
        <f t="shared" si="30"/>
        <v>2</v>
      </c>
      <c r="V482" s="13" t="str">
        <f t="shared" si="31"/>
        <v>Saturday</v>
      </c>
    </row>
    <row r="483" spans="1:22" x14ac:dyDescent="0.25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 s="1">
        <v>32.799999999999997</v>
      </c>
      <c r="H483">
        <v>10</v>
      </c>
      <c r="I483" s="1">
        <v>16.399999999999999</v>
      </c>
      <c r="J483" s="1">
        <v>344.4</v>
      </c>
      <c r="K483" s="3" t="s">
        <v>118</v>
      </c>
      <c r="L483" s="2">
        <v>0.5083333333333333</v>
      </c>
      <c r="M483" t="s">
        <v>29</v>
      </c>
      <c r="N483" s="1">
        <v>328</v>
      </c>
      <c r="O483" s="1">
        <v>4.7619047620000003</v>
      </c>
      <c r="P483" s="1">
        <v>16.399999999999999</v>
      </c>
      <c r="Q483">
        <v>6.2</v>
      </c>
      <c r="R483" s="13">
        <v>43511</v>
      </c>
      <c r="S483">
        <f t="shared" si="28"/>
        <v>2</v>
      </c>
      <c r="T483">
        <f t="shared" si="29"/>
        <v>12</v>
      </c>
      <c r="U483">
        <f t="shared" si="30"/>
        <v>15</v>
      </c>
      <c r="V483" s="13" t="str">
        <f t="shared" si="31"/>
        <v>Friday</v>
      </c>
    </row>
    <row r="484" spans="1:22" x14ac:dyDescent="0.25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 s="1">
        <v>37.14</v>
      </c>
      <c r="H484">
        <v>5</v>
      </c>
      <c r="I484" s="1">
        <v>9.2850000000000001</v>
      </c>
      <c r="J484" s="1">
        <v>194.98500000000001</v>
      </c>
      <c r="K484" s="3">
        <v>43678</v>
      </c>
      <c r="L484" s="2">
        <v>0.54513888888888884</v>
      </c>
      <c r="M484" t="s">
        <v>23</v>
      </c>
      <c r="N484" s="1">
        <v>185.7</v>
      </c>
      <c r="O484" s="1">
        <v>4.7619047620000003</v>
      </c>
      <c r="P484" s="1">
        <v>9.2850000000000001</v>
      </c>
      <c r="Q484">
        <v>5</v>
      </c>
      <c r="R484" s="13">
        <v>43473</v>
      </c>
      <c r="S484">
        <f t="shared" si="28"/>
        <v>1</v>
      </c>
      <c r="T484">
        <f t="shared" si="29"/>
        <v>13</v>
      </c>
      <c r="U484">
        <f t="shared" si="30"/>
        <v>8</v>
      </c>
      <c r="V484" s="13" t="str">
        <f t="shared" si="31"/>
        <v>Tuesday</v>
      </c>
    </row>
    <row r="485" spans="1:22" x14ac:dyDescent="0.25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 s="1">
        <v>60.38</v>
      </c>
      <c r="H485">
        <v>10</v>
      </c>
      <c r="I485" s="1">
        <v>30.19</v>
      </c>
      <c r="J485" s="1">
        <v>633.99</v>
      </c>
      <c r="K485" s="3">
        <v>43801</v>
      </c>
      <c r="L485" s="2">
        <v>0.67986111111111114</v>
      </c>
      <c r="M485" t="s">
        <v>29</v>
      </c>
      <c r="N485" s="1">
        <v>603.79999999999995</v>
      </c>
      <c r="O485" s="1">
        <v>4.7619047620000003</v>
      </c>
      <c r="P485" s="1">
        <v>30.19</v>
      </c>
      <c r="Q485">
        <v>6</v>
      </c>
      <c r="R485" s="13">
        <v>43508</v>
      </c>
      <c r="S485">
        <f t="shared" si="28"/>
        <v>2</v>
      </c>
      <c r="T485">
        <f t="shared" si="29"/>
        <v>16</v>
      </c>
      <c r="U485">
        <f t="shared" si="30"/>
        <v>12</v>
      </c>
      <c r="V485" s="13" t="str">
        <f t="shared" si="31"/>
        <v>Tuesday</v>
      </c>
    </row>
    <row r="486" spans="1:22" x14ac:dyDescent="0.25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 s="1">
        <v>36.979999999999997</v>
      </c>
      <c r="H486">
        <v>10</v>
      </c>
      <c r="I486" s="1">
        <v>18.489999999999998</v>
      </c>
      <c r="J486" s="1">
        <v>388.29</v>
      </c>
      <c r="K486" s="3">
        <v>43466</v>
      </c>
      <c r="L486" s="2">
        <v>0.82499999999999996</v>
      </c>
      <c r="M486" t="s">
        <v>33</v>
      </c>
      <c r="N486" s="1">
        <v>369.8</v>
      </c>
      <c r="O486" s="1">
        <v>4.7619047620000003</v>
      </c>
      <c r="P486" s="1">
        <v>18.489999999999998</v>
      </c>
      <c r="Q486">
        <v>7</v>
      </c>
      <c r="R486" s="13">
        <v>43466</v>
      </c>
      <c r="S486">
        <f t="shared" si="28"/>
        <v>1</v>
      </c>
      <c r="T486">
        <f t="shared" si="29"/>
        <v>19</v>
      </c>
      <c r="U486">
        <f t="shared" si="30"/>
        <v>1</v>
      </c>
      <c r="V486" s="13" t="str">
        <f t="shared" si="31"/>
        <v>Tuesday</v>
      </c>
    </row>
    <row r="487" spans="1:22" x14ac:dyDescent="0.25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 s="1">
        <v>49.49</v>
      </c>
      <c r="H487">
        <v>4</v>
      </c>
      <c r="I487" s="1">
        <v>9.8979999999999997</v>
      </c>
      <c r="J487" s="1">
        <v>207.858</v>
      </c>
      <c r="K487" s="3" t="s">
        <v>254</v>
      </c>
      <c r="L487" s="2">
        <v>0.64236111111111116</v>
      </c>
      <c r="M487" t="s">
        <v>23</v>
      </c>
      <c r="N487" s="1">
        <v>197.96</v>
      </c>
      <c r="O487" s="1">
        <v>4.7619047620000003</v>
      </c>
      <c r="P487" s="1">
        <v>9.8979999999999997</v>
      </c>
      <c r="Q487">
        <v>6.6</v>
      </c>
      <c r="R487" s="13">
        <v>43545</v>
      </c>
      <c r="S487">
        <f t="shared" si="28"/>
        <v>3</v>
      </c>
      <c r="T487">
        <f t="shared" si="29"/>
        <v>15</v>
      </c>
      <c r="U487">
        <f t="shared" si="30"/>
        <v>21</v>
      </c>
      <c r="V487" s="13" t="str">
        <f t="shared" si="31"/>
        <v>Thursday</v>
      </c>
    </row>
    <row r="488" spans="1:22" x14ac:dyDescent="0.25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 s="1">
        <v>41.09</v>
      </c>
      <c r="H488">
        <v>10</v>
      </c>
      <c r="I488" s="1">
        <v>20.545000000000002</v>
      </c>
      <c r="J488" s="1">
        <v>431.44499999999999</v>
      </c>
      <c r="K488" s="3" t="s">
        <v>110</v>
      </c>
      <c r="L488" s="2">
        <v>0.61250000000000004</v>
      </c>
      <c r="M488" t="s">
        <v>29</v>
      </c>
      <c r="N488" s="1">
        <v>410.9</v>
      </c>
      <c r="O488" s="1">
        <v>4.7619047620000003</v>
      </c>
      <c r="P488" s="1">
        <v>20.545000000000002</v>
      </c>
      <c r="Q488">
        <v>7.3</v>
      </c>
      <c r="R488" s="13">
        <v>43524</v>
      </c>
      <c r="S488">
        <f t="shared" si="28"/>
        <v>2</v>
      </c>
      <c r="T488">
        <f t="shared" si="29"/>
        <v>14</v>
      </c>
      <c r="U488">
        <f t="shared" si="30"/>
        <v>28</v>
      </c>
      <c r="V488" s="13" t="str">
        <f t="shared" si="31"/>
        <v>Thursday</v>
      </c>
    </row>
    <row r="489" spans="1:22" x14ac:dyDescent="0.25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 s="1">
        <v>37.15</v>
      </c>
      <c r="H489">
        <v>4</v>
      </c>
      <c r="I489" s="1">
        <v>7.43</v>
      </c>
      <c r="J489" s="1">
        <v>156.03</v>
      </c>
      <c r="K489" s="3" t="s">
        <v>88</v>
      </c>
      <c r="L489" s="2">
        <v>0.79097222222222219</v>
      </c>
      <c r="M489" t="s">
        <v>23</v>
      </c>
      <c r="N489" s="1">
        <v>148.6</v>
      </c>
      <c r="O489" s="1">
        <v>4.7619047620000003</v>
      </c>
      <c r="P489" s="1">
        <v>7.43</v>
      </c>
      <c r="Q489">
        <v>8.3000000000000007</v>
      </c>
      <c r="R489" s="13">
        <v>43547</v>
      </c>
      <c r="S489">
        <f t="shared" si="28"/>
        <v>3</v>
      </c>
      <c r="T489">
        <f t="shared" si="29"/>
        <v>18</v>
      </c>
      <c r="U489">
        <f t="shared" si="30"/>
        <v>23</v>
      </c>
      <c r="V489" s="13" t="str">
        <f t="shared" si="31"/>
        <v>Saturday</v>
      </c>
    </row>
    <row r="490" spans="1:22" x14ac:dyDescent="0.25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 s="1">
        <v>22.96</v>
      </c>
      <c r="H490">
        <v>1</v>
      </c>
      <c r="I490" s="1">
        <v>1.1479999999999999</v>
      </c>
      <c r="J490" s="1">
        <v>24.108000000000001</v>
      </c>
      <c r="K490" s="3" t="s">
        <v>241</v>
      </c>
      <c r="L490" s="2">
        <v>0.86597222222222225</v>
      </c>
      <c r="M490" t="s">
        <v>29</v>
      </c>
      <c r="N490" s="1">
        <v>22.96</v>
      </c>
      <c r="O490" s="1">
        <v>4.7619047620000003</v>
      </c>
      <c r="P490" s="1">
        <v>1.1479999999999999</v>
      </c>
      <c r="Q490">
        <v>4.3</v>
      </c>
      <c r="R490" s="13">
        <v>43495</v>
      </c>
      <c r="S490">
        <f t="shared" si="28"/>
        <v>1</v>
      </c>
      <c r="T490">
        <f t="shared" si="29"/>
        <v>20</v>
      </c>
      <c r="U490">
        <f t="shared" si="30"/>
        <v>30</v>
      </c>
      <c r="V490" s="13" t="str">
        <f t="shared" si="31"/>
        <v>Wednesday</v>
      </c>
    </row>
    <row r="491" spans="1:22" x14ac:dyDescent="0.25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 s="1">
        <v>77.680000000000007</v>
      </c>
      <c r="H491">
        <v>9</v>
      </c>
      <c r="I491" s="1">
        <v>34.956000000000003</v>
      </c>
      <c r="J491" s="1">
        <v>734.07600000000002</v>
      </c>
      <c r="K491" s="3">
        <v>43557</v>
      </c>
      <c r="L491" s="2">
        <v>0.55625000000000002</v>
      </c>
      <c r="M491" t="s">
        <v>23</v>
      </c>
      <c r="N491" s="1">
        <v>699.12</v>
      </c>
      <c r="O491" s="1">
        <v>4.7619047620000003</v>
      </c>
      <c r="P491" s="1">
        <v>34.956000000000003</v>
      </c>
      <c r="Q491">
        <v>9.8000000000000007</v>
      </c>
      <c r="R491" s="13">
        <v>43500</v>
      </c>
      <c r="S491">
        <f t="shared" si="28"/>
        <v>2</v>
      </c>
      <c r="T491">
        <f t="shared" si="29"/>
        <v>13</v>
      </c>
      <c r="U491">
        <f t="shared" si="30"/>
        <v>4</v>
      </c>
      <c r="V491" s="13" t="str">
        <f t="shared" si="31"/>
        <v>Monday</v>
      </c>
    </row>
    <row r="492" spans="1:22" x14ac:dyDescent="0.25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 s="1">
        <v>34.700000000000003</v>
      </c>
      <c r="H492">
        <v>2</v>
      </c>
      <c r="I492" s="1">
        <v>3.47</v>
      </c>
      <c r="J492" s="1">
        <v>72.87</v>
      </c>
      <c r="K492" s="3" t="s">
        <v>125</v>
      </c>
      <c r="L492" s="2">
        <v>0.82499999999999996</v>
      </c>
      <c r="M492" t="s">
        <v>23</v>
      </c>
      <c r="N492" s="1">
        <v>69.400000000000006</v>
      </c>
      <c r="O492" s="1">
        <v>4.7619047620000003</v>
      </c>
      <c r="P492" s="1">
        <v>3.47</v>
      </c>
      <c r="Q492">
        <v>8.1999999999999993</v>
      </c>
      <c r="R492" s="13">
        <v>43537</v>
      </c>
      <c r="S492">
        <f t="shared" si="28"/>
        <v>3</v>
      </c>
      <c r="T492">
        <f t="shared" si="29"/>
        <v>19</v>
      </c>
      <c r="U492">
        <f t="shared" si="30"/>
        <v>13</v>
      </c>
      <c r="V492" s="13" t="str">
        <f t="shared" si="31"/>
        <v>Wednesday</v>
      </c>
    </row>
    <row r="493" spans="1:22" x14ac:dyDescent="0.25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 s="1">
        <v>19.66</v>
      </c>
      <c r="H493">
        <v>10</v>
      </c>
      <c r="I493" s="1">
        <v>9.83</v>
      </c>
      <c r="J493" s="1">
        <v>206.43</v>
      </c>
      <c r="K493" s="3" t="s">
        <v>67</v>
      </c>
      <c r="L493" s="2">
        <v>0.76388888888888884</v>
      </c>
      <c r="M493" t="s">
        <v>33</v>
      </c>
      <c r="N493" s="1">
        <v>196.6</v>
      </c>
      <c r="O493" s="1">
        <v>4.7619047620000003</v>
      </c>
      <c r="P493" s="1">
        <v>9.83</v>
      </c>
      <c r="Q493">
        <v>7.2</v>
      </c>
      <c r="R493" s="13">
        <v>43539</v>
      </c>
      <c r="S493">
        <f t="shared" si="28"/>
        <v>3</v>
      </c>
      <c r="T493">
        <f t="shared" si="29"/>
        <v>18</v>
      </c>
      <c r="U493">
        <f t="shared" si="30"/>
        <v>15</v>
      </c>
      <c r="V493" s="13" t="str">
        <f t="shared" si="31"/>
        <v>Friday</v>
      </c>
    </row>
    <row r="494" spans="1:22" x14ac:dyDescent="0.25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 s="1">
        <v>25.32</v>
      </c>
      <c r="H494">
        <v>8</v>
      </c>
      <c r="I494" s="1">
        <v>10.128</v>
      </c>
      <c r="J494" s="1">
        <v>212.68799999999999</v>
      </c>
      <c r="K494" s="3">
        <v>43588</v>
      </c>
      <c r="L494" s="2">
        <v>0.85</v>
      </c>
      <c r="M494" t="s">
        <v>23</v>
      </c>
      <c r="N494" s="1">
        <v>202.56</v>
      </c>
      <c r="O494" s="1">
        <v>4.7619047620000003</v>
      </c>
      <c r="P494" s="1">
        <v>10.128</v>
      </c>
      <c r="Q494">
        <v>8.6999999999999993</v>
      </c>
      <c r="R494" s="13">
        <v>43529</v>
      </c>
      <c r="S494">
        <f t="shared" si="28"/>
        <v>3</v>
      </c>
      <c r="T494">
        <f t="shared" si="29"/>
        <v>20</v>
      </c>
      <c r="U494">
        <f t="shared" si="30"/>
        <v>5</v>
      </c>
      <c r="V494" s="13" t="str">
        <f t="shared" si="31"/>
        <v>Tuesday</v>
      </c>
    </row>
    <row r="495" spans="1:22" x14ac:dyDescent="0.25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 s="1">
        <v>12.12</v>
      </c>
      <c r="H495">
        <v>10</v>
      </c>
      <c r="I495" s="1">
        <v>6.06</v>
      </c>
      <c r="J495" s="1">
        <v>127.26</v>
      </c>
      <c r="K495" s="3">
        <v>43588</v>
      </c>
      <c r="L495" s="2">
        <v>0.57222222222222219</v>
      </c>
      <c r="M495" t="s">
        <v>33</v>
      </c>
      <c r="N495" s="1">
        <v>121.2</v>
      </c>
      <c r="O495" s="1">
        <v>4.7619047620000003</v>
      </c>
      <c r="P495" s="1">
        <v>6.06</v>
      </c>
      <c r="Q495">
        <v>8.4</v>
      </c>
      <c r="R495" s="13">
        <v>43529</v>
      </c>
      <c r="S495">
        <f t="shared" si="28"/>
        <v>3</v>
      </c>
      <c r="T495">
        <f t="shared" si="29"/>
        <v>13</v>
      </c>
      <c r="U495">
        <f t="shared" si="30"/>
        <v>5</v>
      </c>
      <c r="V495" s="13" t="str">
        <f t="shared" si="31"/>
        <v>Tuesday</v>
      </c>
    </row>
    <row r="496" spans="1:22" x14ac:dyDescent="0.25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 s="1">
        <v>99.89</v>
      </c>
      <c r="H496">
        <v>2</v>
      </c>
      <c r="I496" s="1">
        <v>9.9890000000000008</v>
      </c>
      <c r="J496" s="1">
        <v>209.76900000000001</v>
      </c>
      <c r="K496" s="3" t="s">
        <v>314</v>
      </c>
      <c r="L496" s="2">
        <v>0.49166666666666664</v>
      </c>
      <c r="M496" t="s">
        <v>23</v>
      </c>
      <c r="N496" s="1">
        <v>199.78</v>
      </c>
      <c r="O496" s="1">
        <v>4.7619047620000003</v>
      </c>
      <c r="P496" s="1">
        <v>9.9890000000000008</v>
      </c>
      <c r="Q496">
        <v>7.1</v>
      </c>
      <c r="R496" s="13">
        <v>43522</v>
      </c>
      <c r="S496">
        <f t="shared" si="28"/>
        <v>2</v>
      </c>
      <c r="T496">
        <f t="shared" si="29"/>
        <v>11</v>
      </c>
      <c r="U496">
        <f t="shared" si="30"/>
        <v>26</v>
      </c>
      <c r="V496" s="13" t="str">
        <f t="shared" si="31"/>
        <v>Tuesday</v>
      </c>
    </row>
    <row r="497" spans="1:22" x14ac:dyDescent="0.25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 s="1">
        <v>75.92</v>
      </c>
      <c r="H497">
        <v>8</v>
      </c>
      <c r="I497" s="1">
        <v>30.367999999999999</v>
      </c>
      <c r="J497" s="1">
        <v>637.72799999999995</v>
      </c>
      <c r="K497" s="3" t="s">
        <v>295</v>
      </c>
      <c r="L497" s="2">
        <v>0.59305555555555556</v>
      </c>
      <c r="M497" t="s">
        <v>29</v>
      </c>
      <c r="N497" s="1">
        <v>607.36</v>
      </c>
      <c r="O497" s="1">
        <v>4.7619047620000003</v>
      </c>
      <c r="P497" s="1">
        <v>30.367999999999999</v>
      </c>
      <c r="Q497">
        <v>5.5</v>
      </c>
      <c r="R497" s="13">
        <v>43544</v>
      </c>
      <c r="S497">
        <f t="shared" si="28"/>
        <v>3</v>
      </c>
      <c r="T497">
        <f t="shared" si="29"/>
        <v>14</v>
      </c>
      <c r="U497">
        <f t="shared" si="30"/>
        <v>20</v>
      </c>
      <c r="V497" s="13" t="str">
        <f t="shared" si="31"/>
        <v>Wednesday</v>
      </c>
    </row>
    <row r="498" spans="1:22" x14ac:dyDescent="0.25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 s="1">
        <v>63.22</v>
      </c>
      <c r="H498">
        <v>2</v>
      </c>
      <c r="I498" s="1">
        <v>6.3220000000000001</v>
      </c>
      <c r="J498" s="1">
        <v>132.762</v>
      </c>
      <c r="K498" s="3">
        <v>43466</v>
      </c>
      <c r="L498" s="2">
        <v>0.66041666666666665</v>
      </c>
      <c r="M498" t="s">
        <v>29</v>
      </c>
      <c r="N498" s="1">
        <v>126.44</v>
      </c>
      <c r="O498" s="1">
        <v>4.7619047620000003</v>
      </c>
      <c r="P498" s="1">
        <v>6.3220000000000001</v>
      </c>
      <c r="Q498">
        <v>8.5</v>
      </c>
      <c r="R498" s="13">
        <v>43466</v>
      </c>
      <c r="S498">
        <f t="shared" si="28"/>
        <v>1</v>
      </c>
      <c r="T498">
        <f t="shared" si="29"/>
        <v>15</v>
      </c>
      <c r="U498">
        <f t="shared" si="30"/>
        <v>1</v>
      </c>
      <c r="V498" s="13" t="str">
        <f t="shared" si="31"/>
        <v>Tuesday</v>
      </c>
    </row>
    <row r="499" spans="1:22" x14ac:dyDescent="0.25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 s="1">
        <v>90.24</v>
      </c>
      <c r="H499">
        <v>6</v>
      </c>
      <c r="I499" s="1">
        <v>27.071999999999999</v>
      </c>
      <c r="J499" s="1">
        <v>568.51199999999994</v>
      </c>
      <c r="K499" s="3" t="s">
        <v>35</v>
      </c>
      <c r="L499" s="2">
        <v>0.47013888888888888</v>
      </c>
      <c r="M499" t="s">
        <v>29</v>
      </c>
      <c r="N499" s="1">
        <v>541.44000000000005</v>
      </c>
      <c r="O499" s="1">
        <v>4.7619047620000003</v>
      </c>
      <c r="P499" s="1">
        <v>27.071999999999999</v>
      </c>
      <c r="Q499">
        <v>6.2</v>
      </c>
      <c r="R499" s="13">
        <v>43492</v>
      </c>
      <c r="S499">
        <f t="shared" si="28"/>
        <v>1</v>
      </c>
      <c r="T499">
        <f t="shared" si="29"/>
        <v>11</v>
      </c>
      <c r="U499">
        <f t="shared" si="30"/>
        <v>27</v>
      </c>
      <c r="V499" s="13" t="str">
        <f t="shared" si="31"/>
        <v>Sunday</v>
      </c>
    </row>
    <row r="500" spans="1:22" x14ac:dyDescent="0.25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 s="1">
        <v>98.13</v>
      </c>
      <c r="H500">
        <v>1</v>
      </c>
      <c r="I500" s="1">
        <v>4.9065000000000003</v>
      </c>
      <c r="J500" s="1">
        <v>103.0365</v>
      </c>
      <c r="K500" s="3" t="s">
        <v>62</v>
      </c>
      <c r="L500" s="2">
        <v>0.73333333333333328</v>
      </c>
      <c r="M500" t="s">
        <v>29</v>
      </c>
      <c r="N500" s="1">
        <v>98.13</v>
      </c>
      <c r="O500" s="1">
        <v>4.7619047620000003</v>
      </c>
      <c r="P500" s="1">
        <v>4.9065000000000003</v>
      </c>
      <c r="Q500">
        <v>8.9</v>
      </c>
      <c r="R500" s="13">
        <v>43486</v>
      </c>
      <c r="S500">
        <f t="shared" si="28"/>
        <v>1</v>
      </c>
      <c r="T500">
        <f t="shared" si="29"/>
        <v>17</v>
      </c>
      <c r="U500">
        <f t="shared" si="30"/>
        <v>21</v>
      </c>
      <c r="V500" s="13" t="str">
        <f t="shared" si="31"/>
        <v>Monday</v>
      </c>
    </row>
    <row r="501" spans="1:22" x14ac:dyDescent="0.25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 s="1">
        <v>51.52</v>
      </c>
      <c r="H501">
        <v>8</v>
      </c>
      <c r="I501" s="1">
        <v>20.608000000000001</v>
      </c>
      <c r="J501" s="1">
        <v>432.76799999999997</v>
      </c>
      <c r="K501" s="3">
        <v>43498</v>
      </c>
      <c r="L501" s="2">
        <v>0.65763888888888888</v>
      </c>
      <c r="M501" t="s">
        <v>29</v>
      </c>
      <c r="N501" s="1">
        <v>412.16</v>
      </c>
      <c r="O501" s="1">
        <v>4.7619047620000003</v>
      </c>
      <c r="P501" s="1">
        <v>20.608000000000001</v>
      </c>
      <c r="Q501">
        <v>9.6</v>
      </c>
      <c r="R501" s="13">
        <v>43498</v>
      </c>
      <c r="S501">
        <f t="shared" si="28"/>
        <v>2</v>
      </c>
      <c r="T501">
        <f t="shared" si="29"/>
        <v>15</v>
      </c>
      <c r="U501">
        <f t="shared" si="30"/>
        <v>2</v>
      </c>
      <c r="V501" s="13" t="str">
        <f t="shared" si="31"/>
        <v>Saturday</v>
      </c>
    </row>
    <row r="502" spans="1:22" x14ac:dyDescent="0.25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 s="1">
        <v>73.97</v>
      </c>
      <c r="H502">
        <v>1</v>
      </c>
      <c r="I502" s="1">
        <v>3.6985000000000001</v>
      </c>
      <c r="J502" s="1">
        <v>77.668499999999995</v>
      </c>
      <c r="K502" s="3">
        <v>43526</v>
      </c>
      <c r="L502" s="2">
        <v>0.66180555555555554</v>
      </c>
      <c r="M502" t="s">
        <v>33</v>
      </c>
      <c r="N502" s="1">
        <v>73.97</v>
      </c>
      <c r="O502" s="1">
        <v>4.7619047620000003</v>
      </c>
      <c r="P502" s="1">
        <v>3.6985000000000001</v>
      </c>
      <c r="Q502">
        <v>5.4</v>
      </c>
      <c r="R502" s="13">
        <v>43499</v>
      </c>
      <c r="S502">
        <f t="shared" si="28"/>
        <v>2</v>
      </c>
      <c r="T502">
        <f t="shared" si="29"/>
        <v>15</v>
      </c>
      <c r="U502">
        <f t="shared" si="30"/>
        <v>3</v>
      </c>
      <c r="V502" s="13" t="str">
        <f t="shared" si="31"/>
        <v>Sunday</v>
      </c>
    </row>
    <row r="503" spans="1:22" x14ac:dyDescent="0.25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 s="1">
        <v>31.9</v>
      </c>
      <c r="H503">
        <v>1</v>
      </c>
      <c r="I503" s="1">
        <v>1.595</v>
      </c>
      <c r="J503" s="1">
        <v>33.494999999999997</v>
      </c>
      <c r="K503" s="3">
        <v>43586</v>
      </c>
      <c r="L503" s="2">
        <v>0.52777777777777779</v>
      </c>
      <c r="M503" t="s">
        <v>23</v>
      </c>
      <c r="N503" s="1">
        <v>31.9</v>
      </c>
      <c r="O503" s="1">
        <v>4.7619047620000003</v>
      </c>
      <c r="P503" s="1">
        <v>1.595</v>
      </c>
      <c r="Q503">
        <v>9.1</v>
      </c>
      <c r="R503" s="13">
        <v>43470</v>
      </c>
      <c r="S503">
        <f t="shared" si="28"/>
        <v>1</v>
      </c>
      <c r="T503">
        <f t="shared" si="29"/>
        <v>12</v>
      </c>
      <c r="U503">
        <f t="shared" si="30"/>
        <v>5</v>
      </c>
      <c r="V503" s="13" t="str">
        <f t="shared" si="31"/>
        <v>Saturday</v>
      </c>
    </row>
    <row r="504" spans="1:22" x14ac:dyDescent="0.25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 s="1">
        <v>69.400000000000006</v>
      </c>
      <c r="H504">
        <v>2</v>
      </c>
      <c r="I504" s="1">
        <v>6.94</v>
      </c>
      <c r="J504" s="1">
        <v>145.74</v>
      </c>
      <c r="K504" s="3" t="s">
        <v>35</v>
      </c>
      <c r="L504" s="2">
        <v>0.82499999999999996</v>
      </c>
      <c r="M504" t="s">
        <v>23</v>
      </c>
      <c r="N504" s="1">
        <v>138.80000000000001</v>
      </c>
      <c r="O504" s="1">
        <v>4.7619047620000003</v>
      </c>
      <c r="P504" s="1">
        <v>6.94</v>
      </c>
      <c r="Q504">
        <v>9</v>
      </c>
      <c r="R504" s="13">
        <v>43492</v>
      </c>
      <c r="S504">
        <f t="shared" si="28"/>
        <v>1</v>
      </c>
      <c r="T504">
        <f t="shared" si="29"/>
        <v>19</v>
      </c>
      <c r="U504">
        <f t="shared" si="30"/>
        <v>27</v>
      </c>
      <c r="V504" s="13" t="str">
        <f t="shared" si="31"/>
        <v>Sunday</v>
      </c>
    </row>
    <row r="505" spans="1:22" x14ac:dyDescent="0.25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 s="1">
        <v>93.31</v>
      </c>
      <c r="H505">
        <v>2</v>
      </c>
      <c r="I505" s="1">
        <v>9.3309999999999995</v>
      </c>
      <c r="J505" s="1">
        <v>195.95099999999999</v>
      </c>
      <c r="K505" s="3" t="s">
        <v>39</v>
      </c>
      <c r="L505" s="2">
        <v>0.74513888888888891</v>
      </c>
      <c r="M505" t="s">
        <v>29</v>
      </c>
      <c r="N505" s="1">
        <v>186.62</v>
      </c>
      <c r="O505" s="1">
        <v>4.7619047620000003</v>
      </c>
      <c r="P505" s="1">
        <v>9.3309999999999995</v>
      </c>
      <c r="Q505">
        <v>6.3</v>
      </c>
      <c r="R505" s="13">
        <v>43549</v>
      </c>
      <c r="S505">
        <f t="shared" si="28"/>
        <v>3</v>
      </c>
      <c r="T505">
        <f t="shared" si="29"/>
        <v>17</v>
      </c>
      <c r="U505">
        <f t="shared" si="30"/>
        <v>25</v>
      </c>
      <c r="V505" s="13" t="str">
        <f t="shared" si="31"/>
        <v>Monday</v>
      </c>
    </row>
    <row r="506" spans="1:22" x14ac:dyDescent="0.25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 s="1">
        <v>88.45</v>
      </c>
      <c r="H506">
        <v>1</v>
      </c>
      <c r="I506" s="1">
        <v>4.4225000000000003</v>
      </c>
      <c r="J506" s="1">
        <v>92.872500000000002</v>
      </c>
      <c r="K506" s="3" t="s">
        <v>41</v>
      </c>
      <c r="L506" s="2">
        <v>0.69166666666666665</v>
      </c>
      <c r="M506" t="s">
        <v>33</v>
      </c>
      <c r="N506" s="1">
        <v>88.45</v>
      </c>
      <c r="O506" s="1">
        <v>4.7619047620000003</v>
      </c>
      <c r="P506" s="1">
        <v>4.4225000000000003</v>
      </c>
      <c r="Q506">
        <v>9.5</v>
      </c>
      <c r="R506" s="13">
        <v>43521</v>
      </c>
      <c r="S506">
        <f t="shared" si="28"/>
        <v>2</v>
      </c>
      <c r="T506">
        <f t="shared" si="29"/>
        <v>16</v>
      </c>
      <c r="U506">
        <f t="shared" si="30"/>
        <v>25</v>
      </c>
      <c r="V506" s="13" t="str">
        <f t="shared" si="31"/>
        <v>Monday</v>
      </c>
    </row>
    <row r="507" spans="1:22" x14ac:dyDescent="0.25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 s="1">
        <v>24.18</v>
      </c>
      <c r="H507">
        <v>8</v>
      </c>
      <c r="I507" s="1">
        <v>9.6720000000000006</v>
      </c>
      <c r="J507" s="1">
        <v>203.11199999999999</v>
      </c>
      <c r="K507" s="3" t="s">
        <v>80</v>
      </c>
      <c r="L507" s="2">
        <v>0.87083333333333335</v>
      </c>
      <c r="M507" t="s">
        <v>23</v>
      </c>
      <c r="N507" s="1">
        <v>193.44</v>
      </c>
      <c r="O507" s="1">
        <v>4.7619047620000003</v>
      </c>
      <c r="P507" s="1">
        <v>9.6720000000000006</v>
      </c>
      <c r="Q507">
        <v>9.8000000000000007</v>
      </c>
      <c r="R507" s="13">
        <v>43493</v>
      </c>
      <c r="S507">
        <f t="shared" si="28"/>
        <v>1</v>
      </c>
      <c r="T507">
        <f t="shared" si="29"/>
        <v>20</v>
      </c>
      <c r="U507">
        <f t="shared" si="30"/>
        <v>28</v>
      </c>
      <c r="V507" s="13" t="str">
        <f t="shared" si="31"/>
        <v>Monday</v>
      </c>
    </row>
    <row r="508" spans="1:22" x14ac:dyDescent="0.25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 s="1">
        <v>48.5</v>
      </c>
      <c r="H508">
        <v>3</v>
      </c>
      <c r="I508" s="1">
        <v>7.2750000000000004</v>
      </c>
      <c r="J508" s="1">
        <v>152.77500000000001</v>
      </c>
      <c r="K508" s="3">
        <v>43678</v>
      </c>
      <c r="L508" s="2">
        <v>0.53472222222222221</v>
      </c>
      <c r="M508" t="s">
        <v>29</v>
      </c>
      <c r="N508" s="1">
        <v>145.5</v>
      </c>
      <c r="O508" s="1">
        <v>4.7619047620000003</v>
      </c>
      <c r="P508" s="1">
        <v>7.2750000000000004</v>
      </c>
      <c r="Q508">
        <v>6.7</v>
      </c>
      <c r="R508" s="13">
        <v>43473</v>
      </c>
      <c r="S508">
        <f t="shared" si="28"/>
        <v>1</v>
      </c>
      <c r="T508">
        <f t="shared" si="29"/>
        <v>12</v>
      </c>
      <c r="U508">
        <f t="shared" si="30"/>
        <v>8</v>
      </c>
      <c r="V508" s="13" t="str">
        <f t="shared" si="31"/>
        <v>Tuesday</v>
      </c>
    </row>
    <row r="509" spans="1:22" x14ac:dyDescent="0.25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 s="1">
        <v>84.05</v>
      </c>
      <c r="H509">
        <v>6</v>
      </c>
      <c r="I509" s="1">
        <v>25.215</v>
      </c>
      <c r="J509" s="1">
        <v>529.51499999999999</v>
      </c>
      <c r="K509" s="3" t="s">
        <v>228</v>
      </c>
      <c r="L509" s="2">
        <v>0.45</v>
      </c>
      <c r="M509" t="s">
        <v>33</v>
      </c>
      <c r="N509" s="1">
        <v>504.3</v>
      </c>
      <c r="O509" s="1">
        <v>4.7619047620000003</v>
      </c>
      <c r="P509" s="1">
        <v>25.215</v>
      </c>
      <c r="Q509">
        <v>7.7</v>
      </c>
      <c r="R509" s="13">
        <v>43494</v>
      </c>
      <c r="S509">
        <f t="shared" si="28"/>
        <v>1</v>
      </c>
      <c r="T509">
        <f t="shared" si="29"/>
        <v>10</v>
      </c>
      <c r="U509">
        <f t="shared" si="30"/>
        <v>29</v>
      </c>
      <c r="V509" s="13" t="str">
        <f t="shared" si="31"/>
        <v>Tuesday</v>
      </c>
    </row>
    <row r="510" spans="1:22" x14ac:dyDescent="0.25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 s="1">
        <v>61.29</v>
      </c>
      <c r="H510">
        <v>5</v>
      </c>
      <c r="I510" s="1">
        <v>15.3225</v>
      </c>
      <c r="J510" s="1">
        <v>321.77249999999998</v>
      </c>
      <c r="K510" s="3" t="s">
        <v>56</v>
      </c>
      <c r="L510" s="2">
        <v>0.60277777777777775</v>
      </c>
      <c r="M510" t="s">
        <v>29</v>
      </c>
      <c r="N510" s="1">
        <v>306.45</v>
      </c>
      <c r="O510" s="1">
        <v>4.7619047620000003</v>
      </c>
      <c r="P510" s="1">
        <v>15.3225</v>
      </c>
      <c r="Q510">
        <v>7</v>
      </c>
      <c r="R510" s="13">
        <v>43553</v>
      </c>
      <c r="S510">
        <f t="shared" si="28"/>
        <v>3</v>
      </c>
      <c r="T510">
        <f t="shared" si="29"/>
        <v>14</v>
      </c>
      <c r="U510">
        <f t="shared" si="30"/>
        <v>29</v>
      </c>
      <c r="V510" s="13" t="str">
        <f t="shared" si="31"/>
        <v>Friday</v>
      </c>
    </row>
    <row r="511" spans="1:22" x14ac:dyDescent="0.25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 s="1">
        <v>15.95</v>
      </c>
      <c r="H511">
        <v>6</v>
      </c>
      <c r="I511" s="1">
        <v>4.7850000000000001</v>
      </c>
      <c r="J511" s="1">
        <v>100.485</v>
      </c>
      <c r="K511" s="3">
        <v>43710</v>
      </c>
      <c r="L511" s="2">
        <v>0.71875</v>
      </c>
      <c r="M511" t="s">
        <v>33</v>
      </c>
      <c r="N511" s="1">
        <v>95.7</v>
      </c>
      <c r="O511" s="1">
        <v>4.7619047620000003</v>
      </c>
      <c r="P511" s="1">
        <v>4.7850000000000001</v>
      </c>
      <c r="Q511">
        <v>5.0999999999999996</v>
      </c>
      <c r="R511" s="13">
        <v>43505</v>
      </c>
      <c r="S511">
        <f t="shared" si="28"/>
        <v>2</v>
      </c>
      <c r="T511">
        <f t="shared" si="29"/>
        <v>17</v>
      </c>
      <c r="U511">
        <f t="shared" si="30"/>
        <v>9</v>
      </c>
      <c r="V511" s="13" t="str">
        <f t="shared" si="31"/>
        <v>Saturday</v>
      </c>
    </row>
    <row r="512" spans="1:22" x14ac:dyDescent="0.25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 s="1">
        <v>90.74</v>
      </c>
      <c r="H512">
        <v>7</v>
      </c>
      <c r="I512" s="1">
        <v>31.759</v>
      </c>
      <c r="J512" s="1">
        <v>666.93899999999996</v>
      </c>
      <c r="K512" s="3" t="s">
        <v>188</v>
      </c>
      <c r="L512" s="2">
        <v>0.75208333333333333</v>
      </c>
      <c r="M512" t="s">
        <v>33</v>
      </c>
      <c r="N512" s="1">
        <v>635.17999999999995</v>
      </c>
      <c r="O512" s="1">
        <v>4.7619047620000003</v>
      </c>
      <c r="P512" s="1">
        <v>31.759</v>
      </c>
      <c r="Q512">
        <v>6.2</v>
      </c>
      <c r="R512" s="13">
        <v>43481</v>
      </c>
      <c r="S512">
        <f t="shared" si="28"/>
        <v>1</v>
      </c>
      <c r="T512">
        <f t="shared" si="29"/>
        <v>18</v>
      </c>
      <c r="U512">
        <f t="shared" si="30"/>
        <v>16</v>
      </c>
      <c r="V512" s="13" t="str">
        <f t="shared" si="31"/>
        <v>Wednesday</v>
      </c>
    </row>
    <row r="513" spans="1:22" x14ac:dyDescent="0.25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 s="1">
        <v>42.91</v>
      </c>
      <c r="H513">
        <v>5</v>
      </c>
      <c r="I513" s="1">
        <v>10.727499999999999</v>
      </c>
      <c r="J513" s="1">
        <v>225.2775</v>
      </c>
      <c r="K513" s="3">
        <v>43586</v>
      </c>
      <c r="L513" s="2">
        <v>0.72847222222222219</v>
      </c>
      <c r="M513" t="s">
        <v>23</v>
      </c>
      <c r="N513" s="1">
        <v>214.55</v>
      </c>
      <c r="O513" s="1">
        <v>4.7619047620000003</v>
      </c>
      <c r="P513" s="1">
        <v>10.727499999999999</v>
      </c>
      <c r="Q513">
        <v>6.1</v>
      </c>
      <c r="R513" s="13">
        <v>43470</v>
      </c>
      <c r="S513">
        <f t="shared" si="28"/>
        <v>1</v>
      </c>
      <c r="T513">
        <f t="shared" si="29"/>
        <v>17</v>
      </c>
      <c r="U513">
        <f t="shared" si="30"/>
        <v>5</v>
      </c>
      <c r="V513" s="13" t="str">
        <f t="shared" si="31"/>
        <v>Saturday</v>
      </c>
    </row>
    <row r="514" spans="1:22" x14ac:dyDescent="0.25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 s="1">
        <v>54.28</v>
      </c>
      <c r="H514">
        <v>7</v>
      </c>
      <c r="I514" s="1">
        <v>18.998000000000001</v>
      </c>
      <c r="J514" s="1">
        <v>398.95800000000003</v>
      </c>
      <c r="K514" s="3" t="s">
        <v>35</v>
      </c>
      <c r="L514" s="2">
        <v>0.75347222222222221</v>
      </c>
      <c r="M514" t="s">
        <v>23</v>
      </c>
      <c r="N514" s="1">
        <v>379.96</v>
      </c>
      <c r="O514" s="1">
        <v>4.7619047620000003</v>
      </c>
      <c r="P514" s="1">
        <v>18.998000000000001</v>
      </c>
      <c r="Q514">
        <v>9.3000000000000007</v>
      </c>
      <c r="R514" s="13">
        <v>43492</v>
      </c>
      <c r="S514">
        <f t="shared" si="28"/>
        <v>1</v>
      </c>
      <c r="T514">
        <f t="shared" si="29"/>
        <v>18</v>
      </c>
      <c r="U514">
        <f t="shared" si="30"/>
        <v>27</v>
      </c>
      <c r="V514" s="13" t="str">
        <f t="shared" si="31"/>
        <v>Sunday</v>
      </c>
    </row>
    <row r="515" spans="1:22" x14ac:dyDescent="0.25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 s="1">
        <v>99.55</v>
      </c>
      <c r="H515">
        <v>7</v>
      </c>
      <c r="I515" s="1">
        <v>34.842500000000001</v>
      </c>
      <c r="J515" s="1">
        <v>731.6925</v>
      </c>
      <c r="K515" s="3" t="s">
        <v>354</v>
      </c>
      <c r="L515" s="2">
        <v>0.50486111111111109</v>
      </c>
      <c r="M515" t="s">
        <v>29</v>
      </c>
      <c r="N515" s="1">
        <v>696.85</v>
      </c>
      <c r="O515" s="1">
        <v>4.7619047620000003</v>
      </c>
      <c r="P515" s="1">
        <v>34.842500000000001</v>
      </c>
      <c r="Q515">
        <v>7.6</v>
      </c>
      <c r="R515" s="13">
        <v>43538</v>
      </c>
      <c r="S515">
        <f t="shared" ref="S515:S578" si="32">MONTH(R515)</f>
        <v>3</v>
      </c>
      <c r="T515">
        <f t="shared" ref="T515:T578" si="33">HOUR(L515)</f>
        <v>12</v>
      </c>
      <c r="U515">
        <f t="shared" ref="U515:U578" si="34">DAY(R515)</f>
        <v>14</v>
      </c>
      <c r="V515" s="13" t="str">
        <f t="shared" ref="V515:V578" si="35">TEXT(R515,"DDDD")</f>
        <v>Thursday</v>
      </c>
    </row>
    <row r="516" spans="1:22" x14ac:dyDescent="0.25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 s="1">
        <v>58.39</v>
      </c>
      <c r="H516">
        <v>7</v>
      </c>
      <c r="I516" s="1">
        <v>20.436499999999999</v>
      </c>
      <c r="J516" s="1">
        <v>429.16649999999998</v>
      </c>
      <c r="K516" s="3" t="s">
        <v>149</v>
      </c>
      <c r="L516" s="2">
        <v>0.8256944444444444</v>
      </c>
      <c r="M516" t="s">
        <v>33</v>
      </c>
      <c r="N516" s="1">
        <v>408.73</v>
      </c>
      <c r="O516" s="1">
        <v>4.7619047620000003</v>
      </c>
      <c r="P516" s="1">
        <v>20.436499999999999</v>
      </c>
      <c r="Q516">
        <v>8.1999999999999993</v>
      </c>
      <c r="R516" s="13">
        <v>43519</v>
      </c>
      <c r="S516">
        <f t="shared" si="32"/>
        <v>2</v>
      </c>
      <c r="T516">
        <f t="shared" si="33"/>
        <v>19</v>
      </c>
      <c r="U516">
        <f t="shared" si="34"/>
        <v>23</v>
      </c>
      <c r="V516" s="13" t="str">
        <f t="shared" si="35"/>
        <v>Saturday</v>
      </c>
    </row>
    <row r="517" spans="1:22" x14ac:dyDescent="0.25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 s="1">
        <v>51.47</v>
      </c>
      <c r="H517">
        <v>1</v>
      </c>
      <c r="I517" s="1">
        <v>2.5735000000000001</v>
      </c>
      <c r="J517" s="1">
        <v>54.043500000000002</v>
      </c>
      <c r="K517" s="3" t="s">
        <v>289</v>
      </c>
      <c r="L517" s="2">
        <v>0.66111111111111109</v>
      </c>
      <c r="M517" t="s">
        <v>23</v>
      </c>
      <c r="N517" s="1">
        <v>51.47</v>
      </c>
      <c r="O517" s="1">
        <v>4.7619047620000003</v>
      </c>
      <c r="P517" s="1">
        <v>2.5735000000000001</v>
      </c>
      <c r="Q517">
        <v>8.5</v>
      </c>
      <c r="R517" s="13">
        <v>43542</v>
      </c>
      <c r="S517">
        <f t="shared" si="32"/>
        <v>3</v>
      </c>
      <c r="T517">
        <f t="shared" si="33"/>
        <v>15</v>
      </c>
      <c r="U517">
        <f t="shared" si="34"/>
        <v>18</v>
      </c>
      <c r="V517" s="13" t="str">
        <f t="shared" si="35"/>
        <v>Monday</v>
      </c>
    </row>
    <row r="518" spans="1:22" x14ac:dyDescent="0.25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 s="1">
        <v>54.86</v>
      </c>
      <c r="H518">
        <v>5</v>
      </c>
      <c r="I518" s="1">
        <v>13.715</v>
      </c>
      <c r="J518" s="1">
        <v>288.01499999999999</v>
      </c>
      <c r="K518" s="3" t="s">
        <v>56</v>
      </c>
      <c r="L518" s="2">
        <v>0.7</v>
      </c>
      <c r="M518" t="s">
        <v>23</v>
      </c>
      <c r="N518" s="1">
        <v>274.3</v>
      </c>
      <c r="O518" s="1">
        <v>4.7619047620000003</v>
      </c>
      <c r="P518" s="1">
        <v>13.715</v>
      </c>
      <c r="Q518">
        <v>9.8000000000000007</v>
      </c>
      <c r="R518" s="13">
        <v>43553</v>
      </c>
      <c r="S518">
        <f t="shared" si="32"/>
        <v>3</v>
      </c>
      <c r="T518">
        <f t="shared" si="33"/>
        <v>16</v>
      </c>
      <c r="U518">
        <f t="shared" si="34"/>
        <v>29</v>
      </c>
      <c r="V518" s="13" t="str">
        <f t="shared" si="35"/>
        <v>Friday</v>
      </c>
    </row>
    <row r="519" spans="1:22" x14ac:dyDescent="0.25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 s="1">
        <v>39.39</v>
      </c>
      <c r="H519">
        <v>5</v>
      </c>
      <c r="I519" s="1">
        <v>9.8475000000000001</v>
      </c>
      <c r="J519" s="1">
        <v>206.79750000000001</v>
      </c>
      <c r="K519" s="3" t="s">
        <v>136</v>
      </c>
      <c r="L519" s="2">
        <v>0.86527777777777781</v>
      </c>
      <c r="M519" t="s">
        <v>33</v>
      </c>
      <c r="N519" s="1">
        <v>196.95</v>
      </c>
      <c r="O519" s="1">
        <v>4.7619047620000003</v>
      </c>
      <c r="P519" s="1">
        <v>9.8475000000000001</v>
      </c>
      <c r="Q519">
        <v>8.6999999999999993</v>
      </c>
      <c r="R519" s="13">
        <v>43487</v>
      </c>
      <c r="S519">
        <f t="shared" si="32"/>
        <v>1</v>
      </c>
      <c r="T519">
        <f t="shared" si="33"/>
        <v>20</v>
      </c>
      <c r="U519">
        <f t="shared" si="34"/>
        <v>22</v>
      </c>
      <c r="V519" s="13" t="str">
        <f t="shared" si="35"/>
        <v>Tuesday</v>
      </c>
    </row>
    <row r="520" spans="1:22" x14ac:dyDescent="0.25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 s="1">
        <v>34.729999999999997</v>
      </c>
      <c r="H520">
        <v>2</v>
      </c>
      <c r="I520" s="1">
        <v>3.4729999999999999</v>
      </c>
      <c r="J520" s="1">
        <v>72.933000000000007</v>
      </c>
      <c r="K520" s="3">
        <v>43468</v>
      </c>
      <c r="L520" s="2">
        <v>0.75972222222222219</v>
      </c>
      <c r="M520" t="s">
        <v>23</v>
      </c>
      <c r="N520" s="1">
        <v>69.459999999999994</v>
      </c>
      <c r="O520" s="1">
        <v>4.7619047620000003</v>
      </c>
      <c r="P520" s="1">
        <v>3.4729999999999999</v>
      </c>
      <c r="Q520">
        <v>9.6999999999999993</v>
      </c>
      <c r="R520" s="13">
        <v>43525</v>
      </c>
      <c r="S520">
        <f t="shared" si="32"/>
        <v>3</v>
      </c>
      <c r="T520">
        <f t="shared" si="33"/>
        <v>18</v>
      </c>
      <c r="U520">
        <f t="shared" si="34"/>
        <v>1</v>
      </c>
      <c r="V520" s="13" t="str">
        <f t="shared" si="35"/>
        <v>Friday</v>
      </c>
    </row>
    <row r="521" spans="1:22" x14ac:dyDescent="0.25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 s="1">
        <v>71.92</v>
      </c>
      <c r="H521">
        <v>5</v>
      </c>
      <c r="I521" s="1">
        <v>17.98</v>
      </c>
      <c r="J521" s="1">
        <v>377.58</v>
      </c>
      <c r="K521" s="3" t="s">
        <v>91</v>
      </c>
      <c r="L521" s="2">
        <v>0.62847222222222221</v>
      </c>
      <c r="M521" t="s">
        <v>33</v>
      </c>
      <c r="N521" s="1">
        <v>359.6</v>
      </c>
      <c r="O521" s="1">
        <v>4.7619047620000003</v>
      </c>
      <c r="P521" s="1">
        <v>17.98</v>
      </c>
      <c r="Q521">
        <v>4.3</v>
      </c>
      <c r="R521" s="13">
        <v>43482</v>
      </c>
      <c r="S521">
        <f t="shared" si="32"/>
        <v>1</v>
      </c>
      <c r="T521">
        <f t="shared" si="33"/>
        <v>15</v>
      </c>
      <c r="U521">
        <f t="shared" si="34"/>
        <v>17</v>
      </c>
      <c r="V521" s="13" t="str">
        <f t="shared" si="35"/>
        <v>Thursday</v>
      </c>
    </row>
    <row r="522" spans="1:22" x14ac:dyDescent="0.25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 s="1">
        <v>45.71</v>
      </c>
      <c r="H522">
        <v>3</v>
      </c>
      <c r="I522" s="1">
        <v>6.8564999999999996</v>
      </c>
      <c r="J522" s="1">
        <v>143.98650000000001</v>
      </c>
      <c r="K522" s="3" t="s">
        <v>167</v>
      </c>
      <c r="L522" s="2">
        <v>0.44027777777777777</v>
      </c>
      <c r="M522" t="s">
        <v>33</v>
      </c>
      <c r="N522" s="1">
        <v>137.13</v>
      </c>
      <c r="O522" s="1">
        <v>4.7619047620000003</v>
      </c>
      <c r="P522" s="1">
        <v>6.8564999999999996</v>
      </c>
      <c r="Q522">
        <v>7.7</v>
      </c>
      <c r="R522" s="13">
        <v>43550</v>
      </c>
      <c r="S522">
        <f t="shared" si="32"/>
        <v>3</v>
      </c>
      <c r="T522">
        <f t="shared" si="33"/>
        <v>10</v>
      </c>
      <c r="U522">
        <f t="shared" si="34"/>
        <v>26</v>
      </c>
      <c r="V522" s="13" t="str">
        <f t="shared" si="35"/>
        <v>Tuesday</v>
      </c>
    </row>
    <row r="523" spans="1:22" x14ac:dyDescent="0.25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 s="1">
        <v>83.17</v>
      </c>
      <c r="H523">
        <v>6</v>
      </c>
      <c r="I523" s="1">
        <v>24.951000000000001</v>
      </c>
      <c r="J523" s="1">
        <v>523.971</v>
      </c>
      <c r="K523" s="3" t="s">
        <v>295</v>
      </c>
      <c r="L523" s="2">
        <v>0.47430555555555554</v>
      </c>
      <c r="M523" t="s">
        <v>29</v>
      </c>
      <c r="N523" s="1">
        <v>499.02</v>
      </c>
      <c r="O523" s="1">
        <v>4.7619047620000003</v>
      </c>
      <c r="P523" s="1">
        <v>24.951000000000001</v>
      </c>
      <c r="Q523">
        <v>7.3</v>
      </c>
      <c r="R523" s="13">
        <v>43544</v>
      </c>
      <c r="S523">
        <f t="shared" si="32"/>
        <v>3</v>
      </c>
      <c r="T523">
        <f t="shared" si="33"/>
        <v>11</v>
      </c>
      <c r="U523">
        <f t="shared" si="34"/>
        <v>20</v>
      </c>
      <c r="V523" s="13" t="str">
        <f t="shared" si="35"/>
        <v>Wednesday</v>
      </c>
    </row>
    <row r="524" spans="1:22" x14ac:dyDescent="0.25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 s="1">
        <v>37.44</v>
      </c>
      <c r="H524">
        <v>6</v>
      </c>
      <c r="I524" s="1">
        <v>11.231999999999999</v>
      </c>
      <c r="J524" s="1">
        <v>235.87200000000001</v>
      </c>
      <c r="K524" s="3">
        <v>43618</v>
      </c>
      <c r="L524" s="2">
        <v>0.57986111111111116</v>
      </c>
      <c r="M524" t="s">
        <v>33</v>
      </c>
      <c r="N524" s="1">
        <v>224.64</v>
      </c>
      <c r="O524" s="1">
        <v>4.7619047620000003</v>
      </c>
      <c r="P524" s="1">
        <v>11.231999999999999</v>
      </c>
      <c r="Q524">
        <v>5.9</v>
      </c>
      <c r="R524" s="13">
        <v>43502</v>
      </c>
      <c r="S524">
        <f t="shared" si="32"/>
        <v>2</v>
      </c>
      <c r="T524">
        <f t="shared" si="33"/>
        <v>13</v>
      </c>
      <c r="U524">
        <f t="shared" si="34"/>
        <v>6</v>
      </c>
      <c r="V524" s="13" t="str">
        <f t="shared" si="35"/>
        <v>Wednesday</v>
      </c>
    </row>
    <row r="525" spans="1:22" x14ac:dyDescent="0.25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 s="1">
        <v>62.87</v>
      </c>
      <c r="H525">
        <v>2</v>
      </c>
      <c r="I525" s="1">
        <v>6.2869999999999999</v>
      </c>
      <c r="J525" s="1">
        <v>132.02699999999999</v>
      </c>
      <c r="K525" s="3">
        <v>43466</v>
      </c>
      <c r="L525" s="2">
        <v>0.48819444444444443</v>
      </c>
      <c r="M525" t="s">
        <v>29</v>
      </c>
      <c r="N525" s="1">
        <v>125.74</v>
      </c>
      <c r="O525" s="1">
        <v>4.7619047620000003</v>
      </c>
      <c r="P525" s="1">
        <v>6.2869999999999999</v>
      </c>
      <c r="Q525">
        <v>5</v>
      </c>
      <c r="R525" s="13">
        <v>43466</v>
      </c>
      <c r="S525">
        <f t="shared" si="32"/>
        <v>1</v>
      </c>
      <c r="T525">
        <f t="shared" si="33"/>
        <v>11</v>
      </c>
      <c r="U525">
        <f t="shared" si="34"/>
        <v>1</v>
      </c>
      <c r="V525" s="13" t="str">
        <f t="shared" si="35"/>
        <v>Tuesday</v>
      </c>
    </row>
    <row r="526" spans="1:22" x14ac:dyDescent="0.25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 s="1">
        <v>81.709999999999994</v>
      </c>
      <c r="H526">
        <v>6</v>
      </c>
      <c r="I526" s="1">
        <v>24.513000000000002</v>
      </c>
      <c r="J526" s="1">
        <v>514.77300000000002</v>
      </c>
      <c r="K526" s="3" t="s">
        <v>35</v>
      </c>
      <c r="L526" s="2">
        <v>0.60833333333333328</v>
      </c>
      <c r="M526" t="s">
        <v>33</v>
      </c>
      <c r="N526" s="1">
        <v>490.26</v>
      </c>
      <c r="O526" s="1">
        <v>4.7619047620000003</v>
      </c>
      <c r="P526" s="1">
        <v>24.513000000000002</v>
      </c>
      <c r="Q526">
        <v>8</v>
      </c>
      <c r="R526" s="13">
        <v>43492</v>
      </c>
      <c r="S526">
        <f t="shared" si="32"/>
        <v>1</v>
      </c>
      <c r="T526">
        <f t="shared" si="33"/>
        <v>14</v>
      </c>
      <c r="U526">
        <f t="shared" si="34"/>
        <v>27</v>
      </c>
      <c r="V526" s="13" t="str">
        <f t="shared" si="35"/>
        <v>Sunday</v>
      </c>
    </row>
    <row r="527" spans="1:22" x14ac:dyDescent="0.25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 s="1">
        <v>91.41</v>
      </c>
      <c r="H527">
        <v>5</v>
      </c>
      <c r="I527" s="1">
        <v>22.852499999999999</v>
      </c>
      <c r="J527" s="1">
        <v>479.90249999999997</v>
      </c>
      <c r="K527" s="3" t="s">
        <v>41</v>
      </c>
      <c r="L527" s="2">
        <v>0.66874999999999996</v>
      </c>
      <c r="M527" t="s">
        <v>23</v>
      </c>
      <c r="N527" s="1">
        <v>457.05</v>
      </c>
      <c r="O527" s="1">
        <v>4.7619047620000003</v>
      </c>
      <c r="P527" s="1">
        <v>22.852499999999999</v>
      </c>
      <c r="Q527">
        <v>7.1</v>
      </c>
      <c r="R527" s="13">
        <v>43521</v>
      </c>
      <c r="S527">
        <f t="shared" si="32"/>
        <v>2</v>
      </c>
      <c r="T527">
        <f t="shared" si="33"/>
        <v>16</v>
      </c>
      <c r="U527">
        <f t="shared" si="34"/>
        <v>25</v>
      </c>
      <c r="V527" s="13" t="str">
        <f t="shared" si="35"/>
        <v>Monday</v>
      </c>
    </row>
    <row r="528" spans="1:22" x14ac:dyDescent="0.25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 s="1">
        <v>39.21</v>
      </c>
      <c r="H528">
        <v>4</v>
      </c>
      <c r="I528" s="1">
        <v>7.8419999999999996</v>
      </c>
      <c r="J528" s="1">
        <v>164.68199999999999</v>
      </c>
      <c r="K528" s="3" t="s">
        <v>188</v>
      </c>
      <c r="L528" s="2">
        <v>0.8354166666666667</v>
      </c>
      <c r="M528" t="s">
        <v>33</v>
      </c>
      <c r="N528" s="1">
        <v>156.84</v>
      </c>
      <c r="O528" s="1">
        <v>4.7619047620000003</v>
      </c>
      <c r="P528" s="1">
        <v>7.8419999999999996</v>
      </c>
      <c r="Q528">
        <v>9</v>
      </c>
      <c r="R528" s="13">
        <v>43481</v>
      </c>
      <c r="S528">
        <f t="shared" si="32"/>
        <v>1</v>
      </c>
      <c r="T528">
        <f t="shared" si="33"/>
        <v>20</v>
      </c>
      <c r="U528">
        <f t="shared" si="34"/>
        <v>16</v>
      </c>
      <c r="V528" s="13" t="str">
        <f t="shared" si="35"/>
        <v>Wednesday</v>
      </c>
    </row>
    <row r="529" spans="1:22" x14ac:dyDescent="0.25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 s="1">
        <v>59.86</v>
      </c>
      <c r="H529">
        <v>2</v>
      </c>
      <c r="I529" s="1">
        <v>5.9859999999999998</v>
      </c>
      <c r="J529" s="1">
        <v>125.706</v>
      </c>
      <c r="K529" s="3" t="s">
        <v>138</v>
      </c>
      <c r="L529" s="2">
        <v>0.62152777777777779</v>
      </c>
      <c r="M529" t="s">
        <v>23</v>
      </c>
      <c r="N529" s="1">
        <v>119.72</v>
      </c>
      <c r="O529" s="1">
        <v>4.7619047620000003</v>
      </c>
      <c r="P529" s="1">
        <v>5.9859999999999998</v>
      </c>
      <c r="Q529">
        <v>6.7</v>
      </c>
      <c r="R529" s="13">
        <v>43478</v>
      </c>
      <c r="S529">
        <f t="shared" si="32"/>
        <v>1</v>
      </c>
      <c r="T529">
        <f t="shared" si="33"/>
        <v>14</v>
      </c>
      <c r="U529">
        <f t="shared" si="34"/>
        <v>13</v>
      </c>
      <c r="V529" s="13" t="str">
        <f t="shared" si="35"/>
        <v>Sunday</v>
      </c>
    </row>
    <row r="530" spans="1:22" x14ac:dyDescent="0.25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 s="1">
        <v>54.36</v>
      </c>
      <c r="H530">
        <v>10</v>
      </c>
      <c r="I530" s="1">
        <v>27.18</v>
      </c>
      <c r="J530" s="1">
        <v>570.78</v>
      </c>
      <c r="K530" s="3">
        <v>43648</v>
      </c>
      <c r="L530" s="2">
        <v>0.4777777777777778</v>
      </c>
      <c r="M530" t="s">
        <v>33</v>
      </c>
      <c r="N530" s="1">
        <v>543.6</v>
      </c>
      <c r="O530" s="1">
        <v>4.7619047620000003</v>
      </c>
      <c r="P530" s="1">
        <v>27.18</v>
      </c>
      <c r="Q530">
        <v>6.1</v>
      </c>
      <c r="R530" s="13">
        <v>43503</v>
      </c>
      <c r="S530">
        <f t="shared" si="32"/>
        <v>2</v>
      </c>
      <c r="T530">
        <f t="shared" si="33"/>
        <v>11</v>
      </c>
      <c r="U530">
        <f t="shared" si="34"/>
        <v>7</v>
      </c>
      <c r="V530" s="13" t="str">
        <f t="shared" si="35"/>
        <v>Thursday</v>
      </c>
    </row>
    <row r="531" spans="1:22" x14ac:dyDescent="0.25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 s="1">
        <v>98.09</v>
      </c>
      <c r="H531">
        <v>9</v>
      </c>
      <c r="I531" s="1">
        <v>44.140500000000003</v>
      </c>
      <c r="J531" s="1">
        <v>926.95050000000003</v>
      </c>
      <c r="K531" s="3" t="s">
        <v>69</v>
      </c>
      <c r="L531" s="2">
        <v>0.82013888888888886</v>
      </c>
      <c r="M531" t="s">
        <v>29</v>
      </c>
      <c r="N531" s="1">
        <v>882.81</v>
      </c>
      <c r="O531" s="1">
        <v>4.7619047620000003</v>
      </c>
      <c r="P531" s="1">
        <v>44.140500000000003</v>
      </c>
      <c r="Q531">
        <v>9.3000000000000007</v>
      </c>
      <c r="R531" s="13">
        <v>43513</v>
      </c>
      <c r="S531">
        <f t="shared" si="32"/>
        <v>2</v>
      </c>
      <c r="T531">
        <f t="shared" si="33"/>
        <v>19</v>
      </c>
      <c r="U531">
        <f t="shared" si="34"/>
        <v>17</v>
      </c>
      <c r="V531" s="13" t="str">
        <f t="shared" si="35"/>
        <v>Sunday</v>
      </c>
    </row>
    <row r="532" spans="1:22" x14ac:dyDescent="0.25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 s="1">
        <v>25.43</v>
      </c>
      <c r="H532">
        <v>6</v>
      </c>
      <c r="I532" s="1">
        <v>7.6289999999999996</v>
      </c>
      <c r="J532" s="1">
        <v>160.209</v>
      </c>
      <c r="K532" s="3">
        <v>43801</v>
      </c>
      <c r="L532" s="2">
        <v>0.79236111111111107</v>
      </c>
      <c r="M532" t="s">
        <v>23</v>
      </c>
      <c r="N532" s="1">
        <v>152.58000000000001</v>
      </c>
      <c r="O532" s="1">
        <v>4.7619047620000003</v>
      </c>
      <c r="P532" s="1">
        <v>7.6289999999999996</v>
      </c>
      <c r="Q532">
        <v>7</v>
      </c>
      <c r="R532" s="13">
        <v>43508</v>
      </c>
      <c r="S532">
        <f t="shared" si="32"/>
        <v>2</v>
      </c>
      <c r="T532">
        <f t="shared" si="33"/>
        <v>19</v>
      </c>
      <c r="U532">
        <f t="shared" si="34"/>
        <v>12</v>
      </c>
      <c r="V532" s="13" t="str">
        <f t="shared" si="35"/>
        <v>Tuesday</v>
      </c>
    </row>
    <row r="533" spans="1:22" x14ac:dyDescent="0.25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 s="1">
        <v>86.68</v>
      </c>
      <c r="H533">
        <v>8</v>
      </c>
      <c r="I533" s="1">
        <v>34.671999999999997</v>
      </c>
      <c r="J533" s="1">
        <v>728.11199999999997</v>
      </c>
      <c r="K533" s="3" t="s">
        <v>129</v>
      </c>
      <c r="L533" s="2">
        <v>0.75277777777777777</v>
      </c>
      <c r="M533" t="s">
        <v>33</v>
      </c>
      <c r="N533" s="1">
        <v>693.44</v>
      </c>
      <c r="O533" s="1">
        <v>4.7619047620000003</v>
      </c>
      <c r="P533" s="1">
        <v>34.671999999999997</v>
      </c>
      <c r="Q533">
        <v>7.2</v>
      </c>
      <c r="R533" s="13">
        <v>43489</v>
      </c>
      <c r="S533">
        <f t="shared" si="32"/>
        <v>1</v>
      </c>
      <c r="T533">
        <f t="shared" si="33"/>
        <v>18</v>
      </c>
      <c r="U533">
        <f t="shared" si="34"/>
        <v>24</v>
      </c>
      <c r="V533" s="13" t="str">
        <f t="shared" si="35"/>
        <v>Thursday</v>
      </c>
    </row>
    <row r="534" spans="1:22" x14ac:dyDescent="0.25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 s="1">
        <v>22.95</v>
      </c>
      <c r="H534">
        <v>10</v>
      </c>
      <c r="I534" s="1">
        <v>11.475</v>
      </c>
      <c r="J534" s="1">
        <v>240.97499999999999</v>
      </c>
      <c r="K534" s="3">
        <v>43618</v>
      </c>
      <c r="L534" s="2">
        <v>0.80555555555555558</v>
      </c>
      <c r="M534" t="s">
        <v>23</v>
      </c>
      <c r="N534" s="1">
        <v>229.5</v>
      </c>
      <c r="O534" s="1">
        <v>4.7619047620000003</v>
      </c>
      <c r="P534" s="1">
        <v>11.475</v>
      </c>
      <c r="Q534">
        <v>8.1999999999999993</v>
      </c>
      <c r="R534" s="13">
        <v>43502</v>
      </c>
      <c r="S534">
        <f t="shared" si="32"/>
        <v>2</v>
      </c>
      <c r="T534">
        <f t="shared" si="33"/>
        <v>19</v>
      </c>
      <c r="U534">
        <f t="shared" si="34"/>
        <v>6</v>
      </c>
      <c r="V534" s="13" t="str">
        <f t="shared" si="35"/>
        <v>Wednesday</v>
      </c>
    </row>
    <row r="535" spans="1:22" x14ac:dyDescent="0.25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 s="1">
        <v>16.309999999999999</v>
      </c>
      <c r="H535">
        <v>9</v>
      </c>
      <c r="I535" s="1">
        <v>7.3395000000000001</v>
      </c>
      <c r="J535" s="1">
        <v>154.12950000000001</v>
      </c>
      <c r="K535" s="3" t="s">
        <v>167</v>
      </c>
      <c r="L535" s="2">
        <v>0.43819444444444444</v>
      </c>
      <c r="M535" t="s">
        <v>23</v>
      </c>
      <c r="N535" s="1">
        <v>146.79</v>
      </c>
      <c r="O535" s="1">
        <v>4.7619047620000003</v>
      </c>
      <c r="P535" s="1">
        <v>7.3395000000000001</v>
      </c>
      <c r="Q535">
        <v>8.4</v>
      </c>
      <c r="R535" s="13">
        <v>43550</v>
      </c>
      <c r="S535">
        <f t="shared" si="32"/>
        <v>3</v>
      </c>
      <c r="T535">
        <f t="shared" si="33"/>
        <v>10</v>
      </c>
      <c r="U535">
        <f t="shared" si="34"/>
        <v>26</v>
      </c>
      <c r="V535" s="13" t="str">
        <f t="shared" si="35"/>
        <v>Tuesday</v>
      </c>
    </row>
    <row r="536" spans="1:22" x14ac:dyDescent="0.25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 s="1">
        <v>28.32</v>
      </c>
      <c r="H536">
        <v>5</v>
      </c>
      <c r="I536" s="1">
        <v>7.08</v>
      </c>
      <c r="J536" s="1">
        <v>148.68</v>
      </c>
      <c r="K536" s="3">
        <v>43772</v>
      </c>
      <c r="L536" s="2">
        <v>0.56111111111111112</v>
      </c>
      <c r="M536" t="s">
        <v>23</v>
      </c>
      <c r="N536" s="1">
        <v>141.6</v>
      </c>
      <c r="O536" s="1">
        <v>4.7619047620000003</v>
      </c>
      <c r="P536" s="1">
        <v>7.08</v>
      </c>
      <c r="Q536">
        <v>6.2</v>
      </c>
      <c r="R536" s="13">
        <v>43535</v>
      </c>
      <c r="S536">
        <f t="shared" si="32"/>
        <v>3</v>
      </c>
      <c r="T536">
        <f t="shared" si="33"/>
        <v>13</v>
      </c>
      <c r="U536">
        <f t="shared" si="34"/>
        <v>11</v>
      </c>
      <c r="V536" s="13" t="str">
        <f t="shared" si="35"/>
        <v>Monday</v>
      </c>
    </row>
    <row r="537" spans="1:22" x14ac:dyDescent="0.25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 s="1">
        <v>16.670000000000002</v>
      </c>
      <c r="H537">
        <v>7</v>
      </c>
      <c r="I537" s="1">
        <v>5.8345000000000002</v>
      </c>
      <c r="J537" s="1">
        <v>122.5245</v>
      </c>
      <c r="K537" s="3">
        <v>43648</v>
      </c>
      <c r="L537" s="2">
        <v>0.48333333333333334</v>
      </c>
      <c r="M537" t="s">
        <v>23</v>
      </c>
      <c r="N537" s="1">
        <v>116.69</v>
      </c>
      <c r="O537" s="1">
        <v>4.7619047620000003</v>
      </c>
      <c r="P537" s="1">
        <v>5.8345000000000002</v>
      </c>
      <c r="Q537">
        <v>7.4</v>
      </c>
      <c r="R537" s="13">
        <v>43503</v>
      </c>
      <c r="S537">
        <f t="shared" si="32"/>
        <v>2</v>
      </c>
      <c r="T537">
        <f t="shared" si="33"/>
        <v>11</v>
      </c>
      <c r="U537">
        <f t="shared" si="34"/>
        <v>7</v>
      </c>
      <c r="V537" s="13" t="str">
        <f t="shared" si="35"/>
        <v>Thursday</v>
      </c>
    </row>
    <row r="538" spans="1:22" x14ac:dyDescent="0.25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 s="1">
        <v>73.959999999999994</v>
      </c>
      <c r="H538">
        <v>1</v>
      </c>
      <c r="I538" s="1">
        <v>3.698</v>
      </c>
      <c r="J538" s="1">
        <v>77.658000000000001</v>
      </c>
      <c r="K538" s="3">
        <v>43586</v>
      </c>
      <c r="L538" s="2">
        <v>0.48055555555555557</v>
      </c>
      <c r="M538" t="s">
        <v>33</v>
      </c>
      <c r="N538" s="1">
        <v>73.959999999999994</v>
      </c>
      <c r="O538" s="1">
        <v>4.7619047620000003</v>
      </c>
      <c r="P538" s="1">
        <v>3.698</v>
      </c>
      <c r="Q538">
        <v>5</v>
      </c>
      <c r="R538" s="13">
        <v>43470</v>
      </c>
      <c r="S538">
        <f t="shared" si="32"/>
        <v>1</v>
      </c>
      <c r="T538">
        <f t="shared" si="33"/>
        <v>11</v>
      </c>
      <c r="U538">
        <f t="shared" si="34"/>
        <v>5</v>
      </c>
      <c r="V538" s="13" t="str">
        <f t="shared" si="35"/>
        <v>Saturday</v>
      </c>
    </row>
    <row r="539" spans="1:22" x14ac:dyDescent="0.25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 s="1">
        <v>97.94</v>
      </c>
      <c r="H539">
        <v>1</v>
      </c>
      <c r="I539" s="1">
        <v>4.8970000000000002</v>
      </c>
      <c r="J539" s="1">
        <v>102.837</v>
      </c>
      <c r="K539" s="3">
        <v>43649</v>
      </c>
      <c r="L539" s="2">
        <v>0.48888888888888887</v>
      </c>
      <c r="M539" t="s">
        <v>23</v>
      </c>
      <c r="N539" s="1">
        <v>97.94</v>
      </c>
      <c r="O539" s="1">
        <v>4.7619047620000003</v>
      </c>
      <c r="P539" s="1">
        <v>4.8970000000000002</v>
      </c>
      <c r="Q539">
        <v>6.9</v>
      </c>
      <c r="R539" s="13">
        <v>43531</v>
      </c>
      <c r="S539">
        <f t="shared" si="32"/>
        <v>3</v>
      </c>
      <c r="T539">
        <f t="shared" si="33"/>
        <v>11</v>
      </c>
      <c r="U539">
        <f t="shared" si="34"/>
        <v>7</v>
      </c>
      <c r="V539" s="13" t="str">
        <f t="shared" si="35"/>
        <v>Thursday</v>
      </c>
    </row>
    <row r="540" spans="1:22" x14ac:dyDescent="0.25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 s="1">
        <v>73.05</v>
      </c>
      <c r="H540">
        <v>4</v>
      </c>
      <c r="I540" s="1">
        <v>14.61</v>
      </c>
      <c r="J540" s="1">
        <v>306.81</v>
      </c>
      <c r="K540" s="3" t="s">
        <v>41</v>
      </c>
      <c r="L540" s="2">
        <v>0.71944444444444444</v>
      </c>
      <c r="M540" t="s">
        <v>33</v>
      </c>
      <c r="N540" s="1">
        <v>292.2</v>
      </c>
      <c r="O540" s="1">
        <v>4.7619047620000003</v>
      </c>
      <c r="P540" s="1">
        <v>14.61</v>
      </c>
      <c r="Q540">
        <v>4.9000000000000004</v>
      </c>
      <c r="R540" s="13">
        <v>43521</v>
      </c>
      <c r="S540">
        <f t="shared" si="32"/>
        <v>2</v>
      </c>
      <c r="T540">
        <f t="shared" si="33"/>
        <v>17</v>
      </c>
      <c r="U540">
        <f t="shared" si="34"/>
        <v>25</v>
      </c>
      <c r="V540" s="13" t="str">
        <f t="shared" si="35"/>
        <v>Monday</v>
      </c>
    </row>
    <row r="541" spans="1:22" x14ac:dyDescent="0.25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 s="1">
        <v>87.48</v>
      </c>
      <c r="H541">
        <v>6</v>
      </c>
      <c r="I541" s="1">
        <v>26.244</v>
      </c>
      <c r="J541" s="1">
        <v>551.12400000000002</v>
      </c>
      <c r="K541" s="3">
        <v>43467</v>
      </c>
      <c r="L541" s="2">
        <v>0.77986111111111112</v>
      </c>
      <c r="M541" t="s">
        <v>23</v>
      </c>
      <c r="N541" s="1">
        <v>524.88</v>
      </c>
      <c r="O541" s="1">
        <v>4.7619047620000003</v>
      </c>
      <c r="P541" s="1">
        <v>26.244</v>
      </c>
      <c r="Q541">
        <v>5.0999999999999996</v>
      </c>
      <c r="R541" s="13">
        <v>43497</v>
      </c>
      <c r="S541">
        <f t="shared" si="32"/>
        <v>2</v>
      </c>
      <c r="T541">
        <f t="shared" si="33"/>
        <v>18</v>
      </c>
      <c r="U541">
        <f t="shared" si="34"/>
        <v>1</v>
      </c>
      <c r="V541" s="13" t="str">
        <f t="shared" si="35"/>
        <v>Friday</v>
      </c>
    </row>
    <row r="542" spans="1:22" x14ac:dyDescent="0.25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 s="1">
        <v>30.68</v>
      </c>
      <c r="H542">
        <v>3</v>
      </c>
      <c r="I542" s="1">
        <v>4.6020000000000003</v>
      </c>
      <c r="J542" s="1">
        <v>96.641999999999996</v>
      </c>
      <c r="K542" s="3" t="s">
        <v>136</v>
      </c>
      <c r="L542" s="2">
        <v>0.45833333333333331</v>
      </c>
      <c r="M542" t="s">
        <v>23</v>
      </c>
      <c r="N542" s="1">
        <v>92.04</v>
      </c>
      <c r="O542" s="1">
        <v>4.7619047620000003</v>
      </c>
      <c r="P542" s="1">
        <v>4.6020000000000003</v>
      </c>
      <c r="Q542">
        <v>9.1</v>
      </c>
      <c r="R542" s="13">
        <v>43487</v>
      </c>
      <c r="S542">
        <f t="shared" si="32"/>
        <v>1</v>
      </c>
      <c r="T542">
        <f t="shared" si="33"/>
        <v>11</v>
      </c>
      <c r="U542">
        <f t="shared" si="34"/>
        <v>22</v>
      </c>
      <c r="V542" s="13" t="str">
        <f t="shared" si="35"/>
        <v>Tuesday</v>
      </c>
    </row>
    <row r="543" spans="1:22" x14ac:dyDescent="0.25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 s="1">
        <v>75.88</v>
      </c>
      <c r="H543">
        <v>1</v>
      </c>
      <c r="I543" s="1">
        <v>3.794</v>
      </c>
      <c r="J543" s="1">
        <v>79.674000000000007</v>
      </c>
      <c r="K543" s="3">
        <v>43525</v>
      </c>
      <c r="L543" s="2">
        <v>0.4375</v>
      </c>
      <c r="M543" t="s">
        <v>33</v>
      </c>
      <c r="N543" s="1">
        <v>75.88</v>
      </c>
      <c r="O543" s="1">
        <v>4.7619047620000003</v>
      </c>
      <c r="P543" s="1">
        <v>3.794</v>
      </c>
      <c r="Q543">
        <v>7.1</v>
      </c>
      <c r="R543" s="13">
        <v>43468</v>
      </c>
      <c r="S543">
        <f t="shared" si="32"/>
        <v>1</v>
      </c>
      <c r="T543">
        <f t="shared" si="33"/>
        <v>10</v>
      </c>
      <c r="U543">
        <f t="shared" si="34"/>
        <v>3</v>
      </c>
      <c r="V543" s="13" t="str">
        <f t="shared" si="35"/>
        <v>Thursday</v>
      </c>
    </row>
    <row r="544" spans="1:22" x14ac:dyDescent="0.25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 s="1">
        <v>20.18</v>
      </c>
      <c r="H544">
        <v>4</v>
      </c>
      <c r="I544" s="1">
        <v>4.0359999999999996</v>
      </c>
      <c r="J544" s="1">
        <v>84.756</v>
      </c>
      <c r="K544" s="3" t="s">
        <v>257</v>
      </c>
      <c r="L544" s="2">
        <v>0.50972222222222219</v>
      </c>
      <c r="M544" t="s">
        <v>33</v>
      </c>
      <c r="N544" s="1">
        <v>80.72</v>
      </c>
      <c r="O544" s="1">
        <v>4.7619047620000003</v>
      </c>
      <c r="P544" s="1">
        <v>4.0359999999999996</v>
      </c>
      <c r="Q544">
        <v>5</v>
      </c>
      <c r="R544" s="13">
        <v>43509</v>
      </c>
      <c r="S544">
        <f t="shared" si="32"/>
        <v>2</v>
      </c>
      <c r="T544">
        <f t="shared" si="33"/>
        <v>12</v>
      </c>
      <c r="U544">
        <f t="shared" si="34"/>
        <v>13</v>
      </c>
      <c r="V544" s="13" t="str">
        <f t="shared" si="35"/>
        <v>Wednesday</v>
      </c>
    </row>
    <row r="545" spans="1:22" x14ac:dyDescent="0.25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 s="1">
        <v>18.77</v>
      </c>
      <c r="H545">
        <v>6</v>
      </c>
      <c r="I545" s="1">
        <v>5.6310000000000002</v>
      </c>
      <c r="J545" s="1">
        <v>118.251</v>
      </c>
      <c r="K545" s="3" t="s">
        <v>80</v>
      </c>
      <c r="L545" s="2">
        <v>0.69652777777777775</v>
      </c>
      <c r="M545" t="s">
        <v>33</v>
      </c>
      <c r="N545" s="1">
        <v>112.62</v>
      </c>
      <c r="O545" s="1">
        <v>4.7619047620000003</v>
      </c>
      <c r="P545" s="1">
        <v>5.6310000000000002</v>
      </c>
      <c r="Q545">
        <v>5.5</v>
      </c>
      <c r="R545" s="13">
        <v>43493</v>
      </c>
      <c r="S545">
        <f t="shared" si="32"/>
        <v>1</v>
      </c>
      <c r="T545">
        <f t="shared" si="33"/>
        <v>16</v>
      </c>
      <c r="U545">
        <f t="shared" si="34"/>
        <v>28</v>
      </c>
      <c r="V545" s="13" t="str">
        <f t="shared" si="35"/>
        <v>Monday</v>
      </c>
    </row>
    <row r="546" spans="1:22" x14ac:dyDescent="0.25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 s="1">
        <v>71.2</v>
      </c>
      <c r="H546">
        <v>1</v>
      </c>
      <c r="I546" s="1">
        <v>3.56</v>
      </c>
      <c r="J546" s="1">
        <v>74.760000000000005</v>
      </c>
      <c r="K546" s="3">
        <v>43586</v>
      </c>
      <c r="L546" s="2">
        <v>0.86111111111111116</v>
      </c>
      <c r="M546" t="s">
        <v>33</v>
      </c>
      <c r="N546" s="1">
        <v>71.2</v>
      </c>
      <c r="O546" s="1">
        <v>4.7619047620000003</v>
      </c>
      <c r="P546" s="1">
        <v>3.56</v>
      </c>
      <c r="Q546">
        <v>9.1999999999999993</v>
      </c>
      <c r="R546" s="13">
        <v>43470</v>
      </c>
      <c r="S546">
        <f t="shared" si="32"/>
        <v>1</v>
      </c>
      <c r="T546">
        <f t="shared" si="33"/>
        <v>20</v>
      </c>
      <c r="U546">
        <f t="shared" si="34"/>
        <v>5</v>
      </c>
      <c r="V546" s="13" t="str">
        <f t="shared" si="35"/>
        <v>Saturday</v>
      </c>
    </row>
    <row r="547" spans="1:22" x14ac:dyDescent="0.25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 s="1">
        <v>38.81</v>
      </c>
      <c r="H547">
        <v>4</v>
      </c>
      <c r="I547" s="1">
        <v>7.7619999999999996</v>
      </c>
      <c r="J547" s="1">
        <v>163.00200000000001</v>
      </c>
      <c r="K547" s="3" t="s">
        <v>103</v>
      </c>
      <c r="L547" s="2">
        <v>0.56944444444444442</v>
      </c>
      <c r="M547" t="s">
        <v>23</v>
      </c>
      <c r="N547" s="1">
        <v>155.24</v>
      </c>
      <c r="O547" s="1">
        <v>4.7619047620000003</v>
      </c>
      <c r="P547" s="1">
        <v>7.7619999999999996</v>
      </c>
      <c r="Q547">
        <v>4.9000000000000004</v>
      </c>
      <c r="R547" s="13">
        <v>43543</v>
      </c>
      <c r="S547">
        <f t="shared" si="32"/>
        <v>3</v>
      </c>
      <c r="T547">
        <f t="shared" si="33"/>
        <v>13</v>
      </c>
      <c r="U547">
        <f t="shared" si="34"/>
        <v>19</v>
      </c>
      <c r="V547" s="13" t="str">
        <f t="shared" si="35"/>
        <v>Tuesday</v>
      </c>
    </row>
    <row r="548" spans="1:22" x14ac:dyDescent="0.25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 s="1">
        <v>29.42</v>
      </c>
      <c r="H548">
        <v>10</v>
      </c>
      <c r="I548" s="1">
        <v>14.71</v>
      </c>
      <c r="J548" s="1">
        <v>308.91000000000003</v>
      </c>
      <c r="K548" s="3">
        <v>43800</v>
      </c>
      <c r="L548" s="2">
        <v>0.68263888888888891</v>
      </c>
      <c r="M548" t="s">
        <v>23</v>
      </c>
      <c r="N548" s="1">
        <v>294.2</v>
      </c>
      <c r="O548" s="1">
        <v>4.7619047620000003</v>
      </c>
      <c r="P548" s="1">
        <v>14.71</v>
      </c>
      <c r="Q548">
        <v>8.9</v>
      </c>
      <c r="R548" s="13">
        <v>43477</v>
      </c>
      <c r="S548">
        <f t="shared" si="32"/>
        <v>1</v>
      </c>
      <c r="T548">
        <f t="shared" si="33"/>
        <v>16</v>
      </c>
      <c r="U548">
        <f t="shared" si="34"/>
        <v>12</v>
      </c>
      <c r="V548" s="13" t="str">
        <f t="shared" si="35"/>
        <v>Saturday</v>
      </c>
    </row>
    <row r="549" spans="1:22" x14ac:dyDescent="0.25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 s="1">
        <v>60.95</v>
      </c>
      <c r="H549">
        <v>9</v>
      </c>
      <c r="I549" s="1">
        <v>27.427499999999998</v>
      </c>
      <c r="J549" s="1">
        <v>575.97749999999996</v>
      </c>
      <c r="K549" s="3">
        <v>43647</v>
      </c>
      <c r="L549" s="2">
        <v>0.50555555555555554</v>
      </c>
      <c r="M549" t="s">
        <v>33</v>
      </c>
      <c r="N549" s="1">
        <v>548.54999999999995</v>
      </c>
      <c r="O549" s="1">
        <v>4.7619047620000003</v>
      </c>
      <c r="P549" s="1">
        <v>27.427499999999998</v>
      </c>
      <c r="Q549">
        <v>6</v>
      </c>
      <c r="R549" s="13">
        <v>43472</v>
      </c>
      <c r="S549">
        <f t="shared" si="32"/>
        <v>1</v>
      </c>
      <c r="T549">
        <f t="shared" si="33"/>
        <v>12</v>
      </c>
      <c r="U549">
        <f t="shared" si="34"/>
        <v>7</v>
      </c>
      <c r="V549" s="13" t="str">
        <f t="shared" si="35"/>
        <v>Monday</v>
      </c>
    </row>
    <row r="550" spans="1:22" x14ac:dyDescent="0.25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 s="1">
        <v>51.54</v>
      </c>
      <c r="H550">
        <v>5</v>
      </c>
      <c r="I550" s="1">
        <v>12.885</v>
      </c>
      <c r="J550" s="1">
        <v>270.58499999999998</v>
      </c>
      <c r="K550" s="3" t="s">
        <v>145</v>
      </c>
      <c r="L550" s="2">
        <v>0.73958333333333337</v>
      </c>
      <c r="M550" t="s">
        <v>29</v>
      </c>
      <c r="N550" s="1">
        <v>257.7</v>
      </c>
      <c r="O550" s="1">
        <v>4.7619047620000003</v>
      </c>
      <c r="P550" s="1">
        <v>12.885</v>
      </c>
      <c r="Q550">
        <v>4.2</v>
      </c>
      <c r="R550" s="13">
        <v>43491</v>
      </c>
      <c r="S550">
        <f t="shared" si="32"/>
        <v>1</v>
      </c>
      <c r="T550">
        <f t="shared" si="33"/>
        <v>17</v>
      </c>
      <c r="U550">
        <f t="shared" si="34"/>
        <v>26</v>
      </c>
      <c r="V550" s="13" t="str">
        <f t="shared" si="35"/>
        <v>Saturday</v>
      </c>
    </row>
    <row r="551" spans="1:22" x14ac:dyDescent="0.25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 s="1">
        <v>66.06</v>
      </c>
      <c r="H551">
        <v>6</v>
      </c>
      <c r="I551" s="1">
        <v>19.818000000000001</v>
      </c>
      <c r="J551" s="1">
        <v>416.178</v>
      </c>
      <c r="K551" s="3" t="s">
        <v>147</v>
      </c>
      <c r="L551" s="2">
        <v>0.43611111111111112</v>
      </c>
      <c r="M551" t="s">
        <v>29</v>
      </c>
      <c r="N551" s="1">
        <v>396.36</v>
      </c>
      <c r="O551" s="1">
        <v>4.7619047620000003</v>
      </c>
      <c r="P551" s="1">
        <v>19.818000000000001</v>
      </c>
      <c r="Q551">
        <v>7.3</v>
      </c>
      <c r="R551" s="13">
        <v>43488</v>
      </c>
      <c r="S551">
        <f t="shared" si="32"/>
        <v>1</v>
      </c>
      <c r="T551">
        <f t="shared" si="33"/>
        <v>10</v>
      </c>
      <c r="U551">
        <f t="shared" si="34"/>
        <v>23</v>
      </c>
      <c r="V551" s="13" t="str">
        <f t="shared" si="35"/>
        <v>Wednesday</v>
      </c>
    </row>
    <row r="552" spans="1:22" x14ac:dyDescent="0.25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 s="1">
        <v>57.27</v>
      </c>
      <c r="H552">
        <v>3</v>
      </c>
      <c r="I552" s="1">
        <v>8.5905000000000005</v>
      </c>
      <c r="J552" s="1">
        <v>180.40049999999999</v>
      </c>
      <c r="K552" s="3">
        <v>43710</v>
      </c>
      <c r="L552" s="2">
        <v>0.85486111111111107</v>
      </c>
      <c r="M552" t="s">
        <v>23</v>
      </c>
      <c r="N552" s="1">
        <v>171.81</v>
      </c>
      <c r="O552" s="1">
        <v>4.7619047620000003</v>
      </c>
      <c r="P552" s="1">
        <v>8.5905000000000005</v>
      </c>
      <c r="Q552">
        <v>6.5</v>
      </c>
      <c r="R552" s="13">
        <v>43505</v>
      </c>
      <c r="S552">
        <f t="shared" si="32"/>
        <v>2</v>
      </c>
      <c r="T552">
        <f t="shared" si="33"/>
        <v>20</v>
      </c>
      <c r="U552">
        <f t="shared" si="34"/>
        <v>9</v>
      </c>
      <c r="V552" s="13" t="str">
        <f t="shared" si="35"/>
        <v>Saturday</v>
      </c>
    </row>
    <row r="553" spans="1:22" x14ac:dyDescent="0.25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 s="1">
        <v>54.31</v>
      </c>
      <c r="H553">
        <v>9</v>
      </c>
      <c r="I553" s="1">
        <v>24.439499999999999</v>
      </c>
      <c r="J553" s="1">
        <v>513.22950000000003</v>
      </c>
      <c r="K553" s="3" t="s">
        <v>218</v>
      </c>
      <c r="L553" s="2">
        <v>0.45069444444444445</v>
      </c>
      <c r="M553" t="s">
        <v>29</v>
      </c>
      <c r="N553" s="1">
        <v>488.79</v>
      </c>
      <c r="O553" s="1">
        <v>4.7619047620000003</v>
      </c>
      <c r="P553" s="1">
        <v>24.439499999999999</v>
      </c>
      <c r="Q553">
        <v>8.9</v>
      </c>
      <c r="R553" s="13">
        <v>43518</v>
      </c>
      <c r="S553">
        <f t="shared" si="32"/>
        <v>2</v>
      </c>
      <c r="T553">
        <f t="shared" si="33"/>
        <v>10</v>
      </c>
      <c r="U553">
        <f t="shared" si="34"/>
        <v>22</v>
      </c>
      <c r="V553" s="13" t="str">
        <f t="shared" si="35"/>
        <v>Friday</v>
      </c>
    </row>
    <row r="554" spans="1:22" x14ac:dyDescent="0.25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 s="1">
        <v>58.24</v>
      </c>
      <c r="H554">
        <v>9</v>
      </c>
      <c r="I554" s="1">
        <v>26.207999999999998</v>
      </c>
      <c r="J554" s="1">
        <v>550.36800000000005</v>
      </c>
      <c r="K554" s="3">
        <v>43587</v>
      </c>
      <c r="L554" s="2">
        <v>0.52361111111111114</v>
      </c>
      <c r="M554" t="s">
        <v>29</v>
      </c>
      <c r="N554" s="1">
        <v>524.16</v>
      </c>
      <c r="O554" s="1">
        <v>4.7619047620000003</v>
      </c>
      <c r="P554" s="1">
        <v>26.207999999999998</v>
      </c>
      <c r="Q554">
        <v>9.6999999999999993</v>
      </c>
      <c r="R554" s="13">
        <v>43501</v>
      </c>
      <c r="S554">
        <f t="shared" si="32"/>
        <v>2</v>
      </c>
      <c r="T554">
        <f t="shared" si="33"/>
        <v>12</v>
      </c>
      <c r="U554">
        <f t="shared" si="34"/>
        <v>5</v>
      </c>
      <c r="V554" s="13" t="str">
        <f t="shared" si="35"/>
        <v>Tuesday</v>
      </c>
    </row>
    <row r="555" spans="1:22" x14ac:dyDescent="0.25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 s="1">
        <v>22.21</v>
      </c>
      <c r="H555">
        <v>6</v>
      </c>
      <c r="I555" s="1">
        <v>6.6630000000000003</v>
      </c>
      <c r="J555" s="1">
        <v>139.923</v>
      </c>
      <c r="K555" s="3">
        <v>43649</v>
      </c>
      <c r="L555" s="2">
        <v>0.43263888888888891</v>
      </c>
      <c r="M555" t="s">
        <v>33</v>
      </c>
      <c r="N555" s="1">
        <v>133.26</v>
      </c>
      <c r="O555" s="1">
        <v>4.7619047620000003</v>
      </c>
      <c r="P555" s="1">
        <v>6.6630000000000003</v>
      </c>
      <c r="Q555">
        <v>8.6</v>
      </c>
      <c r="R555" s="13">
        <v>43531</v>
      </c>
      <c r="S555">
        <f t="shared" si="32"/>
        <v>3</v>
      </c>
      <c r="T555">
        <f t="shared" si="33"/>
        <v>10</v>
      </c>
      <c r="U555">
        <f t="shared" si="34"/>
        <v>7</v>
      </c>
      <c r="V555" s="13" t="str">
        <f t="shared" si="35"/>
        <v>Thursday</v>
      </c>
    </row>
    <row r="556" spans="1:22" x14ac:dyDescent="0.25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 s="1">
        <v>19.32</v>
      </c>
      <c r="H556">
        <v>7</v>
      </c>
      <c r="I556" s="1">
        <v>6.7619999999999996</v>
      </c>
      <c r="J556" s="1">
        <v>142.00200000000001</v>
      </c>
      <c r="K556" s="3" t="s">
        <v>39</v>
      </c>
      <c r="L556" s="2">
        <v>0.78541666666666665</v>
      </c>
      <c r="M556" t="s">
        <v>29</v>
      </c>
      <c r="N556" s="1">
        <v>135.24</v>
      </c>
      <c r="O556" s="1">
        <v>4.7619047620000003</v>
      </c>
      <c r="P556" s="1">
        <v>6.7619999999999996</v>
      </c>
      <c r="Q556">
        <v>6.9</v>
      </c>
      <c r="R556" s="13">
        <v>43549</v>
      </c>
      <c r="S556">
        <f t="shared" si="32"/>
        <v>3</v>
      </c>
      <c r="T556">
        <f t="shared" si="33"/>
        <v>18</v>
      </c>
      <c r="U556">
        <f t="shared" si="34"/>
        <v>25</v>
      </c>
      <c r="V556" s="13" t="str">
        <f t="shared" si="35"/>
        <v>Monday</v>
      </c>
    </row>
    <row r="557" spans="1:22" x14ac:dyDescent="0.25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 s="1">
        <v>37.479999999999997</v>
      </c>
      <c r="H557">
        <v>3</v>
      </c>
      <c r="I557" s="1">
        <v>5.6219999999999999</v>
      </c>
      <c r="J557" s="1">
        <v>118.062</v>
      </c>
      <c r="K557" s="3" t="s">
        <v>115</v>
      </c>
      <c r="L557" s="2">
        <v>0.57291666666666663</v>
      </c>
      <c r="M557" t="s">
        <v>33</v>
      </c>
      <c r="N557" s="1">
        <v>112.44</v>
      </c>
      <c r="O557" s="1">
        <v>4.7619047620000003</v>
      </c>
      <c r="P557" s="1">
        <v>5.6219999999999999</v>
      </c>
      <c r="Q557">
        <v>7.7</v>
      </c>
      <c r="R557" s="13">
        <v>43485</v>
      </c>
      <c r="S557">
        <f t="shared" si="32"/>
        <v>1</v>
      </c>
      <c r="T557">
        <f t="shared" si="33"/>
        <v>13</v>
      </c>
      <c r="U557">
        <f t="shared" si="34"/>
        <v>20</v>
      </c>
      <c r="V557" s="13" t="str">
        <f t="shared" si="35"/>
        <v>Sunday</v>
      </c>
    </row>
    <row r="558" spans="1:22" x14ac:dyDescent="0.25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 s="1">
        <v>72.040000000000006</v>
      </c>
      <c r="H558">
        <v>2</v>
      </c>
      <c r="I558" s="1">
        <v>7.2039999999999997</v>
      </c>
      <c r="J558" s="1">
        <v>151.28399999999999</v>
      </c>
      <c r="K558" s="3">
        <v>43557</v>
      </c>
      <c r="L558" s="2">
        <v>0.81805555555555554</v>
      </c>
      <c r="M558" t="s">
        <v>29</v>
      </c>
      <c r="N558" s="1">
        <v>144.08000000000001</v>
      </c>
      <c r="O558" s="1">
        <v>4.7619047620000003</v>
      </c>
      <c r="P558" s="1">
        <v>7.2039999999999997</v>
      </c>
      <c r="Q558">
        <v>9.5</v>
      </c>
      <c r="R558" s="13">
        <v>43500</v>
      </c>
      <c r="S558">
        <f t="shared" si="32"/>
        <v>2</v>
      </c>
      <c r="T558">
        <f t="shared" si="33"/>
        <v>19</v>
      </c>
      <c r="U558">
        <f t="shared" si="34"/>
        <v>4</v>
      </c>
      <c r="V558" s="13" t="str">
        <f t="shared" si="35"/>
        <v>Monday</v>
      </c>
    </row>
    <row r="559" spans="1:22" x14ac:dyDescent="0.25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 s="1">
        <v>98.52</v>
      </c>
      <c r="H559">
        <v>10</v>
      </c>
      <c r="I559" s="1">
        <v>49.26</v>
      </c>
      <c r="J559" s="1">
        <v>1034.46</v>
      </c>
      <c r="K559" s="3" t="s">
        <v>241</v>
      </c>
      <c r="L559" s="2">
        <v>0.84930555555555554</v>
      </c>
      <c r="M559" t="s">
        <v>23</v>
      </c>
      <c r="N559" s="1">
        <v>985.2</v>
      </c>
      <c r="O559" s="1">
        <v>4.7619047620000003</v>
      </c>
      <c r="P559" s="1">
        <v>49.26</v>
      </c>
      <c r="Q559">
        <v>4.5</v>
      </c>
      <c r="R559" s="13">
        <v>43495</v>
      </c>
      <c r="S559">
        <f t="shared" si="32"/>
        <v>1</v>
      </c>
      <c r="T559">
        <f t="shared" si="33"/>
        <v>20</v>
      </c>
      <c r="U559">
        <f t="shared" si="34"/>
        <v>30</v>
      </c>
      <c r="V559" s="13" t="str">
        <f t="shared" si="35"/>
        <v>Wednesday</v>
      </c>
    </row>
    <row r="560" spans="1:22" x14ac:dyDescent="0.25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 s="1">
        <v>41.66</v>
      </c>
      <c r="H560">
        <v>6</v>
      </c>
      <c r="I560" s="1">
        <v>12.497999999999999</v>
      </c>
      <c r="J560" s="1">
        <v>262.45800000000003</v>
      </c>
      <c r="K560" s="3">
        <v>43497</v>
      </c>
      <c r="L560" s="2">
        <v>0.64166666666666672</v>
      </c>
      <c r="M560" t="s">
        <v>23</v>
      </c>
      <c r="N560" s="1">
        <v>249.96</v>
      </c>
      <c r="O560" s="1">
        <v>4.7619047620000003</v>
      </c>
      <c r="P560" s="1">
        <v>12.497999999999999</v>
      </c>
      <c r="Q560">
        <v>5.6</v>
      </c>
      <c r="R560" s="13">
        <v>43467</v>
      </c>
      <c r="S560">
        <f t="shared" si="32"/>
        <v>1</v>
      </c>
      <c r="T560">
        <f t="shared" si="33"/>
        <v>15</v>
      </c>
      <c r="U560">
        <f t="shared" si="34"/>
        <v>2</v>
      </c>
      <c r="V560" s="13" t="str">
        <f t="shared" si="35"/>
        <v>Wednesday</v>
      </c>
    </row>
    <row r="561" spans="1:22" x14ac:dyDescent="0.25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 s="1">
        <v>72.42</v>
      </c>
      <c r="H561">
        <v>3</v>
      </c>
      <c r="I561" s="1">
        <v>10.863</v>
      </c>
      <c r="J561" s="1">
        <v>228.12299999999999</v>
      </c>
      <c r="K561" s="3" t="s">
        <v>56</v>
      </c>
      <c r="L561" s="2">
        <v>0.70416666666666672</v>
      </c>
      <c r="M561" t="s">
        <v>23</v>
      </c>
      <c r="N561" s="1">
        <v>217.26</v>
      </c>
      <c r="O561" s="1">
        <v>4.7619047620000003</v>
      </c>
      <c r="P561" s="1">
        <v>10.863</v>
      </c>
      <c r="Q561">
        <v>8.1999999999999993</v>
      </c>
      <c r="R561" s="13">
        <v>43553</v>
      </c>
      <c r="S561">
        <f t="shared" si="32"/>
        <v>3</v>
      </c>
      <c r="T561">
        <f t="shared" si="33"/>
        <v>16</v>
      </c>
      <c r="U561">
        <f t="shared" si="34"/>
        <v>29</v>
      </c>
      <c r="V561" s="13" t="str">
        <f t="shared" si="35"/>
        <v>Friday</v>
      </c>
    </row>
    <row r="562" spans="1:22" x14ac:dyDescent="0.25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 s="1">
        <v>21.58</v>
      </c>
      <c r="H562">
        <v>9</v>
      </c>
      <c r="I562" s="1">
        <v>9.7110000000000003</v>
      </c>
      <c r="J562" s="1">
        <v>203.93100000000001</v>
      </c>
      <c r="K562" s="3" t="s">
        <v>354</v>
      </c>
      <c r="L562" s="2">
        <v>0.52222222222222225</v>
      </c>
      <c r="M562" t="s">
        <v>29</v>
      </c>
      <c r="N562" s="1">
        <v>194.22</v>
      </c>
      <c r="O562" s="1">
        <v>4.7619047620000003</v>
      </c>
      <c r="P562" s="1">
        <v>9.7110000000000003</v>
      </c>
      <c r="Q562">
        <v>7.3</v>
      </c>
      <c r="R562" s="13">
        <v>43538</v>
      </c>
      <c r="S562">
        <f t="shared" si="32"/>
        <v>3</v>
      </c>
      <c r="T562">
        <f t="shared" si="33"/>
        <v>12</v>
      </c>
      <c r="U562">
        <f t="shared" si="34"/>
        <v>14</v>
      </c>
      <c r="V562" s="13" t="str">
        <f t="shared" si="35"/>
        <v>Thursday</v>
      </c>
    </row>
    <row r="563" spans="1:22" x14ac:dyDescent="0.25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 s="1">
        <v>89.2</v>
      </c>
      <c r="H563">
        <v>10</v>
      </c>
      <c r="I563" s="1">
        <v>44.6</v>
      </c>
      <c r="J563" s="1">
        <v>936.6</v>
      </c>
      <c r="K563" s="3">
        <v>43771</v>
      </c>
      <c r="L563" s="2">
        <v>0.65416666666666667</v>
      </c>
      <c r="M563" t="s">
        <v>33</v>
      </c>
      <c r="N563" s="1">
        <v>892</v>
      </c>
      <c r="O563" s="1">
        <v>4.7619047620000003</v>
      </c>
      <c r="P563" s="1">
        <v>44.6</v>
      </c>
      <c r="Q563">
        <v>4.4000000000000004</v>
      </c>
      <c r="R563" s="13">
        <v>43507</v>
      </c>
      <c r="S563">
        <f t="shared" si="32"/>
        <v>2</v>
      </c>
      <c r="T563">
        <f t="shared" si="33"/>
        <v>15</v>
      </c>
      <c r="U563">
        <f t="shared" si="34"/>
        <v>11</v>
      </c>
      <c r="V563" s="13" t="str">
        <f t="shared" si="35"/>
        <v>Monday</v>
      </c>
    </row>
    <row r="564" spans="1:22" x14ac:dyDescent="0.25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 s="1">
        <v>42.42</v>
      </c>
      <c r="H564">
        <v>8</v>
      </c>
      <c r="I564" s="1">
        <v>16.968</v>
      </c>
      <c r="J564" s="1">
        <v>356.32799999999997</v>
      </c>
      <c r="K564" s="3" t="s">
        <v>241</v>
      </c>
      <c r="L564" s="2">
        <v>0.58194444444444449</v>
      </c>
      <c r="M564" t="s">
        <v>23</v>
      </c>
      <c r="N564" s="1">
        <v>339.36</v>
      </c>
      <c r="O564" s="1">
        <v>4.7619047620000003</v>
      </c>
      <c r="P564" s="1">
        <v>16.968</v>
      </c>
      <c r="Q564">
        <v>5.7</v>
      </c>
      <c r="R564" s="13">
        <v>43495</v>
      </c>
      <c r="S564">
        <f t="shared" si="32"/>
        <v>1</v>
      </c>
      <c r="T564">
        <f t="shared" si="33"/>
        <v>13</v>
      </c>
      <c r="U564">
        <f t="shared" si="34"/>
        <v>30</v>
      </c>
      <c r="V564" s="13" t="str">
        <f t="shared" si="35"/>
        <v>Wednesday</v>
      </c>
    </row>
    <row r="565" spans="1:22" x14ac:dyDescent="0.25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 s="1">
        <v>74.510000000000005</v>
      </c>
      <c r="H565">
        <v>6</v>
      </c>
      <c r="I565" s="1">
        <v>22.353000000000002</v>
      </c>
      <c r="J565" s="1">
        <v>469.41300000000001</v>
      </c>
      <c r="K565" s="3" t="s">
        <v>295</v>
      </c>
      <c r="L565" s="2">
        <v>0.63055555555555554</v>
      </c>
      <c r="M565" t="s">
        <v>23</v>
      </c>
      <c r="N565" s="1">
        <v>447.06</v>
      </c>
      <c r="O565" s="1">
        <v>4.7619047620000003</v>
      </c>
      <c r="P565" s="1">
        <v>22.353000000000002</v>
      </c>
      <c r="Q565">
        <v>5</v>
      </c>
      <c r="R565" s="13">
        <v>43544</v>
      </c>
      <c r="S565">
        <f t="shared" si="32"/>
        <v>3</v>
      </c>
      <c r="T565">
        <f t="shared" si="33"/>
        <v>15</v>
      </c>
      <c r="U565">
        <f t="shared" si="34"/>
        <v>20</v>
      </c>
      <c r="V565" s="13" t="str">
        <f t="shared" si="35"/>
        <v>Wednesday</v>
      </c>
    </row>
    <row r="566" spans="1:22" x14ac:dyDescent="0.25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 s="1">
        <v>99.25</v>
      </c>
      <c r="H566">
        <v>2</v>
      </c>
      <c r="I566" s="1">
        <v>9.9250000000000007</v>
      </c>
      <c r="J566" s="1">
        <v>208.42500000000001</v>
      </c>
      <c r="K566" s="3" t="s">
        <v>295</v>
      </c>
      <c r="L566" s="2">
        <v>0.54305555555555551</v>
      </c>
      <c r="M566" t="s">
        <v>29</v>
      </c>
      <c r="N566" s="1">
        <v>198.5</v>
      </c>
      <c r="O566" s="1">
        <v>4.7619047620000003</v>
      </c>
      <c r="P566" s="1">
        <v>9.9250000000000007</v>
      </c>
      <c r="Q566">
        <v>9</v>
      </c>
      <c r="R566" s="13">
        <v>43544</v>
      </c>
      <c r="S566">
        <f t="shared" si="32"/>
        <v>3</v>
      </c>
      <c r="T566">
        <f t="shared" si="33"/>
        <v>13</v>
      </c>
      <c r="U566">
        <f t="shared" si="34"/>
        <v>20</v>
      </c>
      <c r="V566" s="13" t="str">
        <f t="shared" si="35"/>
        <v>Wednesday</v>
      </c>
    </row>
    <row r="567" spans="1:22" x14ac:dyDescent="0.25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 s="1">
        <v>81.209999999999994</v>
      </c>
      <c r="H567">
        <v>10</v>
      </c>
      <c r="I567" s="1">
        <v>40.604999999999997</v>
      </c>
      <c r="J567" s="1">
        <v>852.70500000000004</v>
      </c>
      <c r="K567" s="3" t="s">
        <v>91</v>
      </c>
      <c r="L567" s="2">
        <v>0.54236111111111107</v>
      </c>
      <c r="M567" t="s">
        <v>33</v>
      </c>
      <c r="N567" s="1">
        <v>812.1</v>
      </c>
      <c r="O567" s="1">
        <v>4.7619047620000003</v>
      </c>
      <c r="P567" s="1">
        <v>40.604999999999997</v>
      </c>
      <c r="Q567">
        <v>6.3</v>
      </c>
      <c r="R567" s="13">
        <v>43482</v>
      </c>
      <c r="S567">
        <f t="shared" si="32"/>
        <v>1</v>
      </c>
      <c r="T567">
        <f t="shared" si="33"/>
        <v>13</v>
      </c>
      <c r="U567">
        <f t="shared" si="34"/>
        <v>17</v>
      </c>
      <c r="V567" s="13" t="str">
        <f t="shared" si="35"/>
        <v>Thursday</v>
      </c>
    </row>
    <row r="568" spans="1:22" x14ac:dyDescent="0.25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 s="1">
        <v>49.33</v>
      </c>
      <c r="H568">
        <v>10</v>
      </c>
      <c r="I568" s="1">
        <v>24.664999999999999</v>
      </c>
      <c r="J568" s="1">
        <v>517.96500000000003</v>
      </c>
      <c r="K568" s="3">
        <v>43526</v>
      </c>
      <c r="L568" s="2">
        <v>0.69444444444444442</v>
      </c>
      <c r="M568" t="s">
        <v>33</v>
      </c>
      <c r="N568" s="1">
        <v>493.3</v>
      </c>
      <c r="O568" s="1">
        <v>4.7619047620000003</v>
      </c>
      <c r="P568" s="1">
        <v>24.664999999999999</v>
      </c>
      <c r="Q568">
        <v>9.4</v>
      </c>
      <c r="R568" s="13">
        <v>43499</v>
      </c>
      <c r="S568">
        <f t="shared" si="32"/>
        <v>2</v>
      </c>
      <c r="T568">
        <f t="shared" si="33"/>
        <v>16</v>
      </c>
      <c r="U568">
        <f t="shared" si="34"/>
        <v>3</v>
      </c>
      <c r="V568" s="13" t="str">
        <f t="shared" si="35"/>
        <v>Sunday</v>
      </c>
    </row>
    <row r="569" spans="1:22" x14ac:dyDescent="0.25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 s="1">
        <v>65.739999999999995</v>
      </c>
      <c r="H569">
        <v>9</v>
      </c>
      <c r="I569" s="1">
        <v>29.582999999999998</v>
      </c>
      <c r="J569" s="1">
        <v>621.24300000000005</v>
      </c>
      <c r="K569" s="3">
        <v>43466</v>
      </c>
      <c r="L569" s="2">
        <v>0.57986111111111116</v>
      </c>
      <c r="M569" t="s">
        <v>29</v>
      </c>
      <c r="N569" s="1">
        <v>591.66</v>
      </c>
      <c r="O569" s="1">
        <v>4.7619047620000003</v>
      </c>
      <c r="P569" s="1">
        <v>29.582999999999998</v>
      </c>
      <c r="Q569">
        <v>7.7</v>
      </c>
      <c r="R569" s="13">
        <v>43466</v>
      </c>
      <c r="S569">
        <f t="shared" si="32"/>
        <v>1</v>
      </c>
      <c r="T569">
        <f t="shared" si="33"/>
        <v>13</v>
      </c>
      <c r="U569">
        <f t="shared" si="34"/>
        <v>1</v>
      </c>
      <c r="V569" s="13" t="str">
        <f t="shared" si="35"/>
        <v>Tuesday</v>
      </c>
    </row>
    <row r="570" spans="1:22" x14ac:dyDescent="0.25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 s="1">
        <v>79.86</v>
      </c>
      <c r="H570">
        <v>7</v>
      </c>
      <c r="I570" s="1">
        <v>27.951000000000001</v>
      </c>
      <c r="J570" s="1">
        <v>586.971</v>
      </c>
      <c r="K570" s="3">
        <v>43739</v>
      </c>
      <c r="L570" s="2">
        <v>0.43958333333333333</v>
      </c>
      <c r="M570" t="s">
        <v>33</v>
      </c>
      <c r="N570" s="1">
        <v>559.02</v>
      </c>
      <c r="O570" s="1">
        <v>4.7619047620000003</v>
      </c>
      <c r="P570" s="1">
        <v>27.951000000000001</v>
      </c>
      <c r="Q570">
        <v>5.5</v>
      </c>
      <c r="R570" s="13">
        <v>43475</v>
      </c>
      <c r="S570">
        <f t="shared" si="32"/>
        <v>1</v>
      </c>
      <c r="T570">
        <f t="shared" si="33"/>
        <v>10</v>
      </c>
      <c r="U570">
        <f t="shared" si="34"/>
        <v>10</v>
      </c>
      <c r="V570" s="13" t="str">
        <f t="shared" si="35"/>
        <v>Thursday</v>
      </c>
    </row>
    <row r="571" spans="1:22" x14ac:dyDescent="0.25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 s="1">
        <v>73.98</v>
      </c>
      <c r="H571">
        <v>7</v>
      </c>
      <c r="I571" s="1">
        <v>25.893000000000001</v>
      </c>
      <c r="J571" s="1">
        <v>543.75300000000004</v>
      </c>
      <c r="K571" s="3">
        <v>43499</v>
      </c>
      <c r="L571" s="2">
        <v>0.6958333333333333</v>
      </c>
      <c r="M571" t="s">
        <v>23</v>
      </c>
      <c r="N571" s="1">
        <v>517.86</v>
      </c>
      <c r="O571" s="1">
        <v>4.7619047620000003</v>
      </c>
      <c r="P571" s="1">
        <v>25.893000000000001</v>
      </c>
      <c r="Q571">
        <v>4.0999999999999996</v>
      </c>
      <c r="R571" s="13">
        <v>43526</v>
      </c>
      <c r="S571">
        <f t="shared" si="32"/>
        <v>3</v>
      </c>
      <c r="T571">
        <f t="shared" si="33"/>
        <v>16</v>
      </c>
      <c r="U571">
        <f t="shared" si="34"/>
        <v>2</v>
      </c>
      <c r="V571" s="13" t="str">
        <f t="shared" si="35"/>
        <v>Saturday</v>
      </c>
    </row>
    <row r="572" spans="1:22" x14ac:dyDescent="0.25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 s="1">
        <v>82.04</v>
      </c>
      <c r="H572">
        <v>5</v>
      </c>
      <c r="I572" s="1">
        <v>20.51</v>
      </c>
      <c r="J572" s="1">
        <v>430.71</v>
      </c>
      <c r="K572" s="3" t="s">
        <v>41</v>
      </c>
      <c r="L572" s="2">
        <v>0.71944444444444444</v>
      </c>
      <c r="M572" t="s">
        <v>33</v>
      </c>
      <c r="N572" s="1">
        <v>410.2</v>
      </c>
      <c r="O572" s="1">
        <v>4.7619047620000003</v>
      </c>
      <c r="P572" s="1">
        <v>20.51</v>
      </c>
      <c r="Q572">
        <v>7.6</v>
      </c>
      <c r="R572" s="13">
        <v>43521</v>
      </c>
      <c r="S572">
        <f t="shared" si="32"/>
        <v>2</v>
      </c>
      <c r="T572">
        <f t="shared" si="33"/>
        <v>17</v>
      </c>
      <c r="U572">
        <f t="shared" si="34"/>
        <v>25</v>
      </c>
      <c r="V572" s="13" t="str">
        <f t="shared" si="35"/>
        <v>Monday</v>
      </c>
    </row>
    <row r="573" spans="1:22" x14ac:dyDescent="0.25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 s="1">
        <v>26.67</v>
      </c>
      <c r="H573">
        <v>10</v>
      </c>
      <c r="I573" s="1">
        <v>13.335000000000001</v>
      </c>
      <c r="J573" s="1">
        <v>280.03500000000003</v>
      </c>
      <c r="K573" s="3" t="s">
        <v>228</v>
      </c>
      <c r="L573" s="2">
        <v>0.49166666666666664</v>
      </c>
      <c r="M573" t="s">
        <v>29</v>
      </c>
      <c r="N573" s="1">
        <v>266.7</v>
      </c>
      <c r="O573" s="1">
        <v>4.7619047620000003</v>
      </c>
      <c r="P573" s="1">
        <v>13.335000000000001</v>
      </c>
      <c r="Q573">
        <v>8.6</v>
      </c>
      <c r="R573" s="13">
        <v>43494</v>
      </c>
      <c r="S573">
        <f t="shared" si="32"/>
        <v>1</v>
      </c>
      <c r="T573">
        <f t="shared" si="33"/>
        <v>11</v>
      </c>
      <c r="U573">
        <f t="shared" si="34"/>
        <v>29</v>
      </c>
      <c r="V573" s="13" t="str">
        <f t="shared" si="35"/>
        <v>Tuesday</v>
      </c>
    </row>
    <row r="574" spans="1:22" x14ac:dyDescent="0.25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 s="1">
        <v>10.130000000000001</v>
      </c>
      <c r="H574">
        <v>7</v>
      </c>
      <c r="I574" s="1">
        <v>3.5455000000000001</v>
      </c>
      <c r="J574" s="1">
        <v>74.455500000000001</v>
      </c>
      <c r="K574" s="3">
        <v>43741</v>
      </c>
      <c r="L574" s="2">
        <v>0.81597222222222221</v>
      </c>
      <c r="M574" t="s">
        <v>23</v>
      </c>
      <c r="N574" s="1">
        <v>70.91</v>
      </c>
      <c r="O574" s="1">
        <v>4.7619047620000003</v>
      </c>
      <c r="P574" s="1">
        <v>3.5455000000000001</v>
      </c>
      <c r="Q574">
        <v>8.3000000000000007</v>
      </c>
      <c r="R574" s="13">
        <v>43534</v>
      </c>
      <c r="S574">
        <f t="shared" si="32"/>
        <v>3</v>
      </c>
      <c r="T574">
        <f t="shared" si="33"/>
        <v>19</v>
      </c>
      <c r="U574">
        <f t="shared" si="34"/>
        <v>10</v>
      </c>
      <c r="V574" s="13" t="str">
        <f t="shared" si="35"/>
        <v>Sunday</v>
      </c>
    </row>
    <row r="575" spans="1:22" x14ac:dyDescent="0.25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 s="1">
        <v>72.39</v>
      </c>
      <c r="H575">
        <v>2</v>
      </c>
      <c r="I575" s="1">
        <v>7.2389999999999999</v>
      </c>
      <c r="J575" s="1">
        <v>152.01900000000001</v>
      </c>
      <c r="K575" s="3" t="s">
        <v>138</v>
      </c>
      <c r="L575" s="2">
        <v>0.82986111111111116</v>
      </c>
      <c r="M575" t="s">
        <v>33</v>
      </c>
      <c r="N575" s="1">
        <v>144.78</v>
      </c>
      <c r="O575" s="1">
        <v>4.7619047620000003</v>
      </c>
      <c r="P575" s="1">
        <v>7.2389999999999999</v>
      </c>
      <c r="Q575">
        <v>8.1</v>
      </c>
      <c r="R575" s="13">
        <v>43478</v>
      </c>
      <c r="S575">
        <f t="shared" si="32"/>
        <v>1</v>
      </c>
      <c r="T575">
        <f t="shared" si="33"/>
        <v>19</v>
      </c>
      <c r="U575">
        <f t="shared" si="34"/>
        <v>13</v>
      </c>
      <c r="V575" s="13" t="str">
        <f t="shared" si="35"/>
        <v>Sunday</v>
      </c>
    </row>
    <row r="576" spans="1:22" x14ac:dyDescent="0.25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 s="1">
        <v>85.91</v>
      </c>
      <c r="H576">
        <v>5</v>
      </c>
      <c r="I576" s="1">
        <v>21.477499999999999</v>
      </c>
      <c r="J576" s="1">
        <v>451.02749999999997</v>
      </c>
      <c r="K576" s="3" t="s">
        <v>72</v>
      </c>
      <c r="L576" s="2">
        <v>0.60624999999999996</v>
      </c>
      <c r="M576" t="s">
        <v>33</v>
      </c>
      <c r="N576" s="1">
        <v>429.55</v>
      </c>
      <c r="O576" s="1">
        <v>4.7619047620000003</v>
      </c>
      <c r="P576" s="1">
        <v>21.477499999999999</v>
      </c>
      <c r="Q576">
        <v>8.6</v>
      </c>
      <c r="R576" s="13">
        <v>43546</v>
      </c>
      <c r="S576">
        <f t="shared" si="32"/>
        <v>3</v>
      </c>
      <c r="T576">
        <f t="shared" si="33"/>
        <v>14</v>
      </c>
      <c r="U576">
        <f t="shared" si="34"/>
        <v>22</v>
      </c>
      <c r="V576" s="13" t="str">
        <f t="shared" si="35"/>
        <v>Friday</v>
      </c>
    </row>
    <row r="577" spans="1:22" x14ac:dyDescent="0.25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 s="1">
        <v>81.31</v>
      </c>
      <c r="H577">
        <v>7</v>
      </c>
      <c r="I577" s="1">
        <v>28.458500000000001</v>
      </c>
      <c r="J577" s="1">
        <v>597.62850000000003</v>
      </c>
      <c r="K577" s="3">
        <v>43468</v>
      </c>
      <c r="L577" s="2">
        <v>0.8256944444444444</v>
      </c>
      <c r="M577" t="s">
        <v>23</v>
      </c>
      <c r="N577" s="1">
        <v>569.16999999999996</v>
      </c>
      <c r="O577" s="1">
        <v>4.7619047620000003</v>
      </c>
      <c r="P577" s="1">
        <v>28.458500000000001</v>
      </c>
      <c r="Q577">
        <v>6.3</v>
      </c>
      <c r="R577" s="13">
        <v>43525</v>
      </c>
      <c r="S577">
        <f t="shared" si="32"/>
        <v>3</v>
      </c>
      <c r="T577">
        <f t="shared" si="33"/>
        <v>19</v>
      </c>
      <c r="U577">
        <f t="shared" si="34"/>
        <v>1</v>
      </c>
      <c r="V577" s="13" t="str">
        <f t="shared" si="35"/>
        <v>Friday</v>
      </c>
    </row>
    <row r="578" spans="1:22" x14ac:dyDescent="0.25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 s="1">
        <v>60.3</v>
      </c>
      <c r="H578">
        <v>4</v>
      </c>
      <c r="I578" s="1">
        <v>12.06</v>
      </c>
      <c r="J578" s="1">
        <v>253.26</v>
      </c>
      <c r="K578" s="3" t="s">
        <v>49</v>
      </c>
      <c r="L578" s="2">
        <v>0.77986111111111112</v>
      </c>
      <c r="M578" t="s">
        <v>29</v>
      </c>
      <c r="N578" s="1">
        <v>241.2</v>
      </c>
      <c r="O578" s="1">
        <v>4.7619047620000003</v>
      </c>
      <c r="P578" s="1">
        <v>12.06</v>
      </c>
      <c r="Q578">
        <v>5.8</v>
      </c>
      <c r="R578" s="13">
        <v>43516</v>
      </c>
      <c r="S578">
        <f t="shared" si="32"/>
        <v>2</v>
      </c>
      <c r="T578">
        <f t="shared" si="33"/>
        <v>18</v>
      </c>
      <c r="U578">
        <f t="shared" si="34"/>
        <v>20</v>
      </c>
      <c r="V578" s="13" t="str">
        <f t="shared" si="35"/>
        <v>Wednesday</v>
      </c>
    </row>
    <row r="579" spans="1:22" x14ac:dyDescent="0.25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 s="1">
        <v>31.77</v>
      </c>
      <c r="H579">
        <v>4</v>
      </c>
      <c r="I579" s="1">
        <v>6.3540000000000001</v>
      </c>
      <c r="J579" s="1">
        <v>133.434</v>
      </c>
      <c r="K579" s="3" t="s">
        <v>283</v>
      </c>
      <c r="L579" s="2">
        <v>0.61319444444444449</v>
      </c>
      <c r="M579" t="s">
        <v>23</v>
      </c>
      <c r="N579" s="1">
        <v>127.08</v>
      </c>
      <c r="O579" s="1">
        <v>4.7619047620000003</v>
      </c>
      <c r="P579" s="1">
        <v>6.3540000000000001</v>
      </c>
      <c r="Q579">
        <v>6.2</v>
      </c>
      <c r="R579" s="13">
        <v>43479</v>
      </c>
      <c r="S579">
        <f t="shared" ref="S579:S642" si="36">MONTH(R579)</f>
        <v>1</v>
      </c>
      <c r="T579">
        <f t="shared" ref="T579:T642" si="37">HOUR(L579)</f>
        <v>14</v>
      </c>
      <c r="U579">
        <f t="shared" ref="U579:U642" si="38">DAY(R579)</f>
        <v>14</v>
      </c>
      <c r="V579" s="13" t="str">
        <f t="shared" ref="V579:V642" si="39">TEXT(R579,"DDDD")</f>
        <v>Monday</v>
      </c>
    </row>
    <row r="580" spans="1:22" x14ac:dyDescent="0.25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 s="1">
        <v>64.27</v>
      </c>
      <c r="H580">
        <v>4</v>
      </c>
      <c r="I580" s="1">
        <v>12.853999999999999</v>
      </c>
      <c r="J580" s="1">
        <v>269.93400000000003</v>
      </c>
      <c r="K580" s="3" t="s">
        <v>167</v>
      </c>
      <c r="L580" s="2">
        <v>0.57916666666666672</v>
      </c>
      <c r="M580" t="s">
        <v>29</v>
      </c>
      <c r="N580" s="1">
        <v>257.08</v>
      </c>
      <c r="O580" s="1">
        <v>4.7619047620000003</v>
      </c>
      <c r="P580" s="1">
        <v>12.853999999999999</v>
      </c>
      <c r="Q580">
        <v>7.7</v>
      </c>
      <c r="R580" s="13">
        <v>43550</v>
      </c>
      <c r="S580">
        <f t="shared" si="36"/>
        <v>3</v>
      </c>
      <c r="T580">
        <f t="shared" si="37"/>
        <v>13</v>
      </c>
      <c r="U580">
        <f t="shared" si="38"/>
        <v>26</v>
      </c>
      <c r="V580" s="13" t="str">
        <f t="shared" si="39"/>
        <v>Tuesday</v>
      </c>
    </row>
    <row r="581" spans="1:22" x14ac:dyDescent="0.25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 s="1">
        <v>69.510000000000005</v>
      </c>
      <c r="H581">
        <v>2</v>
      </c>
      <c r="I581" s="1">
        <v>6.9509999999999996</v>
      </c>
      <c r="J581" s="1">
        <v>145.971</v>
      </c>
      <c r="K581" s="3">
        <v>43468</v>
      </c>
      <c r="L581" s="2">
        <v>0.51041666666666663</v>
      </c>
      <c r="M581" t="s">
        <v>23</v>
      </c>
      <c r="N581" s="1">
        <v>139.02000000000001</v>
      </c>
      <c r="O581" s="1">
        <v>4.7619047620000003</v>
      </c>
      <c r="P581" s="1">
        <v>6.9509999999999996</v>
      </c>
      <c r="Q581">
        <v>8.1</v>
      </c>
      <c r="R581" s="13">
        <v>43525</v>
      </c>
      <c r="S581">
        <f t="shared" si="36"/>
        <v>3</v>
      </c>
      <c r="T581">
        <f t="shared" si="37"/>
        <v>12</v>
      </c>
      <c r="U581">
        <f t="shared" si="38"/>
        <v>1</v>
      </c>
      <c r="V581" s="13" t="str">
        <f t="shared" si="39"/>
        <v>Friday</v>
      </c>
    </row>
    <row r="582" spans="1:22" x14ac:dyDescent="0.25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 s="1">
        <v>27.22</v>
      </c>
      <c r="H582">
        <v>3</v>
      </c>
      <c r="I582" s="1">
        <v>4.0830000000000002</v>
      </c>
      <c r="J582" s="1">
        <v>85.742999999999995</v>
      </c>
      <c r="K582" s="3">
        <v>43647</v>
      </c>
      <c r="L582" s="2">
        <v>0.52569444444444446</v>
      </c>
      <c r="M582" t="s">
        <v>29</v>
      </c>
      <c r="N582" s="1">
        <v>81.66</v>
      </c>
      <c r="O582" s="1">
        <v>4.7619047620000003</v>
      </c>
      <c r="P582" s="1">
        <v>4.0830000000000002</v>
      </c>
      <c r="Q582">
        <v>7.3</v>
      </c>
      <c r="R582" s="13">
        <v>43472</v>
      </c>
      <c r="S582">
        <f t="shared" si="36"/>
        <v>1</v>
      </c>
      <c r="T582">
        <f t="shared" si="37"/>
        <v>12</v>
      </c>
      <c r="U582">
        <f t="shared" si="38"/>
        <v>7</v>
      </c>
      <c r="V582" s="13" t="str">
        <f t="shared" si="39"/>
        <v>Monday</v>
      </c>
    </row>
    <row r="583" spans="1:22" x14ac:dyDescent="0.25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1">
        <v>77.680000000000007</v>
      </c>
      <c r="H583">
        <v>4</v>
      </c>
      <c r="I583" s="1">
        <v>15.536</v>
      </c>
      <c r="J583" s="1">
        <v>326.25599999999997</v>
      </c>
      <c r="K583" s="3">
        <v>43467</v>
      </c>
      <c r="L583" s="2">
        <v>0.82916666666666672</v>
      </c>
      <c r="M583" t="s">
        <v>29</v>
      </c>
      <c r="N583" s="1">
        <v>310.72000000000003</v>
      </c>
      <c r="O583" s="1">
        <v>4.7619047620000003</v>
      </c>
      <c r="P583" s="1">
        <v>15.536</v>
      </c>
      <c r="Q583">
        <v>8.4</v>
      </c>
      <c r="R583" s="13">
        <v>43497</v>
      </c>
      <c r="S583">
        <f t="shared" si="36"/>
        <v>2</v>
      </c>
      <c r="T583">
        <f t="shared" si="37"/>
        <v>19</v>
      </c>
      <c r="U583">
        <f t="shared" si="38"/>
        <v>1</v>
      </c>
      <c r="V583" s="13" t="str">
        <f t="shared" si="39"/>
        <v>Friday</v>
      </c>
    </row>
    <row r="584" spans="1:22" x14ac:dyDescent="0.25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 s="1">
        <v>92.98</v>
      </c>
      <c r="H584">
        <v>2</v>
      </c>
      <c r="I584" s="1">
        <v>9.298</v>
      </c>
      <c r="J584" s="1">
        <v>195.25800000000001</v>
      </c>
      <c r="K584" s="3" t="s">
        <v>257</v>
      </c>
      <c r="L584" s="2">
        <v>0.62916666666666665</v>
      </c>
      <c r="M584" t="s">
        <v>33</v>
      </c>
      <c r="N584" s="1">
        <v>185.96</v>
      </c>
      <c r="O584" s="1">
        <v>4.7619047620000003</v>
      </c>
      <c r="P584" s="1">
        <v>9.298</v>
      </c>
      <c r="Q584">
        <v>8</v>
      </c>
      <c r="R584" s="13">
        <v>43509</v>
      </c>
      <c r="S584">
        <f t="shared" si="36"/>
        <v>2</v>
      </c>
      <c r="T584">
        <f t="shared" si="37"/>
        <v>15</v>
      </c>
      <c r="U584">
        <f t="shared" si="38"/>
        <v>13</v>
      </c>
      <c r="V584" s="13" t="str">
        <f t="shared" si="39"/>
        <v>Wednesday</v>
      </c>
    </row>
    <row r="585" spans="1:22" x14ac:dyDescent="0.25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 s="1">
        <v>18.079999999999998</v>
      </c>
      <c r="H585">
        <v>4</v>
      </c>
      <c r="I585" s="1">
        <v>3.6160000000000001</v>
      </c>
      <c r="J585" s="1">
        <v>75.936000000000007</v>
      </c>
      <c r="K585" s="3" t="s">
        <v>283</v>
      </c>
      <c r="L585" s="2">
        <v>0.75208333333333333</v>
      </c>
      <c r="M585" t="s">
        <v>33</v>
      </c>
      <c r="N585" s="1">
        <v>72.319999999999993</v>
      </c>
      <c r="O585" s="1">
        <v>4.7619047620000003</v>
      </c>
      <c r="P585" s="1">
        <v>3.6160000000000001</v>
      </c>
      <c r="Q585">
        <v>9.5</v>
      </c>
      <c r="R585" s="13">
        <v>43479</v>
      </c>
      <c r="S585">
        <f t="shared" si="36"/>
        <v>1</v>
      </c>
      <c r="T585">
        <f t="shared" si="37"/>
        <v>18</v>
      </c>
      <c r="U585">
        <f t="shared" si="38"/>
        <v>14</v>
      </c>
      <c r="V585" s="13" t="str">
        <f t="shared" si="39"/>
        <v>Monday</v>
      </c>
    </row>
    <row r="586" spans="1:22" x14ac:dyDescent="0.25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 s="1">
        <v>63.06</v>
      </c>
      <c r="H586">
        <v>3</v>
      </c>
      <c r="I586" s="1">
        <v>9.4589999999999996</v>
      </c>
      <c r="J586" s="1">
        <v>198.63900000000001</v>
      </c>
      <c r="K586" s="3" t="s">
        <v>183</v>
      </c>
      <c r="L586" s="2">
        <v>0.66527777777777775</v>
      </c>
      <c r="M586" t="s">
        <v>23</v>
      </c>
      <c r="N586" s="1">
        <v>189.18</v>
      </c>
      <c r="O586" s="1">
        <v>4.7619047620000003</v>
      </c>
      <c r="P586" s="1">
        <v>9.4589999999999996</v>
      </c>
      <c r="Q586">
        <v>7</v>
      </c>
      <c r="R586" s="13">
        <v>43484</v>
      </c>
      <c r="S586">
        <f t="shared" si="36"/>
        <v>1</v>
      </c>
      <c r="T586">
        <f t="shared" si="37"/>
        <v>15</v>
      </c>
      <c r="U586">
        <f t="shared" si="38"/>
        <v>19</v>
      </c>
      <c r="V586" s="13" t="str">
        <f t="shared" si="39"/>
        <v>Saturday</v>
      </c>
    </row>
    <row r="587" spans="1:22" x14ac:dyDescent="0.25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 s="1">
        <v>51.71</v>
      </c>
      <c r="H587">
        <v>4</v>
      </c>
      <c r="I587" s="1">
        <v>10.342000000000001</v>
      </c>
      <c r="J587" s="1">
        <v>217.18199999999999</v>
      </c>
      <c r="K587" s="3">
        <v>43711</v>
      </c>
      <c r="L587" s="2">
        <v>0.57847222222222228</v>
      </c>
      <c r="M587" t="s">
        <v>33</v>
      </c>
      <c r="N587" s="1">
        <v>206.84</v>
      </c>
      <c r="O587" s="1">
        <v>4.7619047620000003</v>
      </c>
      <c r="P587" s="1">
        <v>10.342000000000001</v>
      </c>
      <c r="Q587">
        <v>9.8000000000000007</v>
      </c>
      <c r="R587" s="13">
        <v>43533</v>
      </c>
      <c r="S587">
        <f t="shared" si="36"/>
        <v>3</v>
      </c>
      <c r="T587">
        <f t="shared" si="37"/>
        <v>13</v>
      </c>
      <c r="U587">
        <f t="shared" si="38"/>
        <v>9</v>
      </c>
      <c r="V587" s="13" t="str">
        <f t="shared" si="39"/>
        <v>Saturday</v>
      </c>
    </row>
    <row r="588" spans="1:22" x14ac:dyDescent="0.25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 s="1">
        <v>52.34</v>
      </c>
      <c r="H588">
        <v>3</v>
      </c>
      <c r="I588" s="1">
        <v>7.851</v>
      </c>
      <c r="J588" s="1">
        <v>164.87100000000001</v>
      </c>
      <c r="K588" s="3" t="s">
        <v>112</v>
      </c>
      <c r="L588" s="2">
        <v>0.5854166666666667</v>
      </c>
      <c r="M588" t="s">
        <v>29</v>
      </c>
      <c r="N588" s="1">
        <v>157.02000000000001</v>
      </c>
      <c r="O588" s="1">
        <v>4.7619047620000003</v>
      </c>
      <c r="P588" s="1">
        <v>7.851</v>
      </c>
      <c r="Q588">
        <v>9.1999999999999993</v>
      </c>
      <c r="R588" s="13">
        <v>43551</v>
      </c>
      <c r="S588">
        <f t="shared" si="36"/>
        <v>3</v>
      </c>
      <c r="T588">
        <f t="shared" si="37"/>
        <v>14</v>
      </c>
      <c r="U588">
        <f t="shared" si="38"/>
        <v>27</v>
      </c>
      <c r="V588" s="13" t="str">
        <f t="shared" si="39"/>
        <v>Wednesday</v>
      </c>
    </row>
    <row r="589" spans="1:22" x14ac:dyDescent="0.25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 s="1">
        <v>43.06</v>
      </c>
      <c r="H589">
        <v>5</v>
      </c>
      <c r="I589" s="1">
        <v>10.765000000000001</v>
      </c>
      <c r="J589" s="1">
        <v>226.065</v>
      </c>
      <c r="K589" s="3">
        <v>43557</v>
      </c>
      <c r="L589" s="2">
        <v>0.69305555555555554</v>
      </c>
      <c r="M589" t="s">
        <v>23</v>
      </c>
      <c r="N589" s="1">
        <v>215.3</v>
      </c>
      <c r="O589" s="1">
        <v>4.7619047620000003</v>
      </c>
      <c r="P589" s="1">
        <v>10.765000000000001</v>
      </c>
      <c r="Q589">
        <v>7.7</v>
      </c>
      <c r="R589" s="13">
        <v>43500</v>
      </c>
      <c r="S589">
        <f t="shared" si="36"/>
        <v>2</v>
      </c>
      <c r="T589">
        <f t="shared" si="37"/>
        <v>16</v>
      </c>
      <c r="U589">
        <f t="shared" si="38"/>
        <v>4</v>
      </c>
      <c r="V589" s="13" t="str">
        <f t="shared" si="39"/>
        <v>Monday</v>
      </c>
    </row>
    <row r="590" spans="1:22" x14ac:dyDescent="0.25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 s="1">
        <v>59.61</v>
      </c>
      <c r="H590">
        <v>10</v>
      </c>
      <c r="I590" s="1">
        <v>29.805</v>
      </c>
      <c r="J590" s="1">
        <v>625.90499999999997</v>
      </c>
      <c r="K590" s="3" t="s">
        <v>354</v>
      </c>
      <c r="L590" s="2">
        <v>0.46319444444444446</v>
      </c>
      <c r="M590" t="s">
        <v>29</v>
      </c>
      <c r="N590" s="1">
        <v>596.1</v>
      </c>
      <c r="O590" s="1">
        <v>4.7619047620000003</v>
      </c>
      <c r="P590" s="1">
        <v>29.805</v>
      </c>
      <c r="Q590">
        <v>5.3</v>
      </c>
      <c r="R590" s="13">
        <v>43538</v>
      </c>
      <c r="S590">
        <f t="shared" si="36"/>
        <v>3</v>
      </c>
      <c r="T590">
        <f t="shared" si="37"/>
        <v>11</v>
      </c>
      <c r="U590">
        <f t="shared" si="38"/>
        <v>14</v>
      </c>
      <c r="V590" s="13" t="str">
        <f t="shared" si="39"/>
        <v>Thursday</v>
      </c>
    </row>
    <row r="591" spans="1:22" x14ac:dyDescent="0.25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 s="1">
        <v>14.62</v>
      </c>
      <c r="H591">
        <v>5</v>
      </c>
      <c r="I591" s="1">
        <v>3.6549999999999998</v>
      </c>
      <c r="J591" s="1">
        <v>76.754999999999995</v>
      </c>
      <c r="K591" s="3">
        <v>43558</v>
      </c>
      <c r="L591" s="2">
        <v>0.51597222222222228</v>
      </c>
      <c r="M591" t="s">
        <v>29</v>
      </c>
      <c r="N591" s="1">
        <v>73.099999999999994</v>
      </c>
      <c r="O591" s="1">
        <v>4.7619047620000003</v>
      </c>
      <c r="P591" s="1">
        <v>3.6549999999999998</v>
      </c>
      <c r="Q591">
        <v>4.4000000000000004</v>
      </c>
      <c r="R591" s="13">
        <v>43528</v>
      </c>
      <c r="S591">
        <f t="shared" si="36"/>
        <v>3</v>
      </c>
      <c r="T591">
        <f t="shared" si="37"/>
        <v>12</v>
      </c>
      <c r="U591">
        <f t="shared" si="38"/>
        <v>4</v>
      </c>
      <c r="V591" s="13" t="str">
        <f t="shared" si="39"/>
        <v>Monday</v>
      </c>
    </row>
    <row r="592" spans="1:22" x14ac:dyDescent="0.25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 s="1">
        <v>46.53</v>
      </c>
      <c r="H592">
        <v>6</v>
      </c>
      <c r="I592" s="1">
        <v>13.959</v>
      </c>
      <c r="J592" s="1">
        <v>293.13900000000001</v>
      </c>
      <c r="K592" s="3">
        <v>43527</v>
      </c>
      <c r="L592" s="2">
        <v>0.45416666666666666</v>
      </c>
      <c r="M592" t="s">
        <v>33</v>
      </c>
      <c r="N592" s="1">
        <v>279.18</v>
      </c>
      <c r="O592" s="1">
        <v>4.7619047620000003</v>
      </c>
      <c r="P592" s="1">
        <v>13.959</v>
      </c>
      <c r="Q592">
        <v>4.3</v>
      </c>
      <c r="R592" s="13">
        <v>43527</v>
      </c>
      <c r="S592">
        <f t="shared" si="36"/>
        <v>3</v>
      </c>
      <c r="T592">
        <f t="shared" si="37"/>
        <v>10</v>
      </c>
      <c r="U592">
        <f t="shared" si="38"/>
        <v>3</v>
      </c>
      <c r="V592" s="13" t="str">
        <f t="shared" si="39"/>
        <v>Sunday</v>
      </c>
    </row>
    <row r="593" spans="1:22" x14ac:dyDescent="0.25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 s="1">
        <v>24.24</v>
      </c>
      <c r="H593">
        <v>7</v>
      </c>
      <c r="I593" s="1">
        <v>8.484</v>
      </c>
      <c r="J593" s="1">
        <v>178.16399999999999</v>
      </c>
      <c r="K593" s="3" t="s">
        <v>35</v>
      </c>
      <c r="L593" s="2">
        <v>0.73472222222222228</v>
      </c>
      <c r="M593" t="s">
        <v>23</v>
      </c>
      <c r="N593" s="1">
        <v>169.68</v>
      </c>
      <c r="O593" s="1">
        <v>4.7619047620000003</v>
      </c>
      <c r="P593" s="1">
        <v>8.484</v>
      </c>
      <c r="Q593">
        <v>9.4</v>
      </c>
      <c r="R593" s="13">
        <v>43492</v>
      </c>
      <c r="S593">
        <f t="shared" si="36"/>
        <v>1</v>
      </c>
      <c r="T593">
        <f t="shared" si="37"/>
        <v>17</v>
      </c>
      <c r="U593">
        <f t="shared" si="38"/>
        <v>27</v>
      </c>
      <c r="V593" s="13" t="str">
        <f t="shared" si="39"/>
        <v>Sunday</v>
      </c>
    </row>
    <row r="594" spans="1:22" x14ac:dyDescent="0.25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 s="1">
        <v>45.58</v>
      </c>
      <c r="H594">
        <v>1</v>
      </c>
      <c r="I594" s="1">
        <v>2.2789999999999999</v>
      </c>
      <c r="J594" s="1">
        <v>47.859000000000002</v>
      </c>
      <c r="K594" s="3">
        <v>43648</v>
      </c>
      <c r="L594" s="2">
        <v>0.59236111111111112</v>
      </c>
      <c r="M594" t="s">
        <v>29</v>
      </c>
      <c r="N594" s="1">
        <v>45.58</v>
      </c>
      <c r="O594" s="1">
        <v>4.7619047620000003</v>
      </c>
      <c r="P594" s="1">
        <v>2.2789999999999999</v>
      </c>
      <c r="Q594">
        <v>9.8000000000000007</v>
      </c>
      <c r="R594" s="13">
        <v>43503</v>
      </c>
      <c r="S594">
        <f t="shared" si="36"/>
        <v>2</v>
      </c>
      <c r="T594">
        <f t="shared" si="37"/>
        <v>14</v>
      </c>
      <c r="U594">
        <f t="shared" si="38"/>
        <v>7</v>
      </c>
      <c r="V594" s="13" t="str">
        <f t="shared" si="39"/>
        <v>Thursday</v>
      </c>
    </row>
    <row r="595" spans="1:22" x14ac:dyDescent="0.25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 s="1">
        <v>75.2</v>
      </c>
      <c r="H595">
        <v>3</v>
      </c>
      <c r="I595" s="1">
        <v>11.28</v>
      </c>
      <c r="J595" s="1">
        <v>236.88</v>
      </c>
      <c r="K595" s="3">
        <v>43587</v>
      </c>
      <c r="L595" s="2">
        <v>0.49375000000000002</v>
      </c>
      <c r="M595" t="s">
        <v>23</v>
      </c>
      <c r="N595" s="1">
        <v>225.6</v>
      </c>
      <c r="O595" s="1">
        <v>4.7619047620000003</v>
      </c>
      <c r="P595" s="1">
        <v>11.28</v>
      </c>
      <c r="Q595">
        <v>4.8</v>
      </c>
      <c r="R595" s="13">
        <v>43501</v>
      </c>
      <c r="S595">
        <f t="shared" si="36"/>
        <v>2</v>
      </c>
      <c r="T595">
        <f t="shared" si="37"/>
        <v>11</v>
      </c>
      <c r="U595">
        <f t="shared" si="38"/>
        <v>5</v>
      </c>
      <c r="V595" s="13" t="str">
        <f t="shared" si="39"/>
        <v>Tuesday</v>
      </c>
    </row>
    <row r="596" spans="1:22" x14ac:dyDescent="0.25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 s="1">
        <v>96.8</v>
      </c>
      <c r="H596">
        <v>3</v>
      </c>
      <c r="I596" s="1">
        <v>14.52</v>
      </c>
      <c r="J596" s="1">
        <v>304.92</v>
      </c>
      <c r="K596" s="3" t="s">
        <v>67</v>
      </c>
      <c r="L596" s="2">
        <v>0.54513888888888884</v>
      </c>
      <c r="M596" t="s">
        <v>29</v>
      </c>
      <c r="N596" s="1">
        <v>290.39999999999998</v>
      </c>
      <c r="O596" s="1">
        <v>4.7619047620000003</v>
      </c>
      <c r="P596" s="1">
        <v>14.52</v>
      </c>
      <c r="Q596">
        <v>5.3</v>
      </c>
      <c r="R596" s="13">
        <v>43539</v>
      </c>
      <c r="S596">
        <f t="shared" si="36"/>
        <v>3</v>
      </c>
      <c r="T596">
        <f t="shared" si="37"/>
        <v>13</v>
      </c>
      <c r="U596">
        <f t="shared" si="38"/>
        <v>15</v>
      </c>
      <c r="V596" s="13" t="str">
        <f t="shared" si="39"/>
        <v>Friday</v>
      </c>
    </row>
    <row r="597" spans="1:22" x14ac:dyDescent="0.25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 s="1">
        <v>14.82</v>
      </c>
      <c r="H597">
        <v>3</v>
      </c>
      <c r="I597" s="1">
        <v>2.2229999999999999</v>
      </c>
      <c r="J597" s="1">
        <v>46.683</v>
      </c>
      <c r="K597" s="3">
        <v>43468</v>
      </c>
      <c r="L597" s="2">
        <v>0.47916666666666669</v>
      </c>
      <c r="M597" t="s">
        <v>33</v>
      </c>
      <c r="N597" s="1">
        <v>44.46</v>
      </c>
      <c r="O597" s="1">
        <v>4.7619047620000003</v>
      </c>
      <c r="P597" s="1">
        <v>2.2229999999999999</v>
      </c>
      <c r="Q597">
        <v>8.6999999999999993</v>
      </c>
      <c r="R597" s="13">
        <v>43525</v>
      </c>
      <c r="S597">
        <f t="shared" si="36"/>
        <v>3</v>
      </c>
      <c r="T597">
        <f t="shared" si="37"/>
        <v>11</v>
      </c>
      <c r="U597">
        <f t="shared" si="38"/>
        <v>1</v>
      </c>
      <c r="V597" s="13" t="str">
        <f t="shared" si="39"/>
        <v>Friday</v>
      </c>
    </row>
    <row r="598" spans="1:22" x14ac:dyDescent="0.25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 s="1">
        <v>52.2</v>
      </c>
      <c r="H598">
        <v>3</v>
      </c>
      <c r="I598" s="1">
        <v>7.83</v>
      </c>
      <c r="J598" s="1">
        <v>164.43</v>
      </c>
      <c r="K598" s="3" t="s">
        <v>118</v>
      </c>
      <c r="L598" s="2">
        <v>0.5625</v>
      </c>
      <c r="M598" t="s">
        <v>33</v>
      </c>
      <c r="N598" s="1">
        <v>156.6</v>
      </c>
      <c r="O598" s="1">
        <v>4.7619047620000003</v>
      </c>
      <c r="P598" s="1">
        <v>7.83</v>
      </c>
      <c r="Q598">
        <v>9.5</v>
      </c>
      <c r="R598" s="13">
        <v>43511</v>
      </c>
      <c r="S598">
        <f t="shared" si="36"/>
        <v>2</v>
      </c>
      <c r="T598">
        <f t="shared" si="37"/>
        <v>13</v>
      </c>
      <c r="U598">
        <f t="shared" si="38"/>
        <v>15</v>
      </c>
      <c r="V598" s="13" t="str">
        <f t="shared" si="39"/>
        <v>Friday</v>
      </c>
    </row>
    <row r="599" spans="1:22" x14ac:dyDescent="0.25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 s="1">
        <v>46.66</v>
      </c>
      <c r="H599">
        <v>9</v>
      </c>
      <c r="I599" s="1">
        <v>20.997</v>
      </c>
      <c r="J599" s="1">
        <v>440.93700000000001</v>
      </c>
      <c r="K599" s="3" t="s">
        <v>69</v>
      </c>
      <c r="L599" s="2">
        <v>0.7993055555555556</v>
      </c>
      <c r="M599" t="s">
        <v>23</v>
      </c>
      <c r="N599" s="1">
        <v>419.94</v>
      </c>
      <c r="O599" s="1">
        <v>4.7619047620000003</v>
      </c>
      <c r="P599" s="1">
        <v>20.997</v>
      </c>
      <c r="Q599">
        <v>5.3</v>
      </c>
      <c r="R599" s="13">
        <v>43513</v>
      </c>
      <c r="S599">
        <f t="shared" si="36"/>
        <v>2</v>
      </c>
      <c r="T599">
        <f t="shared" si="37"/>
        <v>19</v>
      </c>
      <c r="U599">
        <f t="shared" si="38"/>
        <v>17</v>
      </c>
      <c r="V599" s="13" t="str">
        <f t="shared" si="39"/>
        <v>Sunday</v>
      </c>
    </row>
    <row r="600" spans="1:22" x14ac:dyDescent="0.25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 s="1">
        <v>36.85</v>
      </c>
      <c r="H600">
        <v>5</v>
      </c>
      <c r="I600" s="1">
        <v>9.2125000000000004</v>
      </c>
      <c r="J600" s="1">
        <v>193.46250000000001</v>
      </c>
      <c r="K600" s="3" t="s">
        <v>145</v>
      </c>
      <c r="L600" s="2">
        <v>0.78680555555555554</v>
      </c>
      <c r="M600" t="s">
        <v>29</v>
      </c>
      <c r="N600" s="1">
        <v>184.25</v>
      </c>
      <c r="O600" s="1">
        <v>4.7619047620000003</v>
      </c>
      <c r="P600" s="1">
        <v>9.2125000000000004</v>
      </c>
      <c r="Q600">
        <v>9.1999999999999993</v>
      </c>
      <c r="R600" s="13">
        <v>43491</v>
      </c>
      <c r="S600">
        <f t="shared" si="36"/>
        <v>1</v>
      </c>
      <c r="T600">
        <f t="shared" si="37"/>
        <v>18</v>
      </c>
      <c r="U600">
        <f t="shared" si="38"/>
        <v>26</v>
      </c>
      <c r="V600" s="13" t="str">
        <f t="shared" si="39"/>
        <v>Saturday</v>
      </c>
    </row>
    <row r="601" spans="1:22" x14ac:dyDescent="0.25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 s="1">
        <v>70.319999999999993</v>
      </c>
      <c r="H601">
        <v>2</v>
      </c>
      <c r="I601" s="1">
        <v>7.032</v>
      </c>
      <c r="J601" s="1">
        <v>147.672</v>
      </c>
      <c r="K601" s="3" t="s">
        <v>177</v>
      </c>
      <c r="L601" s="2">
        <v>0.59861111111111109</v>
      </c>
      <c r="M601" t="s">
        <v>23</v>
      </c>
      <c r="N601" s="1">
        <v>140.63999999999999</v>
      </c>
      <c r="O601" s="1">
        <v>4.7619047620000003</v>
      </c>
      <c r="P601" s="1">
        <v>7.032</v>
      </c>
      <c r="Q601">
        <v>9.6</v>
      </c>
      <c r="R601" s="13">
        <v>43548</v>
      </c>
      <c r="S601">
        <f t="shared" si="36"/>
        <v>3</v>
      </c>
      <c r="T601">
        <f t="shared" si="37"/>
        <v>14</v>
      </c>
      <c r="U601">
        <f t="shared" si="38"/>
        <v>24</v>
      </c>
      <c r="V601" s="13" t="str">
        <f t="shared" si="39"/>
        <v>Sunday</v>
      </c>
    </row>
    <row r="602" spans="1:22" x14ac:dyDescent="0.25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 s="1">
        <v>83.08</v>
      </c>
      <c r="H602">
        <v>1</v>
      </c>
      <c r="I602" s="1">
        <v>4.1539999999999999</v>
      </c>
      <c r="J602" s="1">
        <v>87.233999999999995</v>
      </c>
      <c r="K602" s="3" t="s">
        <v>147</v>
      </c>
      <c r="L602" s="2">
        <v>0.71944444444444444</v>
      </c>
      <c r="M602" t="s">
        <v>23</v>
      </c>
      <c r="N602" s="1">
        <v>83.08</v>
      </c>
      <c r="O602" s="1">
        <v>4.7619047620000003</v>
      </c>
      <c r="P602" s="1">
        <v>4.1539999999999999</v>
      </c>
      <c r="Q602">
        <v>6.4</v>
      </c>
      <c r="R602" s="13">
        <v>43488</v>
      </c>
      <c r="S602">
        <f t="shared" si="36"/>
        <v>1</v>
      </c>
      <c r="T602">
        <f t="shared" si="37"/>
        <v>17</v>
      </c>
      <c r="U602">
        <f t="shared" si="38"/>
        <v>23</v>
      </c>
      <c r="V602" s="13" t="str">
        <f t="shared" si="39"/>
        <v>Wednesday</v>
      </c>
    </row>
    <row r="603" spans="1:22" x14ac:dyDescent="0.25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 s="1">
        <v>64.989999999999995</v>
      </c>
      <c r="H603">
        <v>1</v>
      </c>
      <c r="I603" s="1">
        <v>3.2494999999999998</v>
      </c>
      <c r="J603" s="1">
        <v>68.239500000000007</v>
      </c>
      <c r="K603" s="3" t="s">
        <v>145</v>
      </c>
      <c r="L603" s="2">
        <v>0.42083333333333334</v>
      </c>
      <c r="M603" t="s">
        <v>33</v>
      </c>
      <c r="N603" s="1">
        <v>64.989999999999995</v>
      </c>
      <c r="O603" s="1">
        <v>4.7619047620000003</v>
      </c>
      <c r="P603" s="1">
        <v>3.2494999999999998</v>
      </c>
      <c r="Q603">
        <v>4.5</v>
      </c>
      <c r="R603" s="13">
        <v>43491</v>
      </c>
      <c r="S603">
        <f t="shared" si="36"/>
        <v>1</v>
      </c>
      <c r="T603">
        <f t="shared" si="37"/>
        <v>10</v>
      </c>
      <c r="U603">
        <f t="shared" si="38"/>
        <v>26</v>
      </c>
      <c r="V603" s="13" t="str">
        <f t="shared" si="39"/>
        <v>Saturday</v>
      </c>
    </row>
    <row r="604" spans="1:22" x14ac:dyDescent="0.25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 s="1">
        <v>77.56</v>
      </c>
      <c r="H604">
        <v>10</v>
      </c>
      <c r="I604" s="1">
        <v>38.78</v>
      </c>
      <c r="J604" s="1">
        <v>814.38</v>
      </c>
      <c r="K604" s="3" t="s">
        <v>354</v>
      </c>
      <c r="L604" s="2">
        <v>0.85763888888888884</v>
      </c>
      <c r="M604" t="s">
        <v>23</v>
      </c>
      <c r="N604" s="1">
        <v>775.6</v>
      </c>
      <c r="O604" s="1">
        <v>4.7619047620000003</v>
      </c>
      <c r="P604" s="1">
        <v>38.78</v>
      </c>
      <c r="Q604">
        <v>6.9</v>
      </c>
      <c r="R604" s="13">
        <v>43538</v>
      </c>
      <c r="S604">
        <f t="shared" si="36"/>
        <v>3</v>
      </c>
      <c r="T604">
        <f t="shared" si="37"/>
        <v>20</v>
      </c>
      <c r="U604">
        <f t="shared" si="38"/>
        <v>14</v>
      </c>
      <c r="V604" s="13" t="str">
        <f t="shared" si="39"/>
        <v>Thursday</v>
      </c>
    </row>
    <row r="605" spans="1:22" x14ac:dyDescent="0.25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 s="1">
        <v>54.51</v>
      </c>
      <c r="H605">
        <v>6</v>
      </c>
      <c r="I605" s="1">
        <v>16.353000000000002</v>
      </c>
      <c r="J605" s="1">
        <v>343.41300000000001</v>
      </c>
      <c r="K605" s="3" t="s">
        <v>338</v>
      </c>
      <c r="L605" s="2">
        <v>0.57916666666666672</v>
      </c>
      <c r="M605" t="s">
        <v>23</v>
      </c>
      <c r="N605" s="1">
        <v>327.06</v>
      </c>
      <c r="O605" s="1">
        <v>4.7619047620000003</v>
      </c>
      <c r="P605" s="1">
        <v>16.353000000000002</v>
      </c>
      <c r="Q605">
        <v>7.8</v>
      </c>
      <c r="R605" s="13">
        <v>43541</v>
      </c>
      <c r="S605">
        <f t="shared" si="36"/>
        <v>3</v>
      </c>
      <c r="T605">
        <f t="shared" si="37"/>
        <v>13</v>
      </c>
      <c r="U605">
        <f t="shared" si="38"/>
        <v>17</v>
      </c>
      <c r="V605" s="13" t="str">
        <f t="shared" si="39"/>
        <v>Sunday</v>
      </c>
    </row>
    <row r="606" spans="1:22" x14ac:dyDescent="0.25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 s="1">
        <v>51.89</v>
      </c>
      <c r="H606">
        <v>7</v>
      </c>
      <c r="I606" s="1">
        <v>18.1615</v>
      </c>
      <c r="J606" s="1">
        <v>381.39150000000001</v>
      </c>
      <c r="K606" s="3">
        <v>43678</v>
      </c>
      <c r="L606" s="2">
        <v>0.83888888888888891</v>
      </c>
      <c r="M606" t="s">
        <v>29</v>
      </c>
      <c r="N606" s="1">
        <v>363.23</v>
      </c>
      <c r="O606" s="1">
        <v>4.7619047620000003</v>
      </c>
      <c r="P606" s="1">
        <v>18.1615</v>
      </c>
      <c r="Q606">
        <v>4.5</v>
      </c>
      <c r="R606" s="13">
        <v>43473</v>
      </c>
      <c r="S606">
        <f t="shared" si="36"/>
        <v>1</v>
      </c>
      <c r="T606">
        <f t="shared" si="37"/>
        <v>20</v>
      </c>
      <c r="U606">
        <f t="shared" si="38"/>
        <v>8</v>
      </c>
      <c r="V606" s="13" t="str">
        <f t="shared" si="39"/>
        <v>Tuesday</v>
      </c>
    </row>
    <row r="607" spans="1:22" x14ac:dyDescent="0.25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 s="1">
        <v>31.75</v>
      </c>
      <c r="H607">
        <v>4</v>
      </c>
      <c r="I607" s="1">
        <v>6.35</v>
      </c>
      <c r="J607" s="1">
        <v>133.35</v>
      </c>
      <c r="K607" s="3">
        <v>43679</v>
      </c>
      <c r="L607" s="2">
        <v>0.6430555555555556</v>
      </c>
      <c r="M607" t="s">
        <v>29</v>
      </c>
      <c r="N607" s="1">
        <v>127</v>
      </c>
      <c r="O607" s="1">
        <v>4.7619047620000003</v>
      </c>
      <c r="P607" s="1">
        <v>6.35</v>
      </c>
      <c r="Q607">
        <v>8.6</v>
      </c>
      <c r="R607" s="13">
        <v>43504</v>
      </c>
      <c r="S607">
        <f t="shared" si="36"/>
        <v>2</v>
      </c>
      <c r="T607">
        <f t="shared" si="37"/>
        <v>15</v>
      </c>
      <c r="U607">
        <f t="shared" si="38"/>
        <v>8</v>
      </c>
      <c r="V607" s="13" t="str">
        <f t="shared" si="39"/>
        <v>Friday</v>
      </c>
    </row>
    <row r="608" spans="1:22" x14ac:dyDescent="0.25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 s="1">
        <v>53.65</v>
      </c>
      <c r="H608">
        <v>7</v>
      </c>
      <c r="I608" s="1">
        <v>18.7775</v>
      </c>
      <c r="J608" s="1">
        <v>394.32749999999999</v>
      </c>
      <c r="K608" s="3">
        <v>43740</v>
      </c>
      <c r="L608" s="2">
        <v>0.53888888888888886</v>
      </c>
      <c r="M608" t="s">
        <v>23</v>
      </c>
      <c r="N608" s="1">
        <v>375.55</v>
      </c>
      <c r="O608" s="1">
        <v>4.7619047620000003</v>
      </c>
      <c r="P608" s="1">
        <v>18.7775</v>
      </c>
      <c r="Q608">
        <v>5.2</v>
      </c>
      <c r="R608" s="13">
        <v>43506</v>
      </c>
      <c r="S608">
        <f t="shared" si="36"/>
        <v>2</v>
      </c>
      <c r="T608">
        <f t="shared" si="37"/>
        <v>12</v>
      </c>
      <c r="U608">
        <f t="shared" si="38"/>
        <v>10</v>
      </c>
      <c r="V608" s="13" t="str">
        <f t="shared" si="39"/>
        <v>Sunday</v>
      </c>
    </row>
    <row r="609" spans="1:22" x14ac:dyDescent="0.25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 s="1">
        <v>49.79</v>
      </c>
      <c r="H609">
        <v>4</v>
      </c>
      <c r="I609" s="1">
        <v>9.9580000000000002</v>
      </c>
      <c r="J609" s="1">
        <v>209.11799999999999</v>
      </c>
      <c r="K609" s="3" t="s">
        <v>171</v>
      </c>
      <c r="L609" s="2">
        <v>0.80277777777777781</v>
      </c>
      <c r="M609" t="s">
        <v>33</v>
      </c>
      <c r="N609" s="1">
        <v>199.16</v>
      </c>
      <c r="O609" s="1">
        <v>4.7619047620000003</v>
      </c>
      <c r="P609" s="1">
        <v>9.9580000000000002</v>
      </c>
      <c r="Q609">
        <v>6.4</v>
      </c>
      <c r="R609" s="13">
        <v>43552</v>
      </c>
      <c r="S609">
        <f t="shared" si="36"/>
        <v>3</v>
      </c>
      <c r="T609">
        <f t="shared" si="37"/>
        <v>19</v>
      </c>
      <c r="U609">
        <f t="shared" si="38"/>
        <v>28</v>
      </c>
      <c r="V609" s="13" t="str">
        <f t="shared" si="39"/>
        <v>Thursday</v>
      </c>
    </row>
    <row r="610" spans="1:22" x14ac:dyDescent="0.25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 s="1">
        <v>30.61</v>
      </c>
      <c r="H610">
        <v>1</v>
      </c>
      <c r="I610" s="1">
        <v>1.5305</v>
      </c>
      <c r="J610" s="1">
        <v>32.140500000000003</v>
      </c>
      <c r="K610" s="3" t="s">
        <v>147</v>
      </c>
      <c r="L610" s="2">
        <v>0.51388888888888884</v>
      </c>
      <c r="M610" t="s">
        <v>23</v>
      </c>
      <c r="N610" s="1">
        <v>30.61</v>
      </c>
      <c r="O610" s="1">
        <v>4.7619047620000003</v>
      </c>
      <c r="P610" s="1">
        <v>1.5305</v>
      </c>
      <c r="Q610">
        <v>5.2</v>
      </c>
      <c r="R610" s="13">
        <v>43488</v>
      </c>
      <c r="S610">
        <f t="shared" si="36"/>
        <v>1</v>
      </c>
      <c r="T610">
        <f t="shared" si="37"/>
        <v>12</v>
      </c>
      <c r="U610">
        <f t="shared" si="38"/>
        <v>23</v>
      </c>
      <c r="V610" s="13" t="str">
        <f t="shared" si="39"/>
        <v>Wednesday</v>
      </c>
    </row>
    <row r="611" spans="1:22" x14ac:dyDescent="0.25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 s="1">
        <v>57.89</v>
      </c>
      <c r="H611">
        <v>2</v>
      </c>
      <c r="I611" s="1">
        <v>5.7889999999999997</v>
      </c>
      <c r="J611" s="1">
        <v>121.569</v>
      </c>
      <c r="K611" s="3" t="s">
        <v>91</v>
      </c>
      <c r="L611" s="2">
        <v>0.44236111111111109</v>
      </c>
      <c r="M611" t="s">
        <v>23</v>
      </c>
      <c r="N611" s="1">
        <v>115.78</v>
      </c>
      <c r="O611" s="1">
        <v>4.7619047620000003</v>
      </c>
      <c r="P611" s="1">
        <v>5.7889999999999997</v>
      </c>
      <c r="Q611">
        <v>8.9</v>
      </c>
      <c r="R611" s="13">
        <v>43482</v>
      </c>
      <c r="S611">
        <f t="shared" si="36"/>
        <v>1</v>
      </c>
      <c r="T611">
        <f t="shared" si="37"/>
        <v>10</v>
      </c>
      <c r="U611">
        <f t="shared" si="38"/>
        <v>17</v>
      </c>
      <c r="V611" s="13" t="str">
        <f t="shared" si="39"/>
        <v>Thursday</v>
      </c>
    </row>
    <row r="612" spans="1:22" x14ac:dyDescent="0.25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 s="1">
        <v>28.96</v>
      </c>
      <c r="H612">
        <v>1</v>
      </c>
      <c r="I612" s="1">
        <v>1.448</v>
      </c>
      <c r="J612" s="1">
        <v>30.408000000000001</v>
      </c>
      <c r="K612" s="3">
        <v>43648</v>
      </c>
      <c r="L612" s="2">
        <v>0.42916666666666664</v>
      </c>
      <c r="M612" t="s">
        <v>33</v>
      </c>
      <c r="N612" s="1">
        <v>28.96</v>
      </c>
      <c r="O612" s="1">
        <v>4.7619047620000003</v>
      </c>
      <c r="P612" s="1">
        <v>1.448</v>
      </c>
      <c r="Q612">
        <v>6.2</v>
      </c>
      <c r="R612" s="13">
        <v>43503</v>
      </c>
      <c r="S612">
        <f t="shared" si="36"/>
        <v>2</v>
      </c>
      <c r="T612">
        <f t="shared" si="37"/>
        <v>10</v>
      </c>
      <c r="U612">
        <f t="shared" si="38"/>
        <v>7</v>
      </c>
      <c r="V612" s="13" t="str">
        <f t="shared" si="39"/>
        <v>Thursday</v>
      </c>
    </row>
    <row r="613" spans="1:22" x14ac:dyDescent="0.25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 s="1">
        <v>98.97</v>
      </c>
      <c r="H613">
        <v>9</v>
      </c>
      <c r="I613" s="1">
        <v>44.536499999999997</v>
      </c>
      <c r="J613" s="1">
        <v>935.26649999999995</v>
      </c>
      <c r="K613" s="3">
        <v>43711</v>
      </c>
      <c r="L613" s="2">
        <v>0.47430555555555554</v>
      </c>
      <c r="M613" t="s">
        <v>29</v>
      </c>
      <c r="N613" s="1">
        <v>890.73</v>
      </c>
      <c r="O613" s="1">
        <v>4.7619047620000003</v>
      </c>
      <c r="P613" s="1">
        <v>44.536499999999997</v>
      </c>
      <c r="Q613">
        <v>6.7</v>
      </c>
      <c r="R613" s="13">
        <v>43533</v>
      </c>
      <c r="S613">
        <f t="shared" si="36"/>
        <v>3</v>
      </c>
      <c r="T613">
        <f t="shared" si="37"/>
        <v>11</v>
      </c>
      <c r="U613">
        <f t="shared" si="38"/>
        <v>9</v>
      </c>
      <c r="V613" s="13" t="str">
        <f t="shared" si="39"/>
        <v>Saturday</v>
      </c>
    </row>
    <row r="614" spans="1:22" x14ac:dyDescent="0.25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 s="1">
        <v>93.22</v>
      </c>
      <c r="H614">
        <v>3</v>
      </c>
      <c r="I614" s="1">
        <v>13.983000000000001</v>
      </c>
      <c r="J614" s="1">
        <v>293.64299999999997</v>
      </c>
      <c r="K614" s="3" t="s">
        <v>129</v>
      </c>
      <c r="L614" s="2">
        <v>0.48958333333333331</v>
      </c>
      <c r="M614" t="s">
        <v>29</v>
      </c>
      <c r="N614" s="1">
        <v>279.66000000000003</v>
      </c>
      <c r="O614" s="1">
        <v>4.7619047620000003</v>
      </c>
      <c r="P614" s="1">
        <v>13.983000000000001</v>
      </c>
      <c r="Q614">
        <v>7.2</v>
      </c>
      <c r="R614" s="13">
        <v>43489</v>
      </c>
      <c r="S614">
        <f t="shared" si="36"/>
        <v>1</v>
      </c>
      <c r="T614">
        <f t="shared" si="37"/>
        <v>11</v>
      </c>
      <c r="U614">
        <f t="shared" si="38"/>
        <v>24</v>
      </c>
      <c r="V614" s="13" t="str">
        <f t="shared" si="39"/>
        <v>Thursday</v>
      </c>
    </row>
    <row r="615" spans="1:22" x14ac:dyDescent="0.25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 s="1">
        <v>80.930000000000007</v>
      </c>
      <c r="H615">
        <v>1</v>
      </c>
      <c r="I615" s="1">
        <v>4.0465</v>
      </c>
      <c r="J615" s="1">
        <v>84.976500000000001</v>
      </c>
      <c r="K615" s="3" t="s">
        <v>183</v>
      </c>
      <c r="L615" s="2">
        <v>0.67222222222222228</v>
      </c>
      <c r="M615" t="s">
        <v>33</v>
      </c>
      <c r="N615" s="1">
        <v>80.930000000000007</v>
      </c>
      <c r="O615" s="1">
        <v>4.7619047620000003</v>
      </c>
      <c r="P615" s="1">
        <v>4.0465</v>
      </c>
      <c r="Q615">
        <v>9</v>
      </c>
      <c r="R615" s="13">
        <v>43484</v>
      </c>
      <c r="S615">
        <f t="shared" si="36"/>
        <v>1</v>
      </c>
      <c r="T615">
        <f t="shared" si="37"/>
        <v>16</v>
      </c>
      <c r="U615">
        <f t="shared" si="38"/>
        <v>19</v>
      </c>
      <c r="V615" s="13" t="str">
        <f t="shared" si="39"/>
        <v>Saturday</v>
      </c>
    </row>
    <row r="616" spans="1:22" x14ac:dyDescent="0.25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 s="1">
        <v>67.45</v>
      </c>
      <c r="H616">
        <v>10</v>
      </c>
      <c r="I616" s="1">
        <v>33.725000000000001</v>
      </c>
      <c r="J616" s="1">
        <v>708.22500000000002</v>
      </c>
      <c r="K616" s="3">
        <v>43526</v>
      </c>
      <c r="L616" s="2">
        <v>0.47569444444444442</v>
      </c>
      <c r="M616" t="s">
        <v>23</v>
      </c>
      <c r="N616" s="1">
        <v>674.5</v>
      </c>
      <c r="O616" s="1">
        <v>4.7619047620000003</v>
      </c>
      <c r="P616" s="1">
        <v>33.725000000000001</v>
      </c>
      <c r="Q616">
        <v>4.2</v>
      </c>
      <c r="R616" s="13">
        <v>43499</v>
      </c>
      <c r="S616">
        <f t="shared" si="36"/>
        <v>2</v>
      </c>
      <c r="T616">
        <f t="shared" si="37"/>
        <v>11</v>
      </c>
      <c r="U616">
        <f t="shared" si="38"/>
        <v>3</v>
      </c>
      <c r="V616" s="13" t="str">
        <f t="shared" si="39"/>
        <v>Sunday</v>
      </c>
    </row>
    <row r="617" spans="1:22" x14ac:dyDescent="0.25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 s="1">
        <v>38.72</v>
      </c>
      <c r="H617">
        <v>9</v>
      </c>
      <c r="I617" s="1">
        <v>17.423999999999999</v>
      </c>
      <c r="J617" s="1">
        <v>365.904</v>
      </c>
      <c r="K617" s="3" t="s">
        <v>295</v>
      </c>
      <c r="L617" s="2">
        <v>0.51666666666666672</v>
      </c>
      <c r="M617" t="s">
        <v>23</v>
      </c>
      <c r="N617" s="1">
        <v>348.48</v>
      </c>
      <c r="O617" s="1">
        <v>4.7619047620000003</v>
      </c>
      <c r="P617" s="1">
        <v>17.423999999999999</v>
      </c>
      <c r="Q617">
        <v>4.2</v>
      </c>
      <c r="R617" s="13">
        <v>43544</v>
      </c>
      <c r="S617">
        <f t="shared" si="36"/>
        <v>3</v>
      </c>
      <c r="T617">
        <f t="shared" si="37"/>
        <v>12</v>
      </c>
      <c r="U617">
        <f t="shared" si="38"/>
        <v>20</v>
      </c>
      <c r="V617" s="13" t="str">
        <f t="shared" si="39"/>
        <v>Wednesday</v>
      </c>
    </row>
    <row r="618" spans="1:22" x14ac:dyDescent="0.25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 s="1">
        <v>72.599999999999994</v>
      </c>
      <c r="H618">
        <v>6</v>
      </c>
      <c r="I618" s="1">
        <v>21.78</v>
      </c>
      <c r="J618" s="1">
        <v>457.38</v>
      </c>
      <c r="K618" s="3" t="s">
        <v>138</v>
      </c>
      <c r="L618" s="2">
        <v>0.82708333333333328</v>
      </c>
      <c r="M618" t="s">
        <v>29</v>
      </c>
      <c r="N618" s="1">
        <v>435.6</v>
      </c>
      <c r="O618" s="1">
        <v>4.7619047620000003</v>
      </c>
      <c r="P618" s="1">
        <v>21.78</v>
      </c>
      <c r="Q618">
        <v>6.9</v>
      </c>
      <c r="R618" s="13">
        <v>43478</v>
      </c>
      <c r="S618">
        <f t="shared" si="36"/>
        <v>1</v>
      </c>
      <c r="T618">
        <f t="shared" si="37"/>
        <v>19</v>
      </c>
      <c r="U618">
        <f t="shared" si="38"/>
        <v>13</v>
      </c>
      <c r="V618" s="13" t="str">
        <f t="shared" si="39"/>
        <v>Sunday</v>
      </c>
    </row>
    <row r="619" spans="1:22" x14ac:dyDescent="0.25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 s="1">
        <v>87.91</v>
      </c>
      <c r="H619">
        <v>5</v>
      </c>
      <c r="I619" s="1">
        <v>21.977499999999999</v>
      </c>
      <c r="J619" s="1">
        <v>461.52749999999997</v>
      </c>
      <c r="K619" s="3" t="s">
        <v>354</v>
      </c>
      <c r="L619" s="2">
        <v>0.75694444444444442</v>
      </c>
      <c r="M619" t="s">
        <v>23</v>
      </c>
      <c r="N619" s="1">
        <v>439.55</v>
      </c>
      <c r="O619" s="1">
        <v>4.7619047620000003</v>
      </c>
      <c r="P619" s="1">
        <v>21.977499999999999</v>
      </c>
      <c r="Q619">
        <v>4.4000000000000004</v>
      </c>
      <c r="R619" s="13">
        <v>43538</v>
      </c>
      <c r="S619">
        <f t="shared" si="36"/>
        <v>3</v>
      </c>
      <c r="T619">
        <f t="shared" si="37"/>
        <v>18</v>
      </c>
      <c r="U619">
        <f t="shared" si="38"/>
        <v>14</v>
      </c>
      <c r="V619" s="13" t="str">
        <f t="shared" si="39"/>
        <v>Thursday</v>
      </c>
    </row>
    <row r="620" spans="1:22" x14ac:dyDescent="0.25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 s="1">
        <v>98.53</v>
      </c>
      <c r="H620">
        <v>6</v>
      </c>
      <c r="I620" s="1">
        <v>29.559000000000001</v>
      </c>
      <c r="J620" s="1">
        <v>620.73900000000003</v>
      </c>
      <c r="K620" s="3" t="s">
        <v>147</v>
      </c>
      <c r="L620" s="2">
        <v>0.47361111111111109</v>
      </c>
      <c r="M620" t="s">
        <v>33</v>
      </c>
      <c r="N620" s="1">
        <v>591.17999999999995</v>
      </c>
      <c r="O620" s="1">
        <v>4.7619047620000003</v>
      </c>
      <c r="P620" s="1">
        <v>29.559000000000001</v>
      </c>
      <c r="Q620">
        <v>4</v>
      </c>
      <c r="R620" s="13">
        <v>43488</v>
      </c>
      <c r="S620">
        <f t="shared" si="36"/>
        <v>1</v>
      </c>
      <c r="T620">
        <f t="shared" si="37"/>
        <v>11</v>
      </c>
      <c r="U620">
        <f t="shared" si="38"/>
        <v>23</v>
      </c>
      <c r="V620" s="13" t="str">
        <f t="shared" si="39"/>
        <v>Wednesday</v>
      </c>
    </row>
    <row r="621" spans="1:22" x14ac:dyDescent="0.25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 s="1">
        <v>43.46</v>
      </c>
      <c r="H621">
        <v>6</v>
      </c>
      <c r="I621" s="1">
        <v>13.038</v>
      </c>
      <c r="J621" s="1">
        <v>273.798</v>
      </c>
      <c r="K621" s="3">
        <v>43648</v>
      </c>
      <c r="L621" s="2">
        <v>0.74652777777777779</v>
      </c>
      <c r="M621" t="s">
        <v>23</v>
      </c>
      <c r="N621" s="1">
        <v>260.76</v>
      </c>
      <c r="O621" s="1">
        <v>4.7619047620000003</v>
      </c>
      <c r="P621" s="1">
        <v>13.038</v>
      </c>
      <c r="Q621">
        <v>8.5</v>
      </c>
      <c r="R621" s="13">
        <v>43503</v>
      </c>
      <c r="S621">
        <f t="shared" si="36"/>
        <v>2</v>
      </c>
      <c r="T621">
        <f t="shared" si="37"/>
        <v>17</v>
      </c>
      <c r="U621">
        <f t="shared" si="38"/>
        <v>7</v>
      </c>
      <c r="V621" s="13" t="str">
        <f t="shared" si="39"/>
        <v>Thursday</v>
      </c>
    </row>
    <row r="622" spans="1:22" x14ac:dyDescent="0.25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 s="1">
        <v>71.680000000000007</v>
      </c>
      <c r="H622">
        <v>3</v>
      </c>
      <c r="I622" s="1">
        <v>10.752000000000001</v>
      </c>
      <c r="J622" s="1">
        <v>225.792</v>
      </c>
      <c r="K622" s="3" t="s">
        <v>171</v>
      </c>
      <c r="L622" s="2">
        <v>0.64583333333333337</v>
      </c>
      <c r="M622" t="s">
        <v>33</v>
      </c>
      <c r="N622" s="1">
        <v>215.04</v>
      </c>
      <c r="O622" s="1">
        <v>4.7619047620000003</v>
      </c>
      <c r="P622" s="1">
        <v>10.752000000000001</v>
      </c>
      <c r="Q622">
        <v>9.1999999999999993</v>
      </c>
      <c r="R622" s="13">
        <v>43552</v>
      </c>
      <c r="S622">
        <f t="shared" si="36"/>
        <v>3</v>
      </c>
      <c r="T622">
        <f t="shared" si="37"/>
        <v>15</v>
      </c>
      <c r="U622">
        <f t="shared" si="38"/>
        <v>28</v>
      </c>
      <c r="V622" s="13" t="str">
        <f t="shared" si="39"/>
        <v>Thursday</v>
      </c>
    </row>
    <row r="623" spans="1:22" x14ac:dyDescent="0.25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 s="1">
        <v>91.61</v>
      </c>
      <c r="H623">
        <v>1</v>
      </c>
      <c r="I623" s="1">
        <v>4.5804999999999998</v>
      </c>
      <c r="J623" s="1">
        <v>96.1905</v>
      </c>
      <c r="K623" s="3" t="s">
        <v>295</v>
      </c>
      <c r="L623" s="2">
        <v>0.82222222222222219</v>
      </c>
      <c r="M623" t="s">
        <v>29</v>
      </c>
      <c r="N623" s="1">
        <v>91.61</v>
      </c>
      <c r="O623" s="1">
        <v>4.7619047620000003</v>
      </c>
      <c r="P623" s="1">
        <v>4.5804999999999998</v>
      </c>
      <c r="Q623">
        <v>9.8000000000000007</v>
      </c>
      <c r="R623" s="13">
        <v>43544</v>
      </c>
      <c r="S623">
        <f t="shared" si="36"/>
        <v>3</v>
      </c>
      <c r="T623">
        <f t="shared" si="37"/>
        <v>19</v>
      </c>
      <c r="U623">
        <f t="shared" si="38"/>
        <v>20</v>
      </c>
      <c r="V623" s="13" t="str">
        <f t="shared" si="39"/>
        <v>Wednesday</v>
      </c>
    </row>
    <row r="624" spans="1:22" x14ac:dyDescent="0.25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 s="1">
        <v>94.59</v>
      </c>
      <c r="H624">
        <v>7</v>
      </c>
      <c r="I624" s="1">
        <v>33.106499999999997</v>
      </c>
      <c r="J624" s="1">
        <v>695.23649999999998</v>
      </c>
      <c r="K624" s="3" t="s">
        <v>91</v>
      </c>
      <c r="L624" s="2">
        <v>0.64375000000000004</v>
      </c>
      <c r="M624" t="s">
        <v>33</v>
      </c>
      <c r="N624" s="1">
        <v>662.13</v>
      </c>
      <c r="O624" s="1">
        <v>4.7619047620000003</v>
      </c>
      <c r="P624" s="1">
        <v>33.106499999999997</v>
      </c>
      <c r="Q624">
        <v>4.9000000000000004</v>
      </c>
      <c r="R624" s="13">
        <v>43482</v>
      </c>
      <c r="S624">
        <f t="shared" si="36"/>
        <v>1</v>
      </c>
      <c r="T624">
        <f t="shared" si="37"/>
        <v>15</v>
      </c>
      <c r="U624">
        <f t="shared" si="38"/>
        <v>17</v>
      </c>
      <c r="V624" s="13" t="str">
        <f t="shared" si="39"/>
        <v>Thursday</v>
      </c>
    </row>
    <row r="625" spans="1:22" x14ac:dyDescent="0.25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 s="1">
        <v>83.25</v>
      </c>
      <c r="H625">
        <v>10</v>
      </c>
      <c r="I625" s="1">
        <v>41.625</v>
      </c>
      <c r="J625" s="1">
        <v>874.125</v>
      </c>
      <c r="K625" s="3">
        <v>43800</v>
      </c>
      <c r="L625" s="2">
        <v>0.47569444444444442</v>
      </c>
      <c r="M625" t="s">
        <v>33</v>
      </c>
      <c r="N625" s="1">
        <v>832.5</v>
      </c>
      <c r="O625" s="1">
        <v>4.7619047620000003</v>
      </c>
      <c r="P625" s="1">
        <v>41.625</v>
      </c>
      <c r="Q625">
        <v>4.4000000000000004</v>
      </c>
      <c r="R625" s="13">
        <v>43477</v>
      </c>
      <c r="S625">
        <f t="shared" si="36"/>
        <v>1</v>
      </c>
      <c r="T625">
        <f t="shared" si="37"/>
        <v>11</v>
      </c>
      <c r="U625">
        <f t="shared" si="38"/>
        <v>12</v>
      </c>
      <c r="V625" s="13" t="str">
        <f t="shared" si="39"/>
        <v>Saturday</v>
      </c>
    </row>
    <row r="626" spans="1:22" x14ac:dyDescent="0.25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 s="1">
        <v>91.35</v>
      </c>
      <c r="H626">
        <v>1</v>
      </c>
      <c r="I626" s="1">
        <v>4.5674999999999999</v>
      </c>
      <c r="J626" s="1">
        <v>95.917500000000004</v>
      </c>
      <c r="K626" s="3" t="s">
        <v>212</v>
      </c>
      <c r="L626" s="2">
        <v>0.65416666666666667</v>
      </c>
      <c r="M626" t="s">
        <v>29</v>
      </c>
      <c r="N626" s="1">
        <v>91.35</v>
      </c>
      <c r="O626" s="1">
        <v>4.7619047620000003</v>
      </c>
      <c r="P626" s="1">
        <v>4.5674999999999999</v>
      </c>
      <c r="Q626">
        <v>6.8</v>
      </c>
      <c r="R626" s="13">
        <v>43512</v>
      </c>
      <c r="S626">
        <f t="shared" si="36"/>
        <v>2</v>
      </c>
      <c r="T626">
        <f t="shared" si="37"/>
        <v>15</v>
      </c>
      <c r="U626">
        <f t="shared" si="38"/>
        <v>16</v>
      </c>
      <c r="V626" s="13" t="str">
        <f t="shared" si="39"/>
        <v>Saturday</v>
      </c>
    </row>
    <row r="627" spans="1:22" x14ac:dyDescent="0.25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 s="1">
        <v>78.88</v>
      </c>
      <c r="H627">
        <v>2</v>
      </c>
      <c r="I627" s="1">
        <v>7.8879999999999999</v>
      </c>
      <c r="J627" s="1">
        <v>165.648</v>
      </c>
      <c r="K627" s="3" t="s">
        <v>145</v>
      </c>
      <c r="L627" s="2">
        <v>0.6694444444444444</v>
      </c>
      <c r="M627" t="s">
        <v>29</v>
      </c>
      <c r="N627" s="1">
        <v>157.76</v>
      </c>
      <c r="O627" s="1">
        <v>4.7619047620000003</v>
      </c>
      <c r="P627" s="1">
        <v>7.8879999999999999</v>
      </c>
      <c r="Q627">
        <v>9.1</v>
      </c>
      <c r="R627" s="13">
        <v>43491</v>
      </c>
      <c r="S627">
        <f t="shared" si="36"/>
        <v>1</v>
      </c>
      <c r="T627">
        <f t="shared" si="37"/>
        <v>16</v>
      </c>
      <c r="U627">
        <f t="shared" si="38"/>
        <v>26</v>
      </c>
      <c r="V627" s="13" t="str">
        <f t="shared" si="39"/>
        <v>Saturday</v>
      </c>
    </row>
    <row r="628" spans="1:22" x14ac:dyDescent="0.25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 s="1">
        <v>60.87</v>
      </c>
      <c r="H628">
        <v>2</v>
      </c>
      <c r="I628" s="1">
        <v>6.0869999999999997</v>
      </c>
      <c r="J628" s="1">
        <v>127.827</v>
      </c>
      <c r="K628" s="3">
        <v>43711</v>
      </c>
      <c r="L628" s="2">
        <v>0.52569444444444446</v>
      </c>
      <c r="M628" t="s">
        <v>23</v>
      </c>
      <c r="N628" s="1">
        <v>121.74</v>
      </c>
      <c r="O628" s="1">
        <v>4.7619047620000003</v>
      </c>
      <c r="P628" s="1">
        <v>6.0869999999999997</v>
      </c>
      <c r="Q628">
        <v>8.6999999999999993</v>
      </c>
      <c r="R628" s="13">
        <v>43533</v>
      </c>
      <c r="S628">
        <f t="shared" si="36"/>
        <v>3</v>
      </c>
      <c r="T628">
        <f t="shared" si="37"/>
        <v>12</v>
      </c>
      <c r="U628">
        <f t="shared" si="38"/>
        <v>9</v>
      </c>
      <c r="V628" s="13" t="str">
        <f t="shared" si="39"/>
        <v>Saturday</v>
      </c>
    </row>
    <row r="629" spans="1:22" x14ac:dyDescent="0.25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 s="1">
        <v>82.58</v>
      </c>
      <c r="H629">
        <v>10</v>
      </c>
      <c r="I629" s="1">
        <v>41.29</v>
      </c>
      <c r="J629" s="1">
        <v>867.09</v>
      </c>
      <c r="K629" s="3" t="s">
        <v>354</v>
      </c>
      <c r="L629" s="2">
        <v>0.6118055555555556</v>
      </c>
      <c r="M629" t="s">
        <v>29</v>
      </c>
      <c r="N629" s="1">
        <v>825.8</v>
      </c>
      <c r="O629" s="1">
        <v>4.7619047620000003</v>
      </c>
      <c r="P629" s="1">
        <v>41.29</v>
      </c>
      <c r="Q629">
        <v>5</v>
      </c>
      <c r="R629" s="13">
        <v>43538</v>
      </c>
      <c r="S629">
        <f t="shared" si="36"/>
        <v>3</v>
      </c>
      <c r="T629">
        <f t="shared" si="37"/>
        <v>14</v>
      </c>
      <c r="U629">
        <f t="shared" si="38"/>
        <v>14</v>
      </c>
      <c r="V629" s="13" t="str">
        <f t="shared" si="39"/>
        <v>Thursday</v>
      </c>
    </row>
    <row r="630" spans="1:22" x14ac:dyDescent="0.25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 s="1">
        <v>53.3</v>
      </c>
      <c r="H630">
        <v>3</v>
      </c>
      <c r="I630" s="1">
        <v>7.9950000000000001</v>
      </c>
      <c r="J630" s="1">
        <v>167.89500000000001</v>
      </c>
      <c r="K630" s="3" t="s">
        <v>76</v>
      </c>
      <c r="L630" s="2">
        <v>0.59652777777777777</v>
      </c>
      <c r="M630" t="s">
        <v>23</v>
      </c>
      <c r="N630" s="1">
        <v>159.9</v>
      </c>
      <c r="O630" s="1">
        <v>4.7619047620000003</v>
      </c>
      <c r="P630" s="1">
        <v>7.9950000000000001</v>
      </c>
      <c r="Q630">
        <v>7.5</v>
      </c>
      <c r="R630" s="13">
        <v>43490</v>
      </c>
      <c r="S630">
        <f t="shared" si="36"/>
        <v>1</v>
      </c>
      <c r="T630">
        <f t="shared" si="37"/>
        <v>14</v>
      </c>
      <c r="U630">
        <f t="shared" si="38"/>
        <v>25</v>
      </c>
      <c r="V630" s="13" t="str">
        <f t="shared" si="39"/>
        <v>Friday</v>
      </c>
    </row>
    <row r="631" spans="1:22" x14ac:dyDescent="0.25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 s="1">
        <v>12.09</v>
      </c>
      <c r="H631">
        <v>1</v>
      </c>
      <c r="I631" s="1">
        <v>0.60450000000000004</v>
      </c>
      <c r="J631" s="1">
        <v>12.6945</v>
      </c>
      <c r="K631" s="3" t="s">
        <v>145</v>
      </c>
      <c r="L631" s="2">
        <v>0.7631944444444444</v>
      </c>
      <c r="M631" t="s">
        <v>33</v>
      </c>
      <c r="N631" s="1">
        <v>12.09</v>
      </c>
      <c r="O631" s="1">
        <v>4.7619047620000003</v>
      </c>
      <c r="P631" s="1">
        <v>0.60450000000000004</v>
      </c>
      <c r="Q631">
        <v>8.1999999999999993</v>
      </c>
      <c r="R631" s="13">
        <v>43491</v>
      </c>
      <c r="S631">
        <f t="shared" si="36"/>
        <v>1</v>
      </c>
      <c r="T631">
        <f t="shared" si="37"/>
        <v>18</v>
      </c>
      <c r="U631">
        <f t="shared" si="38"/>
        <v>26</v>
      </c>
      <c r="V631" s="13" t="str">
        <f t="shared" si="39"/>
        <v>Saturday</v>
      </c>
    </row>
    <row r="632" spans="1:22" x14ac:dyDescent="0.25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 s="1">
        <v>64.19</v>
      </c>
      <c r="H632">
        <v>10</v>
      </c>
      <c r="I632" s="1">
        <v>32.094999999999999</v>
      </c>
      <c r="J632" s="1">
        <v>673.995</v>
      </c>
      <c r="K632" s="3" t="s">
        <v>183</v>
      </c>
      <c r="L632" s="2">
        <v>0.58888888888888891</v>
      </c>
      <c r="M632" t="s">
        <v>33</v>
      </c>
      <c r="N632" s="1">
        <v>641.9</v>
      </c>
      <c r="O632" s="1">
        <v>4.7619047620000003</v>
      </c>
      <c r="P632" s="1">
        <v>32.094999999999999</v>
      </c>
      <c r="Q632">
        <v>6.7</v>
      </c>
      <c r="R632" s="13">
        <v>43484</v>
      </c>
      <c r="S632">
        <f t="shared" si="36"/>
        <v>1</v>
      </c>
      <c r="T632">
        <f t="shared" si="37"/>
        <v>14</v>
      </c>
      <c r="U632">
        <f t="shared" si="38"/>
        <v>19</v>
      </c>
      <c r="V632" s="13" t="str">
        <f t="shared" si="39"/>
        <v>Saturday</v>
      </c>
    </row>
    <row r="633" spans="1:22" x14ac:dyDescent="0.25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 s="1">
        <v>78.31</v>
      </c>
      <c r="H633">
        <v>3</v>
      </c>
      <c r="I633" s="1">
        <v>11.746499999999999</v>
      </c>
      <c r="J633" s="1">
        <v>246.6765</v>
      </c>
      <c r="K633" s="3">
        <v>43588</v>
      </c>
      <c r="L633" s="2">
        <v>0.69305555555555554</v>
      </c>
      <c r="M633" t="s">
        <v>23</v>
      </c>
      <c r="N633" s="1">
        <v>234.93</v>
      </c>
      <c r="O633" s="1">
        <v>4.7619047620000003</v>
      </c>
      <c r="P633" s="1">
        <v>11.746499999999999</v>
      </c>
      <c r="Q633">
        <v>5.4</v>
      </c>
      <c r="R633" s="13">
        <v>43529</v>
      </c>
      <c r="S633">
        <f t="shared" si="36"/>
        <v>3</v>
      </c>
      <c r="T633">
        <f t="shared" si="37"/>
        <v>16</v>
      </c>
      <c r="U633">
        <f t="shared" si="38"/>
        <v>5</v>
      </c>
      <c r="V633" s="13" t="str">
        <f t="shared" si="39"/>
        <v>Tuesday</v>
      </c>
    </row>
    <row r="634" spans="1:22" x14ac:dyDescent="0.25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 s="1">
        <v>83.77</v>
      </c>
      <c r="H634">
        <v>2</v>
      </c>
      <c r="I634" s="1">
        <v>8.3770000000000007</v>
      </c>
      <c r="J634" s="1">
        <v>175.917</v>
      </c>
      <c r="K634" s="3" t="s">
        <v>58</v>
      </c>
      <c r="L634" s="2">
        <v>0.45416666666666666</v>
      </c>
      <c r="M634" t="s">
        <v>33</v>
      </c>
      <c r="N634" s="1">
        <v>167.54</v>
      </c>
      <c r="O634" s="1">
        <v>4.7619047620000003</v>
      </c>
      <c r="P634" s="1">
        <v>8.3770000000000007</v>
      </c>
      <c r="Q634">
        <v>7</v>
      </c>
      <c r="R634" s="13">
        <v>43480</v>
      </c>
      <c r="S634">
        <f t="shared" si="36"/>
        <v>1</v>
      </c>
      <c r="T634">
        <f t="shared" si="37"/>
        <v>10</v>
      </c>
      <c r="U634">
        <f t="shared" si="38"/>
        <v>15</v>
      </c>
      <c r="V634" s="13" t="str">
        <f t="shared" si="39"/>
        <v>Tuesday</v>
      </c>
    </row>
    <row r="635" spans="1:22" x14ac:dyDescent="0.25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 s="1">
        <v>99.7</v>
      </c>
      <c r="H635">
        <v>3</v>
      </c>
      <c r="I635" s="1">
        <v>14.955</v>
      </c>
      <c r="J635" s="1">
        <v>314.05500000000001</v>
      </c>
      <c r="K635" s="3" t="s">
        <v>289</v>
      </c>
      <c r="L635" s="2">
        <v>0.47847222222222224</v>
      </c>
      <c r="M635" t="s">
        <v>23</v>
      </c>
      <c r="N635" s="1">
        <v>299.10000000000002</v>
      </c>
      <c r="O635" s="1">
        <v>4.7619047620000003</v>
      </c>
      <c r="P635" s="1">
        <v>14.955</v>
      </c>
      <c r="Q635">
        <v>4.7</v>
      </c>
      <c r="R635" s="13">
        <v>43542</v>
      </c>
      <c r="S635">
        <f t="shared" si="36"/>
        <v>3</v>
      </c>
      <c r="T635">
        <f t="shared" si="37"/>
        <v>11</v>
      </c>
      <c r="U635">
        <f t="shared" si="38"/>
        <v>18</v>
      </c>
      <c r="V635" s="13" t="str">
        <f t="shared" si="39"/>
        <v>Monday</v>
      </c>
    </row>
    <row r="636" spans="1:22" x14ac:dyDescent="0.25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 s="1">
        <v>79.91</v>
      </c>
      <c r="H636">
        <v>3</v>
      </c>
      <c r="I636" s="1">
        <v>11.986499999999999</v>
      </c>
      <c r="J636" s="1">
        <v>251.7165</v>
      </c>
      <c r="K636" s="3" t="s">
        <v>295</v>
      </c>
      <c r="L636" s="2">
        <v>0.81111111111111112</v>
      </c>
      <c r="M636" t="s">
        <v>33</v>
      </c>
      <c r="N636" s="1">
        <v>239.73</v>
      </c>
      <c r="O636" s="1">
        <v>4.7619047620000003</v>
      </c>
      <c r="P636" s="1">
        <v>11.986499999999999</v>
      </c>
      <c r="Q636">
        <v>5</v>
      </c>
      <c r="R636" s="13">
        <v>43544</v>
      </c>
      <c r="S636">
        <f t="shared" si="36"/>
        <v>3</v>
      </c>
      <c r="T636">
        <f t="shared" si="37"/>
        <v>19</v>
      </c>
      <c r="U636">
        <f t="shared" si="38"/>
        <v>20</v>
      </c>
      <c r="V636" s="13" t="str">
        <f t="shared" si="39"/>
        <v>Wednesday</v>
      </c>
    </row>
    <row r="637" spans="1:22" x14ac:dyDescent="0.25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 s="1">
        <v>66.47</v>
      </c>
      <c r="H637">
        <v>10</v>
      </c>
      <c r="I637" s="1">
        <v>33.234999999999999</v>
      </c>
      <c r="J637" s="1">
        <v>697.93499999999995</v>
      </c>
      <c r="K637" s="3" t="s">
        <v>58</v>
      </c>
      <c r="L637" s="2">
        <v>0.62569444444444444</v>
      </c>
      <c r="M637" t="s">
        <v>33</v>
      </c>
      <c r="N637" s="1">
        <v>664.7</v>
      </c>
      <c r="O637" s="1">
        <v>4.7619047620000003</v>
      </c>
      <c r="P637" s="1">
        <v>33.234999999999999</v>
      </c>
      <c r="Q637">
        <v>5</v>
      </c>
      <c r="R637" s="13">
        <v>43480</v>
      </c>
      <c r="S637">
        <f t="shared" si="36"/>
        <v>1</v>
      </c>
      <c r="T637">
        <f t="shared" si="37"/>
        <v>15</v>
      </c>
      <c r="U637">
        <f t="shared" si="38"/>
        <v>15</v>
      </c>
      <c r="V637" s="13" t="str">
        <f t="shared" si="39"/>
        <v>Tuesday</v>
      </c>
    </row>
    <row r="638" spans="1:22" x14ac:dyDescent="0.25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 s="1">
        <v>28.95</v>
      </c>
      <c r="H638">
        <v>7</v>
      </c>
      <c r="I638" s="1">
        <v>10.1325</v>
      </c>
      <c r="J638" s="1">
        <v>212.7825</v>
      </c>
      <c r="K638" s="3">
        <v>43527</v>
      </c>
      <c r="L638" s="2">
        <v>0.85486111111111107</v>
      </c>
      <c r="M638" t="s">
        <v>33</v>
      </c>
      <c r="N638" s="1">
        <v>202.65</v>
      </c>
      <c r="O638" s="1">
        <v>4.7619047620000003</v>
      </c>
      <c r="P638" s="1">
        <v>10.1325</v>
      </c>
      <c r="Q638">
        <v>6</v>
      </c>
      <c r="R638" s="13">
        <v>43527</v>
      </c>
      <c r="S638">
        <f t="shared" si="36"/>
        <v>3</v>
      </c>
      <c r="T638">
        <f t="shared" si="37"/>
        <v>20</v>
      </c>
      <c r="U638">
        <f t="shared" si="38"/>
        <v>3</v>
      </c>
      <c r="V638" s="13" t="str">
        <f t="shared" si="39"/>
        <v>Sunday</v>
      </c>
    </row>
    <row r="639" spans="1:22" x14ac:dyDescent="0.25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 s="1">
        <v>46.2</v>
      </c>
      <c r="H639">
        <v>1</v>
      </c>
      <c r="I639" s="1">
        <v>2.31</v>
      </c>
      <c r="J639" s="1">
        <v>48.51</v>
      </c>
      <c r="K639" s="3" t="s">
        <v>103</v>
      </c>
      <c r="L639" s="2">
        <v>0.51111111111111107</v>
      </c>
      <c r="M639" t="s">
        <v>29</v>
      </c>
      <c r="N639" s="1">
        <v>46.2</v>
      </c>
      <c r="O639" s="1">
        <v>4.7619047620000003</v>
      </c>
      <c r="P639" s="1">
        <v>2.31</v>
      </c>
      <c r="Q639">
        <v>6.3</v>
      </c>
      <c r="R639" s="13">
        <v>43543</v>
      </c>
      <c r="S639">
        <f t="shared" si="36"/>
        <v>3</v>
      </c>
      <c r="T639">
        <f t="shared" si="37"/>
        <v>12</v>
      </c>
      <c r="U639">
        <f t="shared" si="38"/>
        <v>19</v>
      </c>
      <c r="V639" s="13" t="str">
        <f t="shared" si="39"/>
        <v>Tuesday</v>
      </c>
    </row>
    <row r="640" spans="1:22" x14ac:dyDescent="0.25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 s="1">
        <v>17.63</v>
      </c>
      <c r="H640">
        <v>5</v>
      </c>
      <c r="I640" s="1">
        <v>4.4074999999999998</v>
      </c>
      <c r="J640" s="1">
        <v>92.557500000000005</v>
      </c>
      <c r="K640" s="3">
        <v>43680</v>
      </c>
      <c r="L640" s="2">
        <v>0.64375000000000004</v>
      </c>
      <c r="M640" t="s">
        <v>29</v>
      </c>
      <c r="N640" s="1">
        <v>88.15</v>
      </c>
      <c r="O640" s="1">
        <v>4.7619047620000003</v>
      </c>
      <c r="P640" s="1">
        <v>4.4074999999999998</v>
      </c>
      <c r="Q640">
        <v>8.5</v>
      </c>
      <c r="R640" s="13">
        <v>43532</v>
      </c>
      <c r="S640">
        <f t="shared" si="36"/>
        <v>3</v>
      </c>
      <c r="T640">
        <f t="shared" si="37"/>
        <v>15</v>
      </c>
      <c r="U640">
        <f t="shared" si="38"/>
        <v>8</v>
      </c>
      <c r="V640" s="13" t="str">
        <f t="shared" si="39"/>
        <v>Friday</v>
      </c>
    </row>
    <row r="641" spans="1:22" x14ac:dyDescent="0.25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 s="1">
        <v>52.42</v>
      </c>
      <c r="H641">
        <v>3</v>
      </c>
      <c r="I641" s="1">
        <v>7.8630000000000004</v>
      </c>
      <c r="J641" s="1">
        <v>165.12299999999999</v>
      </c>
      <c r="K641" s="3" t="s">
        <v>99</v>
      </c>
      <c r="L641" s="2">
        <v>0.73333333333333328</v>
      </c>
      <c r="M641" t="s">
        <v>23</v>
      </c>
      <c r="N641" s="1">
        <v>157.26</v>
      </c>
      <c r="O641" s="1">
        <v>4.7619047620000003</v>
      </c>
      <c r="P641" s="1">
        <v>7.8630000000000004</v>
      </c>
      <c r="Q641">
        <v>7.5</v>
      </c>
      <c r="R641" s="13">
        <v>43523</v>
      </c>
      <c r="S641">
        <f t="shared" si="36"/>
        <v>2</v>
      </c>
      <c r="T641">
        <f t="shared" si="37"/>
        <v>17</v>
      </c>
      <c r="U641">
        <f t="shared" si="38"/>
        <v>27</v>
      </c>
      <c r="V641" s="13" t="str">
        <f t="shared" si="39"/>
        <v>Wednesday</v>
      </c>
    </row>
    <row r="642" spans="1:22" x14ac:dyDescent="0.25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 s="1">
        <v>98.79</v>
      </c>
      <c r="H642">
        <v>3</v>
      </c>
      <c r="I642" s="1">
        <v>14.8185</v>
      </c>
      <c r="J642" s="1">
        <v>311.18849999999998</v>
      </c>
      <c r="K642" s="3" t="s">
        <v>149</v>
      </c>
      <c r="L642" s="2">
        <v>0.83333333333333337</v>
      </c>
      <c r="M642" t="s">
        <v>23</v>
      </c>
      <c r="N642" s="1">
        <v>296.37</v>
      </c>
      <c r="O642" s="1">
        <v>4.7619047620000003</v>
      </c>
      <c r="P642" s="1">
        <v>14.8185</v>
      </c>
      <c r="Q642">
        <v>6.4</v>
      </c>
      <c r="R642" s="13">
        <v>43519</v>
      </c>
      <c r="S642">
        <f t="shared" si="36"/>
        <v>2</v>
      </c>
      <c r="T642">
        <f t="shared" si="37"/>
        <v>20</v>
      </c>
      <c r="U642">
        <f t="shared" si="38"/>
        <v>23</v>
      </c>
      <c r="V642" s="13" t="str">
        <f t="shared" si="39"/>
        <v>Saturday</v>
      </c>
    </row>
    <row r="643" spans="1:22" x14ac:dyDescent="0.25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 s="1">
        <v>88.55</v>
      </c>
      <c r="H643">
        <v>8</v>
      </c>
      <c r="I643" s="1">
        <v>35.42</v>
      </c>
      <c r="J643" s="1">
        <v>743.82</v>
      </c>
      <c r="K643" s="3" t="s">
        <v>103</v>
      </c>
      <c r="L643" s="2">
        <v>0.64513888888888893</v>
      </c>
      <c r="M643" t="s">
        <v>23</v>
      </c>
      <c r="N643" s="1">
        <v>708.4</v>
      </c>
      <c r="O643" s="1">
        <v>4.7619047620000003</v>
      </c>
      <c r="P643" s="1">
        <v>35.42</v>
      </c>
      <c r="Q643">
        <v>4.7</v>
      </c>
      <c r="R643" s="13">
        <v>43543</v>
      </c>
      <c r="S643">
        <f t="shared" ref="S643:S706" si="40">MONTH(R643)</f>
        <v>3</v>
      </c>
      <c r="T643">
        <f t="shared" ref="T643:T706" si="41">HOUR(L643)</f>
        <v>15</v>
      </c>
      <c r="U643">
        <f t="shared" ref="U643:U706" si="42">DAY(R643)</f>
        <v>19</v>
      </c>
      <c r="V643" s="13" t="str">
        <f t="shared" ref="V643:V706" si="43">TEXT(R643,"DDDD")</f>
        <v>Tuesday</v>
      </c>
    </row>
    <row r="644" spans="1:22" x14ac:dyDescent="0.25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 s="1">
        <v>55.67</v>
      </c>
      <c r="H644">
        <v>2</v>
      </c>
      <c r="I644" s="1">
        <v>5.5670000000000002</v>
      </c>
      <c r="J644" s="1">
        <v>116.907</v>
      </c>
      <c r="K644" s="3" t="s">
        <v>112</v>
      </c>
      <c r="L644" s="2">
        <v>0.63055555555555554</v>
      </c>
      <c r="M644" t="s">
        <v>23</v>
      </c>
      <c r="N644" s="1">
        <v>111.34</v>
      </c>
      <c r="O644" s="1">
        <v>4.7619047620000003</v>
      </c>
      <c r="P644" s="1">
        <v>5.5670000000000002</v>
      </c>
      <c r="Q644">
        <v>6</v>
      </c>
      <c r="R644" s="13">
        <v>43551</v>
      </c>
      <c r="S644">
        <f t="shared" si="40"/>
        <v>3</v>
      </c>
      <c r="T644">
        <f t="shared" si="41"/>
        <v>15</v>
      </c>
      <c r="U644">
        <f t="shared" si="42"/>
        <v>27</v>
      </c>
      <c r="V644" s="13" t="str">
        <f t="shared" si="43"/>
        <v>Wednesday</v>
      </c>
    </row>
    <row r="645" spans="1:22" x14ac:dyDescent="0.25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 s="1">
        <v>72.52</v>
      </c>
      <c r="H645">
        <v>8</v>
      </c>
      <c r="I645" s="1">
        <v>29.007999999999999</v>
      </c>
      <c r="J645" s="1">
        <v>609.16800000000001</v>
      </c>
      <c r="K645" s="3" t="s">
        <v>235</v>
      </c>
      <c r="L645" s="2">
        <v>0.80972222222222223</v>
      </c>
      <c r="M645" t="s">
        <v>33</v>
      </c>
      <c r="N645" s="1">
        <v>580.16</v>
      </c>
      <c r="O645" s="1">
        <v>4.7619047620000003</v>
      </c>
      <c r="P645" s="1">
        <v>29.007999999999999</v>
      </c>
      <c r="Q645">
        <v>4</v>
      </c>
      <c r="R645" s="13">
        <v>43554</v>
      </c>
      <c r="S645">
        <f t="shared" si="40"/>
        <v>3</v>
      </c>
      <c r="T645">
        <f t="shared" si="41"/>
        <v>19</v>
      </c>
      <c r="U645">
        <f t="shared" si="42"/>
        <v>30</v>
      </c>
      <c r="V645" s="13" t="str">
        <f t="shared" si="43"/>
        <v>Saturday</v>
      </c>
    </row>
    <row r="646" spans="1:22" x14ac:dyDescent="0.25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 s="1">
        <v>12.05</v>
      </c>
      <c r="H646">
        <v>5</v>
      </c>
      <c r="I646" s="1">
        <v>3.0125000000000002</v>
      </c>
      <c r="J646" s="1">
        <v>63.262500000000003</v>
      </c>
      <c r="K646" s="3" t="s">
        <v>212</v>
      </c>
      <c r="L646" s="2">
        <v>0.66180555555555554</v>
      </c>
      <c r="M646" t="s">
        <v>23</v>
      </c>
      <c r="N646" s="1">
        <v>60.25</v>
      </c>
      <c r="O646" s="1">
        <v>4.7619047620000003</v>
      </c>
      <c r="P646" s="1">
        <v>3.0125000000000002</v>
      </c>
      <c r="Q646">
        <v>5.5</v>
      </c>
      <c r="R646" s="13">
        <v>43512</v>
      </c>
      <c r="S646">
        <f t="shared" si="40"/>
        <v>2</v>
      </c>
      <c r="T646">
        <f t="shared" si="41"/>
        <v>15</v>
      </c>
      <c r="U646">
        <f t="shared" si="42"/>
        <v>16</v>
      </c>
      <c r="V646" s="13" t="str">
        <f t="shared" si="43"/>
        <v>Saturday</v>
      </c>
    </row>
    <row r="647" spans="1:22" x14ac:dyDescent="0.25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 s="1">
        <v>19.36</v>
      </c>
      <c r="H647">
        <v>9</v>
      </c>
      <c r="I647" s="1">
        <v>8.7119999999999997</v>
      </c>
      <c r="J647" s="1">
        <v>182.952</v>
      </c>
      <c r="K647" s="3" t="s">
        <v>209</v>
      </c>
      <c r="L647" s="2">
        <v>0.77986111111111112</v>
      </c>
      <c r="M647" t="s">
        <v>23</v>
      </c>
      <c r="N647" s="1">
        <v>174.24</v>
      </c>
      <c r="O647" s="1">
        <v>4.7619047620000003</v>
      </c>
      <c r="P647" s="1">
        <v>8.7119999999999997</v>
      </c>
      <c r="Q647">
        <v>8.6999999999999993</v>
      </c>
      <c r="R647" s="13">
        <v>43483</v>
      </c>
      <c r="S647">
        <f t="shared" si="40"/>
        <v>1</v>
      </c>
      <c r="T647">
        <f t="shared" si="41"/>
        <v>18</v>
      </c>
      <c r="U647">
        <f t="shared" si="42"/>
        <v>18</v>
      </c>
      <c r="V647" s="13" t="str">
        <f t="shared" si="43"/>
        <v>Friday</v>
      </c>
    </row>
    <row r="648" spans="1:22" x14ac:dyDescent="0.25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 s="1">
        <v>70.209999999999994</v>
      </c>
      <c r="H648">
        <v>6</v>
      </c>
      <c r="I648" s="1">
        <v>21.062999999999999</v>
      </c>
      <c r="J648" s="1">
        <v>442.32299999999998</v>
      </c>
      <c r="K648" s="3" t="s">
        <v>235</v>
      </c>
      <c r="L648" s="2">
        <v>0.62361111111111112</v>
      </c>
      <c r="M648" t="s">
        <v>29</v>
      </c>
      <c r="N648" s="1">
        <v>421.26</v>
      </c>
      <c r="O648" s="1">
        <v>4.7619047620000003</v>
      </c>
      <c r="P648" s="1">
        <v>21.062999999999999</v>
      </c>
      <c r="Q648">
        <v>7.4</v>
      </c>
      <c r="R648" s="13">
        <v>43554</v>
      </c>
      <c r="S648">
        <f t="shared" si="40"/>
        <v>3</v>
      </c>
      <c r="T648">
        <f t="shared" si="41"/>
        <v>14</v>
      </c>
      <c r="U648">
        <f t="shared" si="42"/>
        <v>30</v>
      </c>
      <c r="V648" s="13" t="str">
        <f t="shared" si="43"/>
        <v>Saturday</v>
      </c>
    </row>
    <row r="649" spans="1:22" x14ac:dyDescent="0.25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 s="1">
        <v>33.630000000000003</v>
      </c>
      <c r="H649">
        <v>1</v>
      </c>
      <c r="I649" s="1">
        <v>1.6815</v>
      </c>
      <c r="J649" s="1">
        <v>35.311500000000002</v>
      </c>
      <c r="K649" s="3" t="s">
        <v>295</v>
      </c>
      <c r="L649" s="2">
        <v>0.82986111111111116</v>
      </c>
      <c r="M649" t="s">
        <v>29</v>
      </c>
      <c r="N649" s="1">
        <v>33.630000000000003</v>
      </c>
      <c r="O649" s="1">
        <v>4.7619047620000003</v>
      </c>
      <c r="P649" s="1">
        <v>1.6815</v>
      </c>
      <c r="Q649">
        <v>5.6</v>
      </c>
      <c r="R649" s="13">
        <v>43544</v>
      </c>
      <c r="S649">
        <f t="shared" si="40"/>
        <v>3</v>
      </c>
      <c r="T649">
        <f t="shared" si="41"/>
        <v>19</v>
      </c>
      <c r="U649">
        <f t="shared" si="42"/>
        <v>20</v>
      </c>
      <c r="V649" s="13" t="str">
        <f t="shared" si="43"/>
        <v>Wednesday</v>
      </c>
    </row>
    <row r="650" spans="1:22" x14ac:dyDescent="0.25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 s="1">
        <v>15.49</v>
      </c>
      <c r="H650">
        <v>2</v>
      </c>
      <c r="I650" s="1">
        <v>1.5489999999999999</v>
      </c>
      <c r="J650" s="1">
        <v>32.529000000000003</v>
      </c>
      <c r="K650" s="3" t="s">
        <v>188</v>
      </c>
      <c r="L650" s="2">
        <v>0.63194444444444442</v>
      </c>
      <c r="M650" t="s">
        <v>29</v>
      </c>
      <c r="N650" s="1">
        <v>30.98</v>
      </c>
      <c r="O650" s="1">
        <v>4.7619047620000003</v>
      </c>
      <c r="P650" s="1">
        <v>1.5489999999999999</v>
      </c>
      <c r="Q650">
        <v>6.3</v>
      </c>
      <c r="R650" s="13">
        <v>43481</v>
      </c>
      <c r="S650">
        <f t="shared" si="40"/>
        <v>1</v>
      </c>
      <c r="T650">
        <f t="shared" si="41"/>
        <v>15</v>
      </c>
      <c r="U650">
        <f t="shared" si="42"/>
        <v>16</v>
      </c>
      <c r="V650" s="13" t="str">
        <f t="shared" si="43"/>
        <v>Wednesday</v>
      </c>
    </row>
    <row r="651" spans="1:22" x14ac:dyDescent="0.25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 s="1">
        <v>24.74</v>
      </c>
      <c r="H651">
        <v>10</v>
      </c>
      <c r="I651" s="1">
        <v>12.37</v>
      </c>
      <c r="J651" s="1">
        <v>259.77</v>
      </c>
      <c r="K651" s="3" t="s">
        <v>43</v>
      </c>
      <c r="L651" s="2">
        <v>0.69722222222222219</v>
      </c>
      <c r="M651" t="s">
        <v>29</v>
      </c>
      <c r="N651" s="1">
        <v>247.4</v>
      </c>
      <c r="O651" s="1">
        <v>4.7619047620000003</v>
      </c>
      <c r="P651" s="1">
        <v>12.37</v>
      </c>
      <c r="Q651">
        <v>7.1</v>
      </c>
      <c r="R651" s="13">
        <v>43520</v>
      </c>
      <c r="S651">
        <f t="shared" si="40"/>
        <v>2</v>
      </c>
      <c r="T651">
        <f t="shared" si="41"/>
        <v>16</v>
      </c>
      <c r="U651">
        <f t="shared" si="42"/>
        <v>24</v>
      </c>
      <c r="V651" s="13" t="str">
        <f t="shared" si="43"/>
        <v>Sunday</v>
      </c>
    </row>
    <row r="652" spans="1:22" x14ac:dyDescent="0.25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 s="1">
        <v>75.66</v>
      </c>
      <c r="H652">
        <v>5</v>
      </c>
      <c r="I652" s="1">
        <v>18.914999999999999</v>
      </c>
      <c r="J652" s="1">
        <v>397.21499999999997</v>
      </c>
      <c r="K652" s="3" t="s">
        <v>58</v>
      </c>
      <c r="L652" s="2">
        <v>0.76527777777777772</v>
      </c>
      <c r="M652" t="s">
        <v>23</v>
      </c>
      <c r="N652" s="1">
        <v>378.3</v>
      </c>
      <c r="O652" s="1">
        <v>4.7619047620000003</v>
      </c>
      <c r="P652" s="1">
        <v>18.914999999999999</v>
      </c>
      <c r="Q652">
        <v>7.8</v>
      </c>
      <c r="R652" s="13">
        <v>43480</v>
      </c>
      <c r="S652">
        <f t="shared" si="40"/>
        <v>1</v>
      </c>
      <c r="T652">
        <f t="shared" si="41"/>
        <v>18</v>
      </c>
      <c r="U652">
        <f t="shared" si="42"/>
        <v>15</v>
      </c>
      <c r="V652" s="13" t="str">
        <f t="shared" si="43"/>
        <v>Tuesday</v>
      </c>
    </row>
    <row r="653" spans="1:22" x14ac:dyDescent="0.25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 s="1">
        <v>55.81</v>
      </c>
      <c r="H653">
        <v>6</v>
      </c>
      <c r="I653" s="1">
        <v>16.742999999999999</v>
      </c>
      <c r="J653" s="1">
        <v>351.60300000000001</v>
      </c>
      <c r="K653" s="3" t="s">
        <v>136</v>
      </c>
      <c r="L653" s="2">
        <v>0.49444444444444446</v>
      </c>
      <c r="M653" t="s">
        <v>29</v>
      </c>
      <c r="N653" s="1">
        <v>334.86</v>
      </c>
      <c r="O653" s="1">
        <v>4.7619047620000003</v>
      </c>
      <c r="P653" s="1">
        <v>16.742999999999999</v>
      </c>
      <c r="Q653">
        <v>9.9</v>
      </c>
      <c r="R653" s="13">
        <v>43487</v>
      </c>
      <c r="S653">
        <f t="shared" si="40"/>
        <v>1</v>
      </c>
      <c r="T653">
        <f t="shared" si="41"/>
        <v>11</v>
      </c>
      <c r="U653">
        <f t="shared" si="42"/>
        <v>22</v>
      </c>
      <c r="V653" s="13" t="str">
        <f t="shared" si="43"/>
        <v>Tuesday</v>
      </c>
    </row>
    <row r="654" spans="1:22" x14ac:dyDescent="0.25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 s="1">
        <v>72.78</v>
      </c>
      <c r="H654">
        <v>10</v>
      </c>
      <c r="I654" s="1">
        <v>36.39</v>
      </c>
      <c r="J654" s="1">
        <v>764.19</v>
      </c>
      <c r="K654" s="3">
        <v>43526</v>
      </c>
      <c r="L654" s="2">
        <v>0.72499999999999998</v>
      </c>
      <c r="M654" t="s">
        <v>29</v>
      </c>
      <c r="N654" s="1">
        <v>727.8</v>
      </c>
      <c r="O654" s="1">
        <v>4.7619047620000003</v>
      </c>
      <c r="P654" s="1">
        <v>36.39</v>
      </c>
      <c r="Q654">
        <v>7.3</v>
      </c>
      <c r="R654" s="13">
        <v>43499</v>
      </c>
      <c r="S654">
        <f t="shared" si="40"/>
        <v>2</v>
      </c>
      <c r="T654">
        <f t="shared" si="41"/>
        <v>17</v>
      </c>
      <c r="U654">
        <f t="shared" si="42"/>
        <v>3</v>
      </c>
      <c r="V654" s="13" t="str">
        <f t="shared" si="43"/>
        <v>Sunday</v>
      </c>
    </row>
    <row r="655" spans="1:22" x14ac:dyDescent="0.25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 s="1">
        <v>37.32</v>
      </c>
      <c r="H655">
        <v>9</v>
      </c>
      <c r="I655" s="1">
        <v>16.794</v>
      </c>
      <c r="J655" s="1">
        <v>352.67399999999998</v>
      </c>
      <c r="K655" s="3">
        <v>43619</v>
      </c>
      <c r="L655" s="2">
        <v>0.64652777777777781</v>
      </c>
      <c r="M655" t="s">
        <v>23</v>
      </c>
      <c r="N655" s="1">
        <v>335.88</v>
      </c>
      <c r="O655" s="1">
        <v>4.7619047620000003</v>
      </c>
      <c r="P655" s="1">
        <v>16.794</v>
      </c>
      <c r="Q655">
        <v>5.0999999999999996</v>
      </c>
      <c r="R655" s="13">
        <v>43530</v>
      </c>
      <c r="S655">
        <f t="shared" si="40"/>
        <v>3</v>
      </c>
      <c r="T655">
        <f t="shared" si="41"/>
        <v>15</v>
      </c>
      <c r="U655">
        <f t="shared" si="42"/>
        <v>6</v>
      </c>
      <c r="V655" s="13" t="str">
        <f t="shared" si="43"/>
        <v>Wednesday</v>
      </c>
    </row>
    <row r="656" spans="1:22" x14ac:dyDescent="0.25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 s="1">
        <v>60.18</v>
      </c>
      <c r="H656">
        <v>4</v>
      </c>
      <c r="I656" s="1">
        <v>12.036</v>
      </c>
      <c r="J656" s="1">
        <v>252.756</v>
      </c>
      <c r="K656" s="3" t="s">
        <v>212</v>
      </c>
      <c r="L656" s="2">
        <v>0.75277777777777777</v>
      </c>
      <c r="M656" t="s">
        <v>33</v>
      </c>
      <c r="N656" s="1">
        <v>240.72</v>
      </c>
      <c r="O656" s="1">
        <v>4.7619047620000003</v>
      </c>
      <c r="P656" s="1">
        <v>12.036</v>
      </c>
      <c r="Q656">
        <v>9.4</v>
      </c>
      <c r="R656" s="13">
        <v>43512</v>
      </c>
      <c r="S656">
        <f t="shared" si="40"/>
        <v>2</v>
      </c>
      <c r="T656">
        <f t="shared" si="41"/>
        <v>18</v>
      </c>
      <c r="U656">
        <f t="shared" si="42"/>
        <v>16</v>
      </c>
      <c r="V656" s="13" t="str">
        <f t="shared" si="43"/>
        <v>Saturday</v>
      </c>
    </row>
    <row r="657" spans="1:22" x14ac:dyDescent="0.25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 s="1">
        <v>15.69</v>
      </c>
      <c r="H657">
        <v>3</v>
      </c>
      <c r="I657" s="1">
        <v>2.3534999999999999</v>
      </c>
      <c r="J657" s="1">
        <v>49.423499999999997</v>
      </c>
      <c r="K657" s="3" t="s">
        <v>354</v>
      </c>
      <c r="L657" s="2">
        <v>0.59236111111111112</v>
      </c>
      <c r="M657" t="s">
        <v>33</v>
      </c>
      <c r="N657" s="1">
        <v>47.07</v>
      </c>
      <c r="O657" s="1">
        <v>4.7619047620000003</v>
      </c>
      <c r="P657" s="1">
        <v>2.3534999999999999</v>
      </c>
      <c r="Q657">
        <v>5.8</v>
      </c>
      <c r="R657" s="13">
        <v>43538</v>
      </c>
      <c r="S657">
        <f t="shared" si="40"/>
        <v>3</v>
      </c>
      <c r="T657">
        <f t="shared" si="41"/>
        <v>14</v>
      </c>
      <c r="U657">
        <f t="shared" si="42"/>
        <v>14</v>
      </c>
      <c r="V657" s="13" t="str">
        <f t="shared" si="43"/>
        <v>Thursday</v>
      </c>
    </row>
    <row r="658" spans="1:22" x14ac:dyDescent="0.25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 s="1">
        <v>99.69</v>
      </c>
      <c r="H658">
        <v>1</v>
      </c>
      <c r="I658" s="1">
        <v>4.9844999999999997</v>
      </c>
      <c r="J658" s="1">
        <v>104.67449999999999</v>
      </c>
      <c r="K658" s="3" t="s">
        <v>99</v>
      </c>
      <c r="L658" s="2">
        <v>0.43263888888888891</v>
      </c>
      <c r="M658" t="s">
        <v>33</v>
      </c>
      <c r="N658" s="1">
        <v>99.69</v>
      </c>
      <c r="O658" s="1">
        <v>4.7619047620000003</v>
      </c>
      <c r="P658" s="1">
        <v>4.9844999999999997</v>
      </c>
      <c r="Q658">
        <v>8</v>
      </c>
      <c r="R658" s="13">
        <v>43523</v>
      </c>
      <c r="S658">
        <f t="shared" si="40"/>
        <v>2</v>
      </c>
      <c r="T658">
        <f t="shared" si="41"/>
        <v>10</v>
      </c>
      <c r="U658">
        <f t="shared" si="42"/>
        <v>27</v>
      </c>
      <c r="V658" s="13" t="str">
        <f t="shared" si="43"/>
        <v>Wednesday</v>
      </c>
    </row>
    <row r="659" spans="1:22" x14ac:dyDescent="0.25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 s="1">
        <v>88.15</v>
      </c>
      <c r="H659">
        <v>3</v>
      </c>
      <c r="I659" s="1">
        <v>13.2225</v>
      </c>
      <c r="J659" s="1">
        <v>277.67250000000001</v>
      </c>
      <c r="K659" s="3" t="s">
        <v>209</v>
      </c>
      <c r="L659" s="2">
        <v>0.42430555555555555</v>
      </c>
      <c r="M659" t="s">
        <v>23</v>
      </c>
      <c r="N659" s="1">
        <v>264.45</v>
      </c>
      <c r="O659" s="1">
        <v>4.7619047620000003</v>
      </c>
      <c r="P659" s="1">
        <v>13.2225</v>
      </c>
      <c r="Q659">
        <v>7.9</v>
      </c>
      <c r="R659" s="13">
        <v>43483</v>
      </c>
      <c r="S659">
        <f t="shared" si="40"/>
        <v>1</v>
      </c>
      <c r="T659">
        <f t="shared" si="41"/>
        <v>10</v>
      </c>
      <c r="U659">
        <f t="shared" si="42"/>
        <v>18</v>
      </c>
      <c r="V659" s="13" t="str">
        <f t="shared" si="43"/>
        <v>Friday</v>
      </c>
    </row>
    <row r="660" spans="1:22" x14ac:dyDescent="0.25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 s="1">
        <v>27.93</v>
      </c>
      <c r="H660">
        <v>5</v>
      </c>
      <c r="I660" s="1">
        <v>6.9824999999999999</v>
      </c>
      <c r="J660" s="1">
        <v>146.63249999999999</v>
      </c>
      <c r="K660" s="3" t="s">
        <v>228</v>
      </c>
      <c r="L660" s="2">
        <v>0.65833333333333333</v>
      </c>
      <c r="M660" t="s">
        <v>29</v>
      </c>
      <c r="N660" s="1">
        <v>139.65</v>
      </c>
      <c r="O660" s="1">
        <v>4.7619047620000003</v>
      </c>
      <c r="P660" s="1">
        <v>6.9824999999999999</v>
      </c>
      <c r="Q660">
        <v>5.9</v>
      </c>
      <c r="R660" s="13">
        <v>43494</v>
      </c>
      <c r="S660">
        <f t="shared" si="40"/>
        <v>1</v>
      </c>
      <c r="T660">
        <f t="shared" si="41"/>
        <v>15</v>
      </c>
      <c r="U660">
        <f t="shared" si="42"/>
        <v>29</v>
      </c>
      <c r="V660" s="13" t="str">
        <f t="shared" si="43"/>
        <v>Tuesday</v>
      </c>
    </row>
    <row r="661" spans="1:22" x14ac:dyDescent="0.25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 s="1">
        <v>55.45</v>
      </c>
      <c r="H661">
        <v>1</v>
      </c>
      <c r="I661" s="1">
        <v>2.7725</v>
      </c>
      <c r="J661" s="1">
        <v>58.222499999999997</v>
      </c>
      <c r="K661" s="3" t="s">
        <v>314</v>
      </c>
      <c r="L661" s="2">
        <v>0.74027777777777781</v>
      </c>
      <c r="M661" t="s">
        <v>33</v>
      </c>
      <c r="N661" s="1">
        <v>55.45</v>
      </c>
      <c r="O661" s="1">
        <v>4.7619047620000003</v>
      </c>
      <c r="P661" s="1">
        <v>2.7725</v>
      </c>
      <c r="Q661">
        <v>4.9000000000000004</v>
      </c>
      <c r="R661" s="13">
        <v>43522</v>
      </c>
      <c r="S661">
        <f t="shared" si="40"/>
        <v>2</v>
      </c>
      <c r="T661">
        <f t="shared" si="41"/>
        <v>17</v>
      </c>
      <c r="U661">
        <f t="shared" si="42"/>
        <v>26</v>
      </c>
      <c r="V661" s="13" t="str">
        <f t="shared" si="43"/>
        <v>Tuesday</v>
      </c>
    </row>
    <row r="662" spans="1:22" x14ac:dyDescent="0.25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 s="1">
        <v>42.97</v>
      </c>
      <c r="H662">
        <v>3</v>
      </c>
      <c r="I662" s="1">
        <v>6.4455</v>
      </c>
      <c r="J662" s="1">
        <v>135.35550000000001</v>
      </c>
      <c r="K662" s="3">
        <v>43526</v>
      </c>
      <c r="L662" s="2">
        <v>0.49027777777777776</v>
      </c>
      <c r="M662" t="s">
        <v>29</v>
      </c>
      <c r="N662" s="1">
        <v>128.91</v>
      </c>
      <c r="O662" s="1">
        <v>4.7619047620000003</v>
      </c>
      <c r="P662" s="1">
        <v>6.4455</v>
      </c>
      <c r="Q662">
        <v>9.3000000000000007</v>
      </c>
      <c r="R662" s="13">
        <v>43499</v>
      </c>
      <c r="S662">
        <f t="shared" si="40"/>
        <v>2</v>
      </c>
      <c r="T662">
        <f t="shared" si="41"/>
        <v>11</v>
      </c>
      <c r="U662">
        <f t="shared" si="42"/>
        <v>3</v>
      </c>
      <c r="V662" s="13" t="str">
        <f t="shared" si="43"/>
        <v>Sunday</v>
      </c>
    </row>
    <row r="663" spans="1:22" x14ac:dyDescent="0.25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 s="1">
        <v>17.14</v>
      </c>
      <c r="H663">
        <v>7</v>
      </c>
      <c r="I663" s="1">
        <v>5.9989999999999997</v>
      </c>
      <c r="J663" s="1">
        <v>125.979</v>
      </c>
      <c r="K663" s="3" t="s">
        <v>188</v>
      </c>
      <c r="L663" s="2">
        <v>0.50486111111111109</v>
      </c>
      <c r="M663" t="s">
        <v>33</v>
      </c>
      <c r="N663" s="1">
        <v>119.98</v>
      </c>
      <c r="O663" s="1">
        <v>4.7619047620000003</v>
      </c>
      <c r="P663" s="1">
        <v>5.9989999999999997</v>
      </c>
      <c r="Q663">
        <v>7.9</v>
      </c>
      <c r="R663" s="13">
        <v>43481</v>
      </c>
      <c r="S663">
        <f t="shared" si="40"/>
        <v>1</v>
      </c>
      <c r="T663">
        <f t="shared" si="41"/>
        <v>12</v>
      </c>
      <c r="U663">
        <f t="shared" si="42"/>
        <v>16</v>
      </c>
      <c r="V663" s="13" t="str">
        <f t="shared" si="43"/>
        <v>Wednesday</v>
      </c>
    </row>
    <row r="664" spans="1:22" x14ac:dyDescent="0.25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 s="1">
        <v>58.75</v>
      </c>
      <c r="H664">
        <v>6</v>
      </c>
      <c r="I664" s="1">
        <v>17.625</v>
      </c>
      <c r="J664" s="1">
        <v>370.125</v>
      </c>
      <c r="K664" s="3" t="s">
        <v>177</v>
      </c>
      <c r="L664" s="2">
        <v>0.75972222222222219</v>
      </c>
      <c r="M664" t="s">
        <v>33</v>
      </c>
      <c r="N664" s="1">
        <v>352.5</v>
      </c>
      <c r="O664" s="1">
        <v>4.7619047620000003</v>
      </c>
      <c r="P664" s="1">
        <v>17.625</v>
      </c>
      <c r="Q664">
        <v>5.9</v>
      </c>
      <c r="R664" s="13">
        <v>43548</v>
      </c>
      <c r="S664">
        <f t="shared" si="40"/>
        <v>3</v>
      </c>
      <c r="T664">
        <f t="shared" si="41"/>
        <v>18</v>
      </c>
      <c r="U664">
        <f t="shared" si="42"/>
        <v>24</v>
      </c>
      <c r="V664" s="13" t="str">
        <f t="shared" si="43"/>
        <v>Sunday</v>
      </c>
    </row>
    <row r="665" spans="1:22" x14ac:dyDescent="0.25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 s="1">
        <v>87.1</v>
      </c>
      <c r="H665">
        <v>10</v>
      </c>
      <c r="I665" s="1">
        <v>43.55</v>
      </c>
      <c r="J665" s="1">
        <v>914.55</v>
      </c>
      <c r="K665" s="3">
        <v>43801</v>
      </c>
      <c r="L665" s="2">
        <v>0.61458333333333337</v>
      </c>
      <c r="M665" t="s">
        <v>33</v>
      </c>
      <c r="N665" s="1">
        <v>871</v>
      </c>
      <c r="O665" s="1">
        <v>4.7619047620000003</v>
      </c>
      <c r="P665" s="1">
        <v>43.55</v>
      </c>
      <c r="Q665">
        <v>9.9</v>
      </c>
      <c r="R665" s="13">
        <v>43508</v>
      </c>
      <c r="S665">
        <f t="shared" si="40"/>
        <v>2</v>
      </c>
      <c r="T665">
        <f t="shared" si="41"/>
        <v>14</v>
      </c>
      <c r="U665">
        <f t="shared" si="42"/>
        <v>12</v>
      </c>
      <c r="V665" s="13" t="str">
        <f t="shared" si="43"/>
        <v>Tuesday</v>
      </c>
    </row>
    <row r="666" spans="1:22" x14ac:dyDescent="0.25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 s="1">
        <v>98.8</v>
      </c>
      <c r="H666">
        <v>2</v>
      </c>
      <c r="I666" s="1">
        <v>9.8800000000000008</v>
      </c>
      <c r="J666" s="1">
        <v>207.48</v>
      </c>
      <c r="K666" s="3" t="s">
        <v>301</v>
      </c>
      <c r="L666" s="2">
        <v>0.48541666666666666</v>
      </c>
      <c r="M666" t="s">
        <v>29</v>
      </c>
      <c r="N666" s="1">
        <v>197.6</v>
      </c>
      <c r="O666" s="1">
        <v>4.7619047620000003</v>
      </c>
      <c r="P666" s="1">
        <v>9.8800000000000008</v>
      </c>
      <c r="Q666">
        <v>7.7</v>
      </c>
      <c r="R666" s="13">
        <v>43517</v>
      </c>
      <c r="S666">
        <f t="shared" si="40"/>
        <v>2</v>
      </c>
      <c r="T666">
        <f t="shared" si="41"/>
        <v>11</v>
      </c>
      <c r="U666">
        <f t="shared" si="42"/>
        <v>21</v>
      </c>
      <c r="V666" s="13" t="str">
        <f t="shared" si="43"/>
        <v>Thursday</v>
      </c>
    </row>
    <row r="667" spans="1:22" x14ac:dyDescent="0.25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 s="1">
        <v>48.63</v>
      </c>
      <c r="H667">
        <v>4</v>
      </c>
      <c r="I667" s="1">
        <v>9.7260000000000009</v>
      </c>
      <c r="J667" s="1">
        <v>204.24600000000001</v>
      </c>
      <c r="K667" s="3">
        <v>43557</v>
      </c>
      <c r="L667" s="2">
        <v>0.65555555555555556</v>
      </c>
      <c r="M667" t="s">
        <v>23</v>
      </c>
      <c r="N667" s="1">
        <v>194.52</v>
      </c>
      <c r="O667" s="1">
        <v>4.7619047620000003</v>
      </c>
      <c r="P667" s="1">
        <v>9.7260000000000009</v>
      </c>
      <c r="Q667">
        <v>7.6</v>
      </c>
      <c r="R667" s="13">
        <v>43500</v>
      </c>
      <c r="S667">
        <f t="shared" si="40"/>
        <v>2</v>
      </c>
      <c r="T667">
        <f t="shared" si="41"/>
        <v>15</v>
      </c>
      <c r="U667">
        <f t="shared" si="42"/>
        <v>4</v>
      </c>
      <c r="V667" s="13" t="str">
        <f t="shared" si="43"/>
        <v>Monday</v>
      </c>
    </row>
    <row r="668" spans="1:22" x14ac:dyDescent="0.25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 s="1">
        <v>57.74</v>
      </c>
      <c r="H668">
        <v>3</v>
      </c>
      <c r="I668" s="1">
        <v>8.6609999999999996</v>
      </c>
      <c r="J668" s="1">
        <v>181.881</v>
      </c>
      <c r="K668" s="3" t="s">
        <v>49</v>
      </c>
      <c r="L668" s="2">
        <v>0.54583333333333328</v>
      </c>
      <c r="M668" t="s">
        <v>23</v>
      </c>
      <c r="N668" s="1">
        <v>173.22</v>
      </c>
      <c r="O668" s="1">
        <v>4.7619047620000003</v>
      </c>
      <c r="P668" s="1">
        <v>8.6609999999999996</v>
      </c>
      <c r="Q668">
        <v>7.7</v>
      </c>
      <c r="R668" s="13">
        <v>43516</v>
      </c>
      <c r="S668">
        <f t="shared" si="40"/>
        <v>2</v>
      </c>
      <c r="T668">
        <f t="shared" si="41"/>
        <v>13</v>
      </c>
      <c r="U668">
        <f t="shared" si="42"/>
        <v>20</v>
      </c>
      <c r="V668" s="13" t="str">
        <f t="shared" si="43"/>
        <v>Wednesday</v>
      </c>
    </row>
    <row r="669" spans="1:22" x14ac:dyDescent="0.25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 s="1">
        <v>17.97</v>
      </c>
      <c r="H669">
        <v>4</v>
      </c>
      <c r="I669" s="1">
        <v>3.5939999999999999</v>
      </c>
      <c r="J669" s="1">
        <v>75.474000000000004</v>
      </c>
      <c r="K669" s="3" t="s">
        <v>149</v>
      </c>
      <c r="L669" s="2">
        <v>0.86319444444444449</v>
      </c>
      <c r="M669" t="s">
        <v>23</v>
      </c>
      <c r="N669" s="1">
        <v>71.88</v>
      </c>
      <c r="O669" s="1">
        <v>4.7619047620000003</v>
      </c>
      <c r="P669" s="1">
        <v>3.5939999999999999</v>
      </c>
      <c r="Q669">
        <v>6.4</v>
      </c>
      <c r="R669" s="13">
        <v>43519</v>
      </c>
      <c r="S669">
        <f t="shared" si="40"/>
        <v>2</v>
      </c>
      <c r="T669">
        <f t="shared" si="41"/>
        <v>20</v>
      </c>
      <c r="U669">
        <f t="shared" si="42"/>
        <v>23</v>
      </c>
      <c r="V669" s="13" t="str">
        <f t="shared" si="43"/>
        <v>Saturday</v>
      </c>
    </row>
    <row r="670" spans="1:22" x14ac:dyDescent="0.25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 s="1">
        <v>47.71</v>
      </c>
      <c r="H670">
        <v>6</v>
      </c>
      <c r="I670" s="1">
        <v>14.313000000000001</v>
      </c>
      <c r="J670" s="1">
        <v>300.57299999999998</v>
      </c>
      <c r="K670" s="3" t="s">
        <v>212</v>
      </c>
      <c r="L670" s="2">
        <v>0.59652777777777777</v>
      </c>
      <c r="M670" t="s">
        <v>23</v>
      </c>
      <c r="N670" s="1">
        <v>286.26</v>
      </c>
      <c r="O670" s="1">
        <v>4.7619047620000003</v>
      </c>
      <c r="P670" s="1">
        <v>14.313000000000001</v>
      </c>
      <c r="Q670">
        <v>4.4000000000000004</v>
      </c>
      <c r="R670" s="13">
        <v>43512</v>
      </c>
      <c r="S670">
        <f t="shared" si="40"/>
        <v>2</v>
      </c>
      <c r="T670">
        <f t="shared" si="41"/>
        <v>14</v>
      </c>
      <c r="U670">
        <f t="shared" si="42"/>
        <v>16</v>
      </c>
      <c r="V670" s="13" t="str">
        <f t="shared" si="43"/>
        <v>Saturday</v>
      </c>
    </row>
    <row r="671" spans="1:22" x14ac:dyDescent="0.25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 s="1">
        <v>40.619999999999997</v>
      </c>
      <c r="H671">
        <v>2</v>
      </c>
      <c r="I671" s="1">
        <v>4.0620000000000003</v>
      </c>
      <c r="J671" s="1">
        <v>85.302000000000007</v>
      </c>
      <c r="K671" s="3" t="s">
        <v>91</v>
      </c>
      <c r="L671" s="2">
        <v>0.41736111111111113</v>
      </c>
      <c r="M671" t="s">
        <v>33</v>
      </c>
      <c r="N671" s="1">
        <v>81.239999999999995</v>
      </c>
      <c r="O671" s="1">
        <v>4.7619047620000003</v>
      </c>
      <c r="P671" s="1">
        <v>4.0620000000000003</v>
      </c>
      <c r="Q671">
        <v>4.0999999999999996</v>
      </c>
      <c r="R671" s="13">
        <v>43482</v>
      </c>
      <c r="S671">
        <f t="shared" si="40"/>
        <v>1</v>
      </c>
      <c r="T671">
        <f t="shared" si="41"/>
        <v>10</v>
      </c>
      <c r="U671">
        <f t="shared" si="42"/>
        <v>17</v>
      </c>
      <c r="V671" s="13" t="str">
        <f t="shared" si="43"/>
        <v>Thursday</v>
      </c>
    </row>
    <row r="672" spans="1:22" x14ac:dyDescent="0.25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 s="1">
        <v>56.04</v>
      </c>
      <c r="H672">
        <v>10</v>
      </c>
      <c r="I672" s="1">
        <v>28.02</v>
      </c>
      <c r="J672" s="1">
        <v>588.41999999999996</v>
      </c>
      <c r="K672" s="3" t="s">
        <v>283</v>
      </c>
      <c r="L672" s="2">
        <v>0.8125</v>
      </c>
      <c r="M672" t="s">
        <v>23</v>
      </c>
      <c r="N672" s="1">
        <v>560.4</v>
      </c>
      <c r="O672" s="1">
        <v>4.7619047620000003</v>
      </c>
      <c r="P672" s="1">
        <v>28.02</v>
      </c>
      <c r="Q672">
        <v>4.4000000000000004</v>
      </c>
      <c r="R672" s="13">
        <v>43479</v>
      </c>
      <c r="S672">
        <f t="shared" si="40"/>
        <v>1</v>
      </c>
      <c r="T672">
        <f t="shared" si="41"/>
        <v>19</v>
      </c>
      <c r="U672">
        <f t="shared" si="42"/>
        <v>14</v>
      </c>
      <c r="V672" s="13" t="str">
        <f t="shared" si="43"/>
        <v>Monday</v>
      </c>
    </row>
    <row r="673" spans="1:22" x14ac:dyDescent="0.25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 s="1">
        <v>93.4</v>
      </c>
      <c r="H673">
        <v>2</v>
      </c>
      <c r="I673" s="1">
        <v>9.34</v>
      </c>
      <c r="J673" s="1">
        <v>196.14</v>
      </c>
      <c r="K673" s="3" t="s">
        <v>235</v>
      </c>
      <c r="L673" s="2">
        <v>0.69027777777777777</v>
      </c>
      <c r="M673" t="s">
        <v>29</v>
      </c>
      <c r="N673" s="1">
        <v>186.8</v>
      </c>
      <c r="O673" s="1">
        <v>4.7619047620000003</v>
      </c>
      <c r="P673" s="1">
        <v>9.34</v>
      </c>
      <c r="Q673">
        <v>5.5</v>
      </c>
      <c r="R673" s="13">
        <v>43554</v>
      </c>
      <c r="S673">
        <f t="shared" si="40"/>
        <v>3</v>
      </c>
      <c r="T673">
        <f t="shared" si="41"/>
        <v>16</v>
      </c>
      <c r="U673">
        <f t="shared" si="42"/>
        <v>30</v>
      </c>
      <c r="V673" s="13" t="str">
        <f t="shared" si="43"/>
        <v>Saturday</v>
      </c>
    </row>
    <row r="674" spans="1:22" x14ac:dyDescent="0.25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 s="1">
        <v>73.41</v>
      </c>
      <c r="H674">
        <v>3</v>
      </c>
      <c r="I674" s="1">
        <v>11.0115</v>
      </c>
      <c r="J674" s="1">
        <v>231.2415</v>
      </c>
      <c r="K674" s="3">
        <v>43499</v>
      </c>
      <c r="L674" s="2">
        <v>0.54861111111111116</v>
      </c>
      <c r="M674" t="s">
        <v>23</v>
      </c>
      <c r="N674" s="1">
        <v>220.23</v>
      </c>
      <c r="O674" s="1">
        <v>4.7619047620000003</v>
      </c>
      <c r="P674" s="1">
        <v>11.0115</v>
      </c>
      <c r="Q674">
        <v>4</v>
      </c>
      <c r="R674" s="13">
        <v>43526</v>
      </c>
      <c r="S674">
        <f t="shared" si="40"/>
        <v>3</v>
      </c>
      <c r="T674">
        <f t="shared" si="41"/>
        <v>13</v>
      </c>
      <c r="U674">
        <f t="shared" si="42"/>
        <v>2</v>
      </c>
      <c r="V674" s="13" t="str">
        <f t="shared" si="43"/>
        <v>Saturday</v>
      </c>
    </row>
    <row r="675" spans="1:22" x14ac:dyDescent="0.25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 s="1">
        <v>33.64</v>
      </c>
      <c r="H675">
        <v>8</v>
      </c>
      <c r="I675" s="1">
        <v>13.456</v>
      </c>
      <c r="J675" s="1">
        <v>282.57600000000002</v>
      </c>
      <c r="K675" s="3" t="s">
        <v>118</v>
      </c>
      <c r="L675" s="2">
        <v>0.71527777777777779</v>
      </c>
      <c r="M675" t="s">
        <v>33</v>
      </c>
      <c r="N675" s="1">
        <v>269.12</v>
      </c>
      <c r="O675" s="1">
        <v>4.7619047620000003</v>
      </c>
      <c r="P675" s="1">
        <v>13.456</v>
      </c>
      <c r="Q675">
        <v>9.3000000000000007</v>
      </c>
      <c r="R675" s="13">
        <v>43511</v>
      </c>
      <c r="S675">
        <f t="shared" si="40"/>
        <v>2</v>
      </c>
      <c r="T675">
        <f t="shared" si="41"/>
        <v>17</v>
      </c>
      <c r="U675">
        <f t="shared" si="42"/>
        <v>15</v>
      </c>
      <c r="V675" s="13" t="str">
        <f t="shared" si="43"/>
        <v>Friday</v>
      </c>
    </row>
    <row r="676" spans="1:22" x14ac:dyDescent="0.25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 s="1">
        <v>45.48</v>
      </c>
      <c r="H676">
        <v>10</v>
      </c>
      <c r="I676" s="1">
        <v>22.74</v>
      </c>
      <c r="J676" s="1">
        <v>477.54</v>
      </c>
      <c r="K676" s="3">
        <v>43468</v>
      </c>
      <c r="L676" s="2">
        <v>0.43194444444444446</v>
      </c>
      <c r="M676" t="s">
        <v>33</v>
      </c>
      <c r="N676" s="1">
        <v>454.8</v>
      </c>
      <c r="O676" s="1">
        <v>4.7619047620000003</v>
      </c>
      <c r="P676" s="1">
        <v>22.74</v>
      </c>
      <c r="Q676">
        <v>4.8</v>
      </c>
      <c r="R676" s="13">
        <v>43525</v>
      </c>
      <c r="S676">
        <f t="shared" si="40"/>
        <v>3</v>
      </c>
      <c r="T676">
        <f t="shared" si="41"/>
        <v>10</v>
      </c>
      <c r="U676">
        <f t="shared" si="42"/>
        <v>1</v>
      </c>
      <c r="V676" s="13" t="str">
        <f t="shared" si="43"/>
        <v>Friday</v>
      </c>
    </row>
    <row r="677" spans="1:22" x14ac:dyDescent="0.25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 s="1">
        <v>83.77</v>
      </c>
      <c r="H677">
        <v>2</v>
      </c>
      <c r="I677" s="1">
        <v>8.3770000000000007</v>
      </c>
      <c r="J677" s="1">
        <v>175.917</v>
      </c>
      <c r="K677" s="3" t="s">
        <v>43</v>
      </c>
      <c r="L677" s="2">
        <v>0.83125000000000004</v>
      </c>
      <c r="M677" t="s">
        <v>29</v>
      </c>
      <c r="N677" s="1">
        <v>167.54</v>
      </c>
      <c r="O677" s="1">
        <v>4.7619047620000003</v>
      </c>
      <c r="P677" s="1">
        <v>8.3770000000000007</v>
      </c>
      <c r="Q677">
        <v>4.5999999999999996</v>
      </c>
      <c r="R677" s="13">
        <v>43520</v>
      </c>
      <c r="S677">
        <f t="shared" si="40"/>
        <v>2</v>
      </c>
      <c r="T677">
        <f t="shared" si="41"/>
        <v>19</v>
      </c>
      <c r="U677">
        <f t="shared" si="42"/>
        <v>24</v>
      </c>
      <c r="V677" s="13" t="str">
        <f t="shared" si="43"/>
        <v>Sunday</v>
      </c>
    </row>
    <row r="678" spans="1:22" x14ac:dyDescent="0.25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 s="1">
        <v>64.08</v>
      </c>
      <c r="H678">
        <v>7</v>
      </c>
      <c r="I678" s="1">
        <v>22.428000000000001</v>
      </c>
      <c r="J678" s="1">
        <v>470.988</v>
      </c>
      <c r="K678" s="3" t="s">
        <v>453</v>
      </c>
      <c r="L678" s="2">
        <v>0.81180555555555556</v>
      </c>
      <c r="M678" t="s">
        <v>33</v>
      </c>
      <c r="N678" s="1">
        <v>448.56</v>
      </c>
      <c r="O678" s="1">
        <v>4.7619047620000003</v>
      </c>
      <c r="P678" s="1">
        <v>22.428000000000001</v>
      </c>
      <c r="Q678">
        <v>7.3</v>
      </c>
      <c r="R678" s="13">
        <v>43515</v>
      </c>
      <c r="S678">
        <f t="shared" si="40"/>
        <v>2</v>
      </c>
      <c r="T678">
        <f t="shared" si="41"/>
        <v>19</v>
      </c>
      <c r="U678">
        <f t="shared" si="42"/>
        <v>19</v>
      </c>
      <c r="V678" s="13" t="str">
        <f t="shared" si="43"/>
        <v>Tuesday</v>
      </c>
    </row>
    <row r="679" spans="1:22" x14ac:dyDescent="0.25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 s="1">
        <v>73.47</v>
      </c>
      <c r="H679">
        <v>4</v>
      </c>
      <c r="I679" s="1">
        <v>14.694000000000001</v>
      </c>
      <c r="J679" s="1">
        <v>308.57400000000001</v>
      </c>
      <c r="K679" s="3" t="s">
        <v>149</v>
      </c>
      <c r="L679" s="2">
        <v>0.77083333333333337</v>
      </c>
      <c r="M679" t="s">
        <v>29</v>
      </c>
      <c r="N679" s="1">
        <v>293.88</v>
      </c>
      <c r="O679" s="1">
        <v>4.7619047620000003</v>
      </c>
      <c r="P679" s="1">
        <v>14.694000000000001</v>
      </c>
      <c r="Q679">
        <v>6</v>
      </c>
      <c r="R679" s="13">
        <v>43519</v>
      </c>
      <c r="S679">
        <f t="shared" si="40"/>
        <v>2</v>
      </c>
      <c r="T679">
        <f t="shared" si="41"/>
        <v>18</v>
      </c>
      <c r="U679">
        <f t="shared" si="42"/>
        <v>23</v>
      </c>
      <c r="V679" s="13" t="str">
        <f t="shared" si="43"/>
        <v>Saturday</v>
      </c>
    </row>
    <row r="680" spans="1:22" x14ac:dyDescent="0.25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 s="1">
        <v>58.95</v>
      </c>
      <c r="H680">
        <v>10</v>
      </c>
      <c r="I680" s="1">
        <v>29.475000000000001</v>
      </c>
      <c r="J680" s="1">
        <v>618.97500000000002</v>
      </c>
      <c r="K680" s="3">
        <v>43648</v>
      </c>
      <c r="L680" s="2">
        <v>0.6020833333333333</v>
      </c>
      <c r="M680" t="s">
        <v>23</v>
      </c>
      <c r="N680" s="1">
        <v>589.5</v>
      </c>
      <c r="O680" s="1">
        <v>4.7619047620000003</v>
      </c>
      <c r="P680" s="1">
        <v>29.475000000000001</v>
      </c>
      <c r="Q680">
        <v>8.1</v>
      </c>
      <c r="R680" s="13">
        <v>43503</v>
      </c>
      <c r="S680">
        <f t="shared" si="40"/>
        <v>2</v>
      </c>
      <c r="T680">
        <f t="shared" si="41"/>
        <v>14</v>
      </c>
      <c r="U680">
        <f t="shared" si="42"/>
        <v>7</v>
      </c>
      <c r="V680" s="13" t="str">
        <f t="shared" si="43"/>
        <v>Thursday</v>
      </c>
    </row>
    <row r="681" spans="1:22" x14ac:dyDescent="0.25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 s="1">
        <v>48.5</v>
      </c>
      <c r="H681">
        <v>6</v>
      </c>
      <c r="I681" s="1">
        <v>14.55</v>
      </c>
      <c r="J681" s="1">
        <v>305.55</v>
      </c>
      <c r="K681" s="3">
        <v>43770</v>
      </c>
      <c r="L681" s="2">
        <v>0.58125000000000004</v>
      </c>
      <c r="M681" t="s">
        <v>23</v>
      </c>
      <c r="N681" s="1">
        <v>291</v>
      </c>
      <c r="O681" s="1">
        <v>4.7619047620000003</v>
      </c>
      <c r="P681" s="1">
        <v>14.55</v>
      </c>
      <c r="Q681">
        <v>9.4</v>
      </c>
      <c r="R681" s="13">
        <v>43476</v>
      </c>
      <c r="S681">
        <f t="shared" si="40"/>
        <v>1</v>
      </c>
      <c r="T681">
        <f t="shared" si="41"/>
        <v>13</v>
      </c>
      <c r="U681">
        <f t="shared" si="42"/>
        <v>11</v>
      </c>
      <c r="V681" s="13" t="str">
        <f t="shared" si="43"/>
        <v>Friday</v>
      </c>
    </row>
    <row r="682" spans="1:22" x14ac:dyDescent="0.25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 s="1">
        <v>39.479999999999997</v>
      </c>
      <c r="H682">
        <v>1</v>
      </c>
      <c r="I682" s="1">
        <v>1.974</v>
      </c>
      <c r="J682" s="1">
        <v>41.454000000000001</v>
      </c>
      <c r="K682" s="3">
        <v>43801</v>
      </c>
      <c r="L682" s="2">
        <v>0.82152777777777775</v>
      </c>
      <c r="M682" t="s">
        <v>29</v>
      </c>
      <c r="N682" s="1">
        <v>39.479999999999997</v>
      </c>
      <c r="O682" s="1">
        <v>4.7619047620000003</v>
      </c>
      <c r="P682" s="1">
        <v>1.974</v>
      </c>
      <c r="Q682">
        <v>6.5</v>
      </c>
      <c r="R682" s="13">
        <v>43508</v>
      </c>
      <c r="S682">
        <f t="shared" si="40"/>
        <v>2</v>
      </c>
      <c r="T682">
        <f t="shared" si="41"/>
        <v>19</v>
      </c>
      <c r="U682">
        <f t="shared" si="42"/>
        <v>12</v>
      </c>
      <c r="V682" s="13" t="str">
        <f t="shared" si="43"/>
        <v>Tuesday</v>
      </c>
    </row>
    <row r="683" spans="1:22" x14ac:dyDescent="0.25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 s="1">
        <v>34.81</v>
      </c>
      <c r="H683">
        <v>1</v>
      </c>
      <c r="I683" s="1">
        <v>1.7404999999999999</v>
      </c>
      <c r="J683" s="1">
        <v>36.5505</v>
      </c>
      <c r="K683" s="3" t="s">
        <v>283</v>
      </c>
      <c r="L683" s="2">
        <v>0.42430555555555555</v>
      </c>
      <c r="M683" t="s">
        <v>33</v>
      </c>
      <c r="N683" s="1">
        <v>34.81</v>
      </c>
      <c r="O683" s="1">
        <v>4.7619047620000003</v>
      </c>
      <c r="P683" s="1">
        <v>1.7404999999999999</v>
      </c>
      <c r="Q683">
        <v>7</v>
      </c>
      <c r="R683" s="13">
        <v>43479</v>
      </c>
      <c r="S683">
        <f t="shared" si="40"/>
        <v>1</v>
      </c>
      <c r="T683">
        <f t="shared" si="41"/>
        <v>10</v>
      </c>
      <c r="U683">
        <f t="shared" si="42"/>
        <v>14</v>
      </c>
      <c r="V683" s="13" t="str">
        <f t="shared" si="43"/>
        <v>Monday</v>
      </c>
    </row>
    <row r="684" spans="1:22" x14ac:dyDescent="0.25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 s="1">
        <v>49.32</v>
      </c>
      <c r="H684">
        <v>6</v>
      </c>
      <c r="I684" s="1">
        <v>14.795999999999999</v>
      </c>
      <c r="J684" s="1">
        <v>310.71600000000001</v>
      </c>
      <c r="K684" s="3">
        <v>43709</v>
      </c>
      <c r="L684" s="2">
        <v>0.57361111111111107</v>
      </c>
      <c r="M684" t="s">
        <v>23</v>
      </c>
      <c r="N684" s="1">
        <v>295.92</v>
      </c>
      <c r="O684" s="1">
        <v>4.7619047620000003</v>
      </c>
      <c r="P684" s="1">
        <v>14.795999999999999</v>
      </c>
      <c r="Q684">
        <v>7.1</v>
      </c>
      <c r="R684" s="13">
        <v>43474</v>
      </c>
      <c r="S684">
        <f t="shared" si="40"/>
        <v>1</v>
      </c>
      <c r="T684">
        <f t="shared" si="41"/>
        <v>13</v>
      </c>
      <c r="U684">
        <f t="shared" si="42"/>
        <v>9</v>
      </c>
      <c r="V684" s="13" t="str">
        <f t="shared" si="43"/>
        <v>Wednesday</v>
      </c>
    </row>
    <row r="685" spans="1:22" x14ac:dyDescent="0.25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 s="1">
        <v>21.48</v>
      </c>
      <c r="H685">
        <v>2</v>
      </c>
      <c r="I685" s="1">
        <v>2.1480000000000001</v>
      </c>
      <c r="J685" s="1">
        <v>45.107999999999997</v>
      </c>
      <c r="K685" s="3" t="s">
        <v>99</v>
      </c>
      <c r="L685" s="2">
        <v>0.51527777777777772</v>
      </c>
      <c r="M685" t="s">
        <v>23</v>
      </c>
      <c r="N685" s="1">
        <v>42.96</v>
      </c>
      <c r="O685" s="1">
        <v>4.7619047620000003</v>
      </c>
      <c r="P685" s="1">
        <v>2.1480000000000001</v>
      </c>
      <c r="Q685">
        <v>6.6</v>
      </c>
      <c r="R685" s="13">
        <v>43523</v>
      </c>
      <c r="S685">
        <f t="shared" si="40"/>
        <v>2</v>
      </c>
      <c r="T685">
        <f t="shared" si="41"/>
        <v>12</v>
      </c>
      <c r="U685">
        <f t="shared" si="42"/>
        <v>27</v>
      </c>
      <c r="V685" s="13" t="str">
        <f t="shared" si="43"/>
        <v>Wednesday</v>
      </c>
    </row>
    <row r="686" spans="1:22" x14ac:dyDescent="0.25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 s="1">
        <v>23.08</v>
      </c>
      <c r="H686">
        <v>6</v>
      </c>
      <c r="I686" s="1">
        <v>6.9240000000000004</v>
      </c>
      <c r="J686" s="1">
        <v>145.404</v>
      </c>
      <c r="K686" s="3" t="s">
        <v>129</v>
      </c>
      <c r="L686" s="2">
        <v>0.80555555555555558</v>
      </c>
      <c r="M686" t="s">
        <v>23</v>
      </c>
      <c r="N686" s="1">
        <v>138.47999999999999</v>
      </c>
      <c r="O686" s="1">
        <v>4.7619047620000003</v>
      </c>
      <c r="P686" s="1">
        <v>6.9240000000000004</v>
      </c>
      <c r="Q686">
        <v>4.9000000000000004</v>
      </c>
      <c r="R686" s="13">
        <v>43489</v>
      </c>
      <c r="S686">
        <f t="shared" si="40"/>
        <v>1</v>
      </c>
      <c r="T686">
        <f t="shared" si="41"/>
        <v>19</v>
      </c>
      <c r="U686">
        <f t="shared" si="42"/>
        <v>24</v>
      </c>
      <c r="V686" s="13" t="str">
        <f t="shared" si="43"/>
        <v>Thursday</v>
      </c>
    </row>
    <row r="687" spans="1:22" x14ac:dyDescent="0.25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 s="1">
        <v>49.1</v>
      </c>
      <c r="H687">
        <v>2</v>
      </c>
      <c r="I687" s="1">
        <v>4.91</v>
      </c>
      <c r="J687" s="1">
        <v>103.11</v>
      </c>
      <c r="K687" s="3">
        <v>43678</v>
      </c>
      <c r="L687" s="2">
        <v>0.54027777777777775</v>
      </c>
      <c r="M687" t="s">
        <v>33</v>
      </c>
      <c r="N687" s="1">
        <v>98.2</v>
      </c>
      <c r="O687" s="1">
        <v>4.7619047620000003</v>
      </c>
      <c r="P687" s="1">
        <v>4.91</v>
      </c>
      <c r="Q687">
        <v>6.4</v>
      </c>
      <c r="R687" s="13">
        <v>43473</v>
      </c>
      <c r="S687">
        <f t="shared" si="40"/>
        <v>1</v>
      </c>
      <c r="T687">
        <f t="shared" si="41"/>
        <v>12</v>
      </c>
      <c r="U687">
        <f t="shared" si="42"/>
        <v>8</v>
      </c>
      <c r="V687" s="13" t="str">
        <f t="shared" si="43"/>
        <v>Tuesday</v>
      </c>
    </row>
    <row r="688" spans="1:22" x14ac:dyDescent="0.25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 s="1">
        <v>64.83</v>
      </c>
      <c r="H688">
        <v>2</v>
      </c>
      <c r="I688" s="1">
        <v>6.4829999999999997</v>
      </c>
      <c r="J688" s="1">
        <v>136.143</v>
      </c>
      <c r="K688" s="3">
        <v>43678</v>
      </c>
      <c r="L688" s="2">
        <v>0.49930555555555556</v>
      </c>
      <c r="M688" t="s">
        <v>33</v>
      </c>
      <c r="N688" s="1">
        <v>129.66</v>
      </c>
      <c r="O688" s="1">
        <v>4.7619047620000003</v>
      </c>
      <c r="P688" s="1">
        <v>6.4829999999999997</v>
      </c>
      <c r="Q688">
        <v>8</v>
      </c>
      <c r="R688" s="13">
        <v>43473</v>
      </c>
      <c r="S688">
        <f t="shared" si="40"/>
        <v>1</v>
      </c>
      <c r="T688">
        <f t="shared" si="41"/>
        <v>11</v>
      </c>
      <c r="U688">
        <f t="shared" si="42"/>
        <v>8</v>
      </c>
      <c r="V688" s="13" t="str">
        <f t="shared" si="43"/>
        <v>Tuesday</v>
      </c>
    </row>
    <row r="689" spans="1:22" x14ac:dyDescent="0.25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 s="1">
        <v>63.56</v>
      </c>
      <c r="H689">
        <v>10</v>
      </c>
      <c r="I689" s="1">
        <v>31.78</v>
      </c>
      <c r="J689" s="1">
        <v>667.38</v>
      </c>
      <c r="K689" s="3" t="s">
        <v>188</v>
      </c>
      <c r="L689" s="2">
        <v>0.74930555555555556</v>
      </c>
      <c r="M689" t="s">
        <v>29</v>
      </c>
      <c r="N689" s="1">
        <v>635.6</v>
      </c>
      <c r="O689" s="1">
        <v>4.7619047620000003</v>
      </c>
      <c r="P689" s="1">
        <v>31.78</v>
      </c>
      <c r="Q689">
        <v>4.3</v>
      </c>
      <c r="R689" s="13">
        <v>43481</v>
      </c>
      <c r="S689">
        <f t="shared" si="40"/>
        <v>1</v>
      </c>
      <c r="T689">
        <f t="shared" si="41"/>
        <v>17</v>
      </c>
      <c r="U689">
        <f t="shared" si="42"/>
        <v>16</v>
      </c>
      <c r="V689" s="13" t="str">
        <f t="shared" si="43"/>
        <v>Wednesday</v>
      </c>
    </row>
    <row r="690" spans="1:22" x14ac:dyDescent="0.25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 s="1">
        <v>72.88</v>
      </c>
      <c r="H690">
        <v>2</v>
      </c>
      <c r="I690" s="1">
        <v>7.2880000000000003</v>
      </c>
      <c r="J690" s="1">
        <v>153.048</v>
      </c>
      <c r="K690" s="3" t="s">
        <v>125</v>
      </c>
      <c r="L690" s="2">
        <v>0.53541666666666665</v>
      </c>
      <c r="M690" t="s">
        <v>29</v>
      </c>
      <c r="N690" s="1">
        <v>145.76</v>
      </c>
      <c r="O690" s="1">
        <v>4.7619047620000003</v>
      </c>
      <c r="P690" s="1">
        <v>7.2880000000000003</v>
      </c>
      <c r="Q690">
        <v>6.1</v>
      </c>
      <c r="R690" s="13">
        <v>43537</v>
      </c>
      <c r="S690">
        <f t="shared" si="40"/>
        <v>3</v>
      </c>
      <c r="T690">
        <f t="shared" si="41"/>
        <v>12</v>
      </c>
      <c r="U690">
        <f t="shared" si="42"/>
        <v>13</v>
      </c>
      <c r="V690" s="13" t="str">
        <f t="shared" si="43"/>
        <v>Wednesday</v>
      </c>
    </row>
    <row r="691" spans="1:22" x14ac:dyDescent="0.25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 s="1">
        <v>67.099999999999994</v>
      </c>
      <c r="H691">
        <v>3</v>
      </c>
      <c r="I691" s="1">
        <v>10.065</v>
      </c>
      <c r="J691" s="1">
        <v>211.36500000000001</v>
      </c>
      <c r="K691" s="3" t="s">
        <v>118</v>
      </c>
      <c r="L691" s="2">
        <v>0.44166666666666665</v>
      </c>
      <c r="M691" t="s">
        <v>29</v>
      </c>
      <c r="N691" s="1">
        <v>201.3</v>
      </c>
      <c r="O691" s="1">
        <v>4.7619047620000003</v>
      </c>
      <c r="P691" s="1">
        <v>10.065</v>
      </c>
      <c r="Q691">
        <v>7.5</v>
      </c>
      <c r="R691" s="13">
        <v>43511</v>
      </c>
      <c r="S691">
        <f t="shared" si="40"/>
        <v>2</v>
      </c>
      <c r="T691">
        <f t="shared" si="41"/>
        <v>10</v>
      </c>
      <c r="U691">
        <f t="shared" si="42"/>
        <v>15</v>
      </c>
      <c r="V691" s="13" t="str">
        <f t="shared" si="43"/>
        <v>Friday</v>
      </c>
    </row>
    <row r="692" spans="1:22" x14ac:dyDescent="0.25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 s="1">
        <v>70.19</v>
      </c>
      <c r="H692">
        <v>9</v>
      </c>
      <c r="I692" s="1">
        <v>31.5855</v>
      </c>
      <c r="J692" s="1">
        <v>663.29549999999995</v>
      </c>
      <c r="K692" s="3" t="s">
        <v>76</v>
      </c>
      <c r="L692" s="2">
        <v>0.56805555555555554</v>
      </c>
      <c r="M692" t="s">
        <v>29</v>
      </c>
      <c r="N692" s="1">
        <v>631.71</v>
      </c>
      <c r="O692" s="1">
        <v>4.7619047620000003</v>
      </c>
      <c r="P692" s="1">
        <v>31.5855</v>
      </c>
      <c r="Q692">
        <v>6.7</v>
      </c>
      <c r="R692" s="13">
        <v>43490</v>
      </c>
      <c r="S692">
        <f t="shared" si="40"/>
        <v>1</v>
      </c>
      <c r="T692">
        <f t="shared" si="41"/>
        <v>13</v>
      </c>
      <c r="U692">
        <f t="shared" si="42"/>
        <v>25</v>
      </c>
      <c r="V692" s="13" t="str">
        <f t="shared" si="43"/>
        <v>Friday</v>
      </c>
    </row>
    <row r="693" spans="1:22" x14ac:dyDescent="0.25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 s="1">
        <v>55.04</v>
      </c>
      <c r="H693">
        <v>7</v>
      </c>
      <c r="I693" s="1">
        <v>19.263999999999999</v>
      </c>
      <c r="J693" s="1">
        <v>404.54399999999998</v>
      </c>
      <c r="K693" s="3">
        <v>43802</v>
      </c>
      <c r="L693" s="2">
        <v>0.81874999999999998</v>
      </c>
      <c r="M693" t="s">
        <v>23</v>
      </c>
      <c r="N693" s="1">
        <v>385.28</v>
      </c>
      <c r="O693" s="1">
        <v>4.7619047620000003</v>
      </c>
      <c r="P693" s="1">
        <v>19.263999999999999</v>
      </c>
      <c r="Q693">
        <v>5.2</v>
      </c>
      <c r="R693" s="13">
        <v>43536</v>
      </c>
      <c r="S693">
        <f t="shared" si="40"/>
        <v>3</v>
      </c>
      <c r="T693">
        <f t="shared" si="41"/>
        <v>19</v>
      </c>
      <c r="U693">
        <f t="shared" si="42"/>
        <v>12</v>
      </c>
      <c r="V693" s="13" t="str">
        <f t="shared" si="43"/>
        <v>Tuesday</v>
      </c>
    </row>
    <row r="694" spans="1:22" x14ac:dyDescent="0.25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 s="1">
        <v>48.63</v>
      </c>
      <c r="H694">
        <v>10</v>
      </c>
      <c r="I694" s="1">
        <v>24.315000000000001</v>
      </c>
      <c r="J694" s="1">
        <v>510.61500000000001</v>
      </c>
      <c r="K694" s="3">
        <v>43558</v>
      </c>
      <c r="L694" s="2">
        <v>0.53055555555555556</v>
      </c>
      <c r="M694" t="s">
        <v>29</v>
      </c>
      <c r="N694" s="1">
        <v>486.3</v>
      </c>
      <c r="O694" s="1">
        <v>4.7619047620000003</v>
      </c>
      <c r="P694" s="1">
        <v>24.315000000000001</v>
      </c>
      <c r="Q694">
        <v>8.8000000000000007</v>
      </c>
      <c r="R694" s="13">
        <v>43528</v>
      </c>
      <c r="S694">
        <f t="shared" si="40"/>
        <v>3</v>
      </c>
      <c r="T694">
        <f t="shared" si="41"/>
        <v>12</v>
      </c>
      <c r="U694">
        <f t="shared" si="42"/>
        <v>4</v>
      </c>
      <c r="V694" s="13" t="str">
        <f t="shared" si="43"/>
        <v>Monday</v>
      </c>
    </row>
    <row r="695" spans="1:22" x14ac:dyDescent="0.25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 s="1">
        <v>73.38</v>
      </c>
      <c r="H695">
        <v>7</v>
      </c>
      <c r="I695" s="1">
        <v>25.683</v>
      </c>
      <c r="J695" s="1">
        <v>539.34299999999996</v>
      </c>
      <c r="K695" s="3">
        <v>43740</v>
      </c>
      <c r="L695" s="2">
        <v>0.5805555555555556</v>
      </c>
      <c r="M695" t="s">
        <v>29</v>
      </c>
      <c r="N695" s="1">
        <v>513.66</v>
      </c>
      <c r="O695" s="1">
        <v>4.7619047620000003</v>
      </c>
      <c r="P695" s="1">
        <v>25.683</v>
      </c>
      <c r="Q695">
        <v>9.5</v>
      </c>
      <c r="R695" s="13">
        <v>43506</v>
      </c>
      <c r="S695">
        <f t="shared" si="40"/>
        <v>2</v>
      </c>
      <c r="T695">
        <f t="shared" si="41"/>
        <v>13</v>
      </c>
      <c r="U695">
        <f t="shared" si="42"/>
        <v>10</v>
      </c>
      <c r="V695" s="13" t="str">
        <f t="shared" si="43"/>
        <v>Sunday</v>
      </c>
    </row>
    <row r="696" spans="1:22" x14ac:dyDescent="0.25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 s="1">
        <v>52.6</v>
      </c>
      <c r="H696">
        <v>9</v>
      </c>
      <c r="I696" s="1">
        <v>23.67</v>
      </c>
      <c r="J696" s="1">
        <v>497.07</v>
      </c>
      <c r="K696" s="3" t="s">
        <v>188</v>
      </c>
      <c r="L696" s="2">
        <v>0.61250000000000004</v>
      </c>
      <c r="M696" t="s">
        <v>29</v>
      </c>
      <c r="N696" s="1">
        <v>473.4</v>
      </c>
      <c r="O696" s="1">
        <v>4.7619047620000003</v>
      </c>
      <c r="P696" s="1">
        <v>23.67</v>
      </c>
      <c r="Q696">
        <v>7.6</v>
      </c>
      <c r="R696" s="13">
        <v>43481</v>
      </c>
      <c r="S696">
        <f t="shared" si="40"/>
        <v>1</v>
      </c>
      <c r="T696">
        <f t="shared" si="41"/>
        <v>14</v>
      </c>
      <c r="U696">
        <f t="shared" si="42"/>
        <v>16</v>
      </c>
      <c r="V696" s="13" t="str">
        <f t="shared" si="43"/>
        <v>Wednesday</v>
      </c>
    </row>
    <row r="697" spans="1:22" x14ac:dyDescent="0.25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 s="1">
        <v>87.37</v>
      </c>
      <c r="H697">
        <v>5</v>
      </c>
      <c r="I697" s="1">
        <v>21.842500000000001</v>
      </c>
      <c r="J697" s="1">
        <v>458.6925</v>
      </c>
      <c r="K697" s="3" t="s">
        <v>228</v>
      </c>
      <c r="L697" s="2">
        <v>0.82291666666666663</v>
      </c>
      <c r="M697" t="s">
        <v>29</v>
      </c>
      <c r="N697" s="1">
        <v>436.85</v>
      </c>
      <c r="O697" s="1">
        <v>4.7619047620000003</v>
      </c>
      <c r="P697" s="1">
        <v>21.842500000000001</v>
      </c>
      <c r="Q697">
        <v>6.6</v>
      </c>
      <c r="R697" s="13">
        <v>43494</v>
      </c>
      <c r="S697">
        <f t="shared" si="40"/>
        <v>1</v>
      </c>
      <c r="T697">
        <f t="shared" si="41"/>
        <v>19</v>
      </c>
      <c r="U697">
        <f t="shared" si="42"/>
        <v>29</v>
      </c>
      <c r="V697" s="13" t="str">
        <f t="shared" si="43"/>
        <v>Tuesday</v>
      </c>
    </row>
    <row r="698" spans="1:22" x14ac:dyDescent="0.25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 s="1">
        <v>27.04</v>
      </c>
      <c r="H698">
        <v>4</v>
      </c>
      <c r="I698" s="1">
        <v>5.4080000000000004</v>
      </c>
      <c r="J698" s="1">
        <v>113.568</v>
      </c>
      <c r="K698" s="3">
        <v>43466</v>
      </c>
      <c r="L698" s="2">
        <v>0.85138888888888886</v>
      </c>
      <c r="M698" t="s">
        <v>23</v>
      </c>
      <c r="N698" s="1">
        <v>108.16</v>
      </c>
      <c r="O698" s="1">
        <v>4.7619047620000003</v>
      </c>
      <c r="P698" s="1">
        <v>5.4080000000000004</v>
      </c>
      <c r="Q698">
        <v>6.9</v>
      </c>
      <c r="R698" s="13">
        <v>43466</v>
      </c>
      <c r="S698">
        <f t="shared" si="40"/>
        <v>1</v>
      </c>
      <c r="T698">
        <f t="shared" si="41"/>
        <v>20</v>
      </c>
      <c r="U698">
        <f t="shared" si="42"/>
        <v>1</v>
      </c>
      <c r="V698" s="13" t="str">
        <f t="shared" si="43"/>
        <v>Tuesday</v>
      </c>
    </row>
    <row r="699" spans="1:22" x14ac:dyDescent="0.25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 s="1">
        <v>62.19</v>
      </c>
      <c r="H699">
        <v>4</v>
      </c>
      <c r="I699" s="1">
        <v>12.438000000000001</v>
      </c>
      <c r="J699" s="1">
        <v>261.19799999999998</v>
      </c>
      <c r="K699" s="3">
        <v>43617</v>
      </c>
      <c r="L699" s="2">
        <v>0.82361111111111107</v>
      </c>
      <c r="M699" t="s">
        <v>23</v>
      </c>
      <c r="N699" s="1">
        <v>248.76</v>
      </c>
      <c r="O699" s="1">
        <v>4.7619047620000003</v>
      </c>
      <c r="P699" s="1">
        <v>12.438000000000001</v>
      </c>
      <c r="Q699">
        <v>4.3</v>
      </c>
      <c r="R699" s="13">
        <v>43471</v>
      </c>
      <c r="S699">
        <f t="shared" si="40"/>
        <v>1</v>
      </c>
      <c r="T699">
        <f t="shared" si="41"/>
        <v>19</v>
      </c>
      <c r="U699">
        <f t="shared" si="42"/>
        <v>6</v>
      </c>
      <c r="V699" s="13" t="str">
        <f t="shared" si="43"/>
        <v>Sunday</v>
      </c>
    </row>
    <row r="700" spans="1:22" x14ac:dyDescent="0.25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 s="1">
        <v>69.58</v>
      </c>
      <c r="H700">
        <v>9</v>
      </c>
      <c r="I700" s="1">
        <v>31.311</v>
      </c>
      <c r="J700" s="1">
        <v>657.53099999999995</v>
      </c>
      <c r="K700" s="3" t="s">
        <v>453</v>
      </c>
      <c r="L700" s="2">
        <v>0.81805555555555554</v>
      </c>
      <c r="M700" t="s">
        <v>33</v>
      </c>
      <c r="N700" s="1">
        <v>626.22</v>
      </c>
      <c r="O700" s="1">
        <v>4.7619047620000003</v>
      </c>
      <c r="P700" s="1">
        <v>31.311</v>
      </c>
      <c r="Q700">
        <v>7.8</v>
      </c>
      <c r="R700" s="13">
        <v>43515</v>
      </c>
      <c r="S700">
        <f t="shared" si="40"/>
        <v>2</v>
      </c>
      <c r="T700">
        <f t="shared" si="41"/>
        <v>19</v>
      </c>
      <c r="U700">
        <f t="shared" si="42"/>
        <v>19</v>
      </c>
      <c r="V700" s="13" t="str">
        <f t="shared" si="43"/>
        <v>Tuesday</v>
      </c>
    </row>
    <row r="701" spans="1:22" x14ac:dyDescent="0.25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 s="1">
        <v>97.5</v>
      </c>
      <c r="H701">
        <v>10</v>
      </c>
      <c r="I701" s="1">
        <v>48.75</v>
      </c>
      <c r="J701" s="1">
        <v>1023.75</v>
      </c>
      <c r="K701" s="3">
        <v>43800</v>
      </c>
      <c r="L701" s="2">
        <v>0.6791666666666667</v>
      </c>
      <c r="M701" t="s">
        <v>23</v>
      </c>
      <c r="N701" s="1">
        <v>975</v>
      </c>
      <c r="O701" s="1">
        <v>4.7619047620000003</v>
      </c>
      <c r="P701" s="1">
        <v>48.75</v>
      </c>
      <c r="Q701">
        <v>8</v>
      </c>
      <c r="R701" s="13">
        <v>43477</v>
      </c>
      <c r="S701">
        <f t="shared" si="40"/>
        <v>1</v>
      </c>
      <c r="T701">
        <f t="shared" si="41"/>
        <v>16</v>
      </c>
      <c r="U701">
        <f t="shared" si="42"/>
        <v>12</v>
      </c>
      <c r="V701" s="13" t="str">
        <f t="shared" si="43"/>
        <v>Saturday</v>
      </c>
    </row>
    <row r="702" spans="1:22" x14ac:dyDescent="0.25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 s="1">
        <v>60.41</v>
      </c>
      <c r="H702">
        <v>8</v>
      </c>
      <c r="I702" s="1">
        <v>24.164000000000001</v>
      </c>
      <c r="J702" s="1">
        <v>507.44400000000002</v>
      </c>
      <c r="K702" s="3">
        <v>43648</v>
      </c>
      <c r="L702" s="2">
        <v>0.51597222222222228</v>
      </c>
      <c r="M702" t="s">
        <v>23</v>
      </c>
      <c r="N702" s="1">
        <v>483.28</v>
      </c>
      <c r="O702" s="1">
        <v>4.7619047620000003</v>
      </c>
      <c r="P702" s="1">
        <v>24.164000000000001</v>
      </c>
      <c r="Q702">
        <v>9.6</v>
      </c>
      <c r="R702" s="13">
        <v>43503</v>
      </c>
      <c r="S702">
        <f t="shared" si="40"/>
        <v>2</v>
      </c>
      <c r="T702">
        <f t="shared" si="41"/>
        <v>12</v>
      </c>
      <c r="U702">
        <f t="shared" si="42"/>
        <v>7</v>
      </c>
      <c r="V702" s="13" t="str">
        <f t="shared" si="43"/>
        <v>Thursday</v>
      </c>
    </row>
    <row r="703" spans="1:22" x14ac:dyDescent="0.25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 s="1">
        <v>32.32</v>
      </c>
      <c r="H703">
        <v>3</v>
      </c>
      <c r="I703" s="1">
        <v>4.8479999999999999</v>
      </c>
      <c r="J703" s="1">
        <v>101.80800000000001</v>
      </c>
      <c r="K703" s="3" t="s">
        <v>112</v>
      </c>
      <c r="L703" s="2">
        <v>0.7993055555555556</v>
      </c>
      <c r="M703" t="s">
        <v>33</v>
      </c>
      <c r="N703" s="1">
        <v>96.96</v>
      </c>
      <c r="O703" s="1">
        <v>4.7619047620000003</v>
      </c>
      <c r="P703" s="1">
        <v>4.8479999999999999</v>
      </c>
      <c r="Q703">
        <v>4.3</v>
      </c>
      <c r="R703" s="13">
        <v>43551</v>
      </c>
      <c r="S703">
        <f t="shared" si="40"/>
        <v>3</v>
      </c>
      <c r="T703">
        <f t="shared" si="41"/>
        <v>19</v>
      </c>
      <c r="U703">
        <f t="shared" si="42"/>
        <v>27</v>
      </c>
      <c r="V703" s="13" t="str">
        <f t="shared" si="43"/>
        <v>Wednesday</v>
      </c>
    </row>
    <row r="704" spans="1:22" x14ac:dyDescent="0.25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 s="1">
        <v>19.77</v>
      </c>
      <c r="H704">
        <v>10</v>
      </c>
      <c r="I704" s="1">
        <v>9.8849999999999998</v>
      </c>
      <c r="J704" s="1">
        <v>207.58500000000001</v>
      </c>
      <c r="K704" s="3" t="s">
        <v>99</v>
      </c>
      <c r="L704" s="2">
        <v>0.7895833333333333</v>
      </c>
      <c r="M704" t="s">
        <v>33</v>
      </c>
      <c r="N704" s="1">
        <v>197.7</v>
      </c>
      <c r="O704" s="1">
        <v>4.7619047620000003</v>
      </c>
      <c r="P704" s="1">
        <v>9.8849999999999998</v>
      </c>
      <c r="Q704">
        <v>5</v>
      </c>
      <c r="R704" s="13">
        <v>43523</v>
      </c>
      <c r="S704">
        <f t="shared" si="40"/>
        <v>2</v>
      </c>
      <c r="T704">
        <f t="shared" si="41"/>
        <v>18</v>
      </c>
      <c r="U704">
        <f t="shared" si="42"/>
        <v>27</v>
      </c>
      <c r="V704" s="13" t="str">
        <f t="shared" si="43"/>
        <v>Wednesday</v>
      </c>
    </row>
    <row r="705" spans="1:22" x14ac:dyDescent="0.25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 s="1">
        <v>80.47</v>
      </c>
      <c r="H705">
        <v>9</v>
      </c>
      <c r="I705" s="1">
        <v>36.211500000000001</v>
      </c>
      <c r="J705" s="1">
        <v>760.44150000000002</v>
      </c>
      <c r="K705" s="3">
        <v>43617</v>
      </c>
      <c r="L705" s="2">
        <v>0.47083333333333333</v>
      </c>
      <c r="M705" t="s">
        <v>29</v>
      </c>
      <c r="N705" s="1">
        <v>724.23</v>
      </c>
      <c r="O705" s="1">
        <v>4.7619047620000003</v>
      </c>
      <c r="P705" s="1">
        <v>36.211500000000001</v>
      </c>
      <c r="Q705">
        <v>9.1999999999999993</v>
      </c>
      <c r="R705" s="13">
        <v>43471</v>
      </c>
      <c r="S705">
        <f t="shared" si="40"/>
        <v>1</v>
      </c>
      <c r="T705">
        <f t="shared" si="41"/>
        <v>11</v>
      </c>
      <c r="U705">
        <f t="shared" si="42"/>
        <v>6</v>
      </c>
      <c r="V705" s="13" t="str">
        <f t="shared" si="43"/>
        <v>Sunday</v>
      </c>
    </row>
    <row r="706" spans="1:22" x14ac:dyDescent="0.25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 s="1">
        <v>88.39</v>
      </c>
      <c r="H706">
        <v>9</v>
      </c>
      <c r="I706" s="1">
        <v>39.775500000000001</v>
      </c>
      <c r="J706" s="1">
        <v>835.28549999999996</v>
      </c>
      <c r="K706" s="3">
        <v>43499</v>
      </c>
      <c r="L706" s="2">
        <v>0.52777777777777779</v>
      </c>
      <c r="M706" t="s">
        <v>29</v>
      </c>
      <c r="N706" s="1">
        <v>795.51</v>
      </c>
      <c r="O706" s="1">
        <v>4.7619047620000003</v>
      </c>
      <c r="P706" s="1">
        <v>39.775500000000001</v>
      </c>
      <c r="Q706">
        <v>6.3</v>
      </c>
      <c r="R706" s="13">
        <v>43526</v>
      </c>
      <c r="S706">
        <f t="shared" si="40"/>
        <v>3</v>
      </c>
      <c r="T706">
        <f t="shared" si="41"/>
        <v>12</v>
      </c>
      <c r="U706">
        <f t="shared" si="42"/>
        <v>2</v>
      </c>
      <c r="V706" s="13" t="str">
        <f t="shared" si="43"/>
        <v>Saturday</v>
      </c>
    </row>
    <row r="707" spans="1:22" x14ac:dyDescent="0.25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 s="1">
        <v>71.77</v>
      </c>
      <c r="H707">
        <v>7</v>
      </c>
      <c r="I707" s="1">
        <v>25.119499999999999</v>
      </c>
      <c r="J707" s="1">
        <v>527.5095</v>
      </c>
      <c r="K707" s="3" t="s">
        <v>56</v>
      </c>
      <c r="L707" s="2">
        <v>0.58750000000000002</v>
      </c>
      <c r="M707" t="s">
        <v>29</v>
      </c>
      <c r="N707" s="1">
        <v>502.39</v>
      </c>
      <c r="O707" s="1">
        <v>4.7619047620000003</v>
      </c>
      <c r="P707" s="1">
        <v>25.119499999999999</v>
      </c>
      <c r="Q707">
        <v>8.9</v>
      </c>
      <c r="R707" s="13">
        <v>43553</v>
      </c>
      <c r="S707">
        <f t="shared" ref="S707:S770" si="44">MONTH(R707)</f>
        <v>3</v>
      </c>
      <c r="T707">
        <f t="shared" ref="T707:T770" si="45">HOUR(L707)</f>
        <v>14</v>
      </c>
      <c r="U707">
        <f t="shared" ref="U707:U770" si="46">DAY(R707)</f>
        <v>29</v>
      </c>
      <c r="V707" s="13" t="str">
        <f t="shared" ref="V707:V770" si="47">TEXT(R707,"DDDD")</f>
        <v>Friday</v>
      </c>
    </row>
    <row r="708" spans="1:22" x14ac:dyDescent="0.25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 s="1">
        <v>43</v>
      </c>
      <c r="H708">
        <v>4</v>
      </c>
      <c r="I708" s="1">
        <v>8.6</v>
      </c>
      <c r="J708" s="1">
        <v>180.6</v>
      </c>
      <c r="K708" s="3" t="s">
        <v>305</v>
      </c>
      <c r="L708" s="2">
        <v>0.8666666666666667</v>
      </c>
      <c r="M708" t="s">
        <v>23</v>
      </c>
      <c r="N708" s="1">
        <v>172</v>
      </c>
      <c r="O708" s="1">
        <v>4.7619047620000003</v>
      </c>
      <c r="P708" s="1">
        <v>8.6</v>
      </c>
      <c r="Q708">
        <v>7.6</v>
      </c>
      <c r="R708" s="13">
        <v>43496</v>
      </c>
      <c r="S708">
        <f t="shared" si="44"/>
        <v>1</v>
      </c>
      <c r="T708">
        <f t="shared" si="45"/>
        <v>20</v>
      </c>
      <c r="U708">
        <f t="shared" si="46"/>
        <v>31</v>
      </c>
      <c r="V708" s="13" t="str">
        <f t="shared" si="47"/>
        <v>Thursday</v>
      </c>
    </row>
    <row r="709" spans="1:22" x14ac:dyDescent="0.25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 s="1">
        <v>68.98</v>
      </c>
      <c r="H709">
        <v>1</v>
      </c>
      <c r="I709" s="1">
        <v>3.4489999999999998</v>
      </c>
      <c r="J709" s="1">
        <v>72.429000000000002</v>
      </c>
      <c r="K709" s="3" t="s">
        <v>62</v>
      </c>
      <c r="L709" s="2">
        <v>0.84236111111111112</v>
      </c>
      <c r="M709" t="s">
        <v>29</v>
      </c>
      <c r="N709" s="1">
        <v>68.98</v>
      </c>
      <c r="O709" s="1">
        <v>4.7619047620000003</v>
      </c>
      <c r="P709" s="1">
        <v>3.4489999999999998</v>
      </c>
      <c r="Q709">
        <v>4.8</v>
      </c>
      <c r="R709" s="13">
        <v>43486</v>
      </c>
      <c r="S709">
        <f t="shared" si="44"/>
        <v>1</v>
      </c>
      <c r="T709">
        <f t="shared" si="45"/>
        <v>20</v>
      </c>
      <c r="U709">
        <f t="shared" si="46"/>
        <v>21</v>
      </c>
      <c r="V709" s="13" t="str">
        <f t="shared" si="47"/>
        <v>Monday</v>
      </c>
    </row>
    <row r="710" spans="1:22" x14ac:dyDescent="0.25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 s="1">
        <v>15.62</v>
      </c>
      <c r="H710">
        <v>8</v>
      </c>
      <c r="I710" s="1">
        <v>6.2480000000000002</v>
      </c>
      <c r="J710" s="1">
        <v>131.208</v>
      </c>
      <c r="K710" s="3" t="s">
        <v>115</v>
      </c>
      <c r="L710" s="2">
        <v>0.85902777777777772</v>
      </c>
      <c r="M710" t="s">
        <v>23</v>
      </c>
      <c r="N710" s="1">
        <v>124.96</v>
      </c>
      <c r="O710" s="1">
        <v>4.7619047620000003</v>
      </c>
      <c r="P710" s="1">
        <v>6.2480000000000002</v>
      </c>
      <c r="Q710">
        <v>9.1</v>
      </c>
      <c r="R710" s="13">
        <v>43485</v>
      </c>
      <c r="S710">
        <f t="shared" si="44"/>
        <v>1</v>
      </c>
      <c r="T710">
        <f t="shared" si="45"/>
        <v>20</v>
      </c>
      <c r="U710">
        <f t="shared" si="46"/>
        <v>20</v>
      </c>
      <c r="V710" s="13" t="str">
        <f t="shared" si="47"/>
        <v>Sunday</v>
      </c>
    </row>
    <row r="711" spans="1:22" x14ac:dyDescent="0.25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 s="1">
        <v>25.7</v>
      </c>
      <c r="H711">
        <v>3</v>
      </c>
      <c r="I711" s="1">
        <v>3.855</v>
      </c>
      <c r="J711" s="1">
        <v>80.954999999999998</v>
      </c>
      <c r="K711" s="3" t="s">
        <v>91</v>
      </c>
      <c r="L711" s="2">
        <v>0.74930555555555556</v>
      </c>
      <c r="M711" t="s">
        <v>23</v>
      </c>
      <c r="N711" s="1">
        <v>77.099999999999994</v>
      </c>
      <c r="O711" s="1">
        <v>4.7619047620000003</v>
      </c>
      <c r="P711" s="1">
        <v>3.855</v>
      </c>
      <c r="Q711">
        <v>6.1</v>
      </c>
      <c r="R711" s="13">
        <v>43482</v>
      </c>
      <c r="S711">
        <f t="shared" si="44"/>
        <v>1</v>
      </c>
      <c r="T711">
        <f t="shared" si="45"/>
        <v>17</v>
      </c>
      <c r="U711">
        <f t="shared" si="46"/>
        <v>17</v>
      </c>
      <c r="V711" s="13" t="str">
        <f t="shared" si="47"/>
        <v>Thursday</v>
      </c>
    </row>
    <row r="712" spans="1:22" x14ac:dyDescent="0.25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 s="1">
        <v>80.62</v>
      </c>
      <c r="H712">
        <v>6</v>
      </c>
      <c r="I712" s="1">
        <v>24.186</v>
      </c>
      <c r="J712" s="1">
        <v>507.90600000000001</v>
      </c>
      <c r="K712" s="3" t="s">
        <v>110</v>
      </c>
      <c r="L712" s="2">
        <v>0.84583333333333333</v>
      </c>
      <c r="M712" t="s">
        <v>29</v>
      </c>
      <c r="N712" s="1">
        <v>483.72</v>
      </c>
      <c r="O712" s="1">
        <v>4.7619047620000003</v>
      </c>
      <c r="P712" s="1">
        <v>24.186</v>
      </c>
      <c r="Q712">
        <v>9.1</v>
      </c>
      <c r="R712" s="13">
        <v>43524</v>
      </c>
      <c r="S712">
        <f t="shared" si="44"/>
        <v>2</v>
      </c>
      <c r="T712">
        <f t="shared" si="45"/>
        <v>20</v>
      </c>
      <c r="U712">
        <f t="shared" si="46"/>
        <v>28</v>
      </c>
      <c r="V712" s="13" t="str">
        <f t="shared" si="47"/>
        <v>Thursday</v>
      </c>
    </row>
    <row r="713" spans="1:22" x14ac:dyDescent="0.25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 s="1">
        <v>75.53</v>
      </c>
      <c r="H713">
        <v>4</v>
      </c>
      <c r="I713" s="1">
        <v>15.106</v>
      </c>
      <c r="J713" s="1">
        <v>317.226</v>
      </c>
      <c r="K713" s="3" t="s">
        <v>103</v>
      </c>
      <c r="L713" s="2">
        <v>0.66111111111111109</v>
      </c>
      <c r="M713" t="s">
        <v>23</v>
      </c>
      <c r="N713" s="1">
        <v>302.12</v>
      </c>
      <c r="O713" s="1">
        <v>4.7619047620000003</v>
      </c>
      <c r="P713" s="1">
        <v>15.106</v>
      </c>
      <c r="Q713">
        <v>8.3000000000000007</v>
      </c>
      <c r="R713" s="13">
        <v>43543</v>
      </c>
      <c r="S713">
        <f t="shared" si="44"/>
        <v>3</v>
      </c>
      <c r="T713">
        <f t="shared" si="45"/>
        <v>15</v>
      </c>
      <c r="U713">
        <f t="shared" si="46"/>
        <v>19</v>
      </c>
      <c r="V713" s="13" t="str">
        <f t="shared" si="47"/>
        <v>Tuesday</v>
      </c>
    </row>
    <row r="714" spans="1:22" x14ac:dyDescent="0.25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 s="1">
        <v>77.63</v>
      </c>
      <c r="H714">
        <v>9</v>
      </c>
      <c r="I714" s="1">
        <v>34.933500000000002</v>
      </c>
      <c r="J714" s="1">
        <v>733.60350000000005</v>
      </c>
      <c r="K714" s="3" t="s">
        <v>453</v>
      </c>
      <c r="L714" s="2">
        <v>0.63472222222222219</v>
      </c>
      <c r="M714" t="s">
        <v>23</v>
      </c>
      <c r="N714" s="1">
        <v>698.67</v>
      </c>
      <c r="O714" s="1">
        <v>4.7619047620000003</v>
      </c>
      <c r="P714" s="1">
        <v>34.933500000000002</v>
      </c>
      <c r="Q714">
        <v>7.2</v>
      </c>
      <c r="R714" s="13">
        <v>43515</v>
      </c>
      <c r="S714">
        <f t="shared" si="44"/>
        <v>2</v>
      </c>
      <c r="T714">
        <f t="shared" si="45"/>
        <v>15</v>
      </c>
      <c r="U714">
        <f t="shared" si="46"/>
        <v>19</v>
      </c>
      <c r="V714" s="13" t="str">
        <f t="shared" si="47"/>
        <v>Tuesday</v>
      </c>
    </row>
    <row r="715" spans="1:22" x14ac:dyDescent="0.25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 s="1">
        <v>13.85</v>
      </c>
      <c r="H715">
        <v>9</v>
      </c>
      <c r="I715" s="1">
        <v>6.2324999999999999</v>
      </c>
      <c r="J715" s="1">
        <v>130.88249999999999</v>
      </c>
      <c r="K715" s="3">
        <v>43557</v>
      </c>
      <c r="L715" s="2">
        <v>0.53472222222222221</v>
      </c>
      <c r="M715" t="s">
        <v>23</v>
      </c>
      <c r="N715" s="1">
        <v>124.65</v>
      </c>
      <c r="O715" s="1">
        <v>4.7619047620000003</v>
      </c>
      <c r="P715" s="1">
        <v>6.2324999999999999</v>
      </c>
      <c r="Q715">
        <v>6</v>
      </c>
      <c r="R715" s="13">
        <v>43500</v>
      </c>
      <c r="S715">
        <f t="shared" si="44"/>
        <v>2</v>
      </c>
      <c r="T715">
        <f t="shared" si="45"/>
        <v>12</v>
      </c>
      <c r="U715">
        <f t="shared" si="46"/>
        <v>4</v>
      </c>
      <c r="V715" s="13" t="str">
        <f t="shared" si="47"/>
        <v>Monday</v>
      </c>
    </row>
    <row r="716" spans="1:22" x14ac:dyDescent="0.25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 s="1">
        <v>98.7</v>
      </c>
      <c r="H716">
        <v>8</v>
      </c>
      <c r="I716" s="1">
        <v>39.479999999999997</v>
      </c>
      <c r="J716" s="1">
        <v>829.08</v>
      </c>
      <c r="K716" s="3" t="s">
        <v>305</v>
      </c>
      <c r="L716" s="2">
        <v>0.44166666666666665</v>
      </c>
      <c r="M716" t="s">
        <v>23</v>
      </c>
      <c r="N716" s="1">
        <v>789.6</v>
      </c>
      <c r="O716" s="1">
        <v>4.7619047620000003</v>
      </c>
      <c r="P716" s="1">
        <v>39.479999999999997</v>
      </c>
      <c r="Q716">
        <v>8.5</v>
      </c>
      <c r="R716" s="13">
        <v>43496</v>
      </c>
      <c r="S716">
        <f t="shared" si="44"/>
        <v>1</v>
      </c>
      <c r="T716">
        <f t="shared" si="45"/>
        <v>10</v>
      </c>
      <c r="U716">
        <f t="shared" si="46"/>
        <v>31</v>
      </c>
      <c r="V716" s="13" t="str">
        <f t="shared" si="47"/>
        <v>Thursday</v>
      </c>
    </row>
    <row r="717" spans="1:22" x14ac:dyDescent="0.25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 s="1">
        <v>35.68</v>
      </c>
      <c r="H717">
        <v>5</v>
      </c>
      <c r="I717" s="1">
        <v>8.92</v>
      </c>
      <c r="J717" s="1">
        <v>187.32</v>
      </c>
      <c r="K717" s="3">
        <v>43618</v>
      </c>
      <c r="L717" s="2">
        <v>0.7729166666666667</v>
      </c>
      <c r="M717" t="s">
        <v>33</v>
      </c>
      <c r="N717" s="1">
        <v>178.4</v>
      </c>
      <c r="O717" s="1">
        <v>4.7619047620000003</v>
      </c>
      <c r="P717" s="1">
        <v>8.92</v>
      </c>
      <c r="Q717">
        <v>6.6</v>
      </c>
      <c r="R717" s="13">
        <v>43502</v>
      </c>
      <c r="S717">
        <f t="shared" si="44"/>
        <v>2</v>
      </c>
      <c r="T717">
        <f t="shared" si="45"/>
        <v>18</v>
      </c>
      <c r="U717">
        <f t="shared" si="46"/>
        <v>6</v>
      </c>
      <c r="V717" s="13" t="str">
        <f t="shared" si="47"/>
        <v>Wednesday</v>
      </c>
    </row>
    <row r="718" spans="1:22" x14ac:dyDescent="0.25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 s="1">
        <v>71.459999999999994</v>
      </c>
      <c r="H718">
        <v>7</v>
      </c>
      <c r="I718" s="1">
        <v>25.010999999999999</v>
      </c>
      <c r="J718" s="1">
        <v>525.23099999999999</v>
      </c>
      <c r="K718" s="3" t="s">
        <v>171</v>
      </c>
      <c r="L718" s="2">
        <v>0.67083333333333328</v>
      </c>
      <c r="M718" t="s">
        <v>23</v>
      </c>
      <c r="N718" s="1">
        <v>500.22</v>
      </c>
      <c r="O718" s="1">
        <v>4.7619047620000003</v>
      </c>
      <c r="P718" s="1">
        <v>25.010999999999999</v>
      </c>
      <c r="Q718">
        <v>4.5</v>
      </c>
      <c r="R718" s="13">
        <v>43552</v>
      </c>
      <c r="S718">
        <f t="shared" si="44"/>
        <v>3</v>
      </c>
      <c r="T718">
        <f t="shared" si="45"/>
        <v>16</v>
      </c>
      <c r="U718">
        <f t="shared" si="46"/>
        <v>28</v>
      </c>
      <c r="V718" s="13" t="str">
        <f t="shared" si="47"/>
        <v>Thursday</v>
      </c>
    </row>
    <row r="719" spans="1:22" x14ac:dyDescent="0.25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 s="1">
        <v>11.94</v>
      </c>
      <c r="H719">
        <v>3</v>
      </c>
      <c r="I719" s="1">
        <v>1.7909999999999999</v>
      </c>
      <c r="J719" s="1">
        <v>37.610999999999997</v>
      </c>
      <c r="K719" s="3" t="s">
        <v>183</v>
      </c>
      <c r="L719" s="2">
        <v>0.53263888888888888</v>
      </c>
      <c r="M719" t="s">
        <v>33</v>
      </c>
      <c r="N719" s="1">
        <v>35.82</v>
      </c>
      <c r="O719" s="1">
        <v>4.7619047620000003</v>
      </c>
      <c r="P719" s="1">
        <v>1.7909999999999999</v>
      </c>
      <c r="Q719">
        <v>8.1</v>
      </c>
      <c r="R719" s="13">
        <v>43484</v>
      </c>
      <c r="S719">
        <f t="shared" si="44"/>
        <v>1</v>
      </c>
      <c r="T719">
        <f t="shared" si="45"/>
        <v>12</v>
      </c>
      <c r="U719">
        <f t="shared" si="46"/>
        <v>19</v>
      </c>
      <c r="V719" s="13" t="str">
        <f t="shared" si="47"/>
        <v>Saturday</v>
      </c>
    </row>
    <row r="720" spans="1:22" x14ac:dyDescent="0.25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 s="1">
        <v>45.38</v>
      </c>
      <c r="H720">
        <v>3</v>
      </c>
      <c r="I720" s="1">
        <v>6.8070000000000004</v>
      </c>
      <c r="J720" s="1">
        <v>142.947</v>
      </c>
      <c r="K720" s="3" t="s">
        <v>69</v>
      </c>
      <c r="L720" s="2">
        <v>0.56527777777777777</v>
      </c>
      <c r="M720" t="s">
        <v>33</v>
      </c>
      <c r="N720" s="1">
        <v>136.13999999999999</v>
      </c>
      <c r="O720" s="1">
        <v>4.7619047620000003</v>
      </c>
      <c r="P720" s="1">
        <v>6.8070000000000004</v>
      </c>
      <c r="Q720">
        <v>7.2</v>
      </c>
      <c r="R720" s="13">
        <v>43513</v>
      </c>
      <c r="S720">
        <f t="shared" si="44"/>
        <v>2</v>
      </c>
      <c r="T720">
        <f t="shared" si="45"/>
        <v>13</v>
      </c>
      <c r="U720">
        <f t="shared" si="46"/>
        <v>17</v>
      </c>
      <c r="V720" s="13" t="str">
        <f t="shared" si="47"/>
        <v>Sunday</v>
      </c>
    </row>
    <row r="721" spans="1:22" x14ac:dyDescent="0.25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 s="1">
        <v>17.48</v>
      </c>
      <c r="H721">
        <v>6</v>
      </c>
      <c r="I721" s="1">
        <v>5.2439999999999998</v>
      </c>
      <c r="J721" s="1">
        <v>110.124</v>
      </c>
      <c r="K721" s="3" t="s">
        <v>209</v>
      </c>
      <c r="L721" s="2">
        <v>0.62777777777777777</v>
      </c>
      <c r="M721" t="s">
        <v>33</v>
      </c>
      <c r="N721" s="1">
        <v>104.88</v>
      </c>
      <c r="O721" s="1">
        <v>4.7619047620000003</v>
      </c>
      <c r="P721" s="1">
        <v>5.2439999999999998</v>
      </c>
      <c r="Q721">
        <v>6.1</v>
      </c>
      <c r="R721" s="13">
        <v>43483</v>
      </c>
      <c r="S721">
        <f t="shared" si="44"/>
        <v>1</v>
      </c>
      <c r="T721">
        <f t="shared" si="45"/>
        <v>15</v>
      </c>
      <c r="U721">
        <f t="shared" si="46"/>
        <v>18</v>
      </c>
      <c r="V721" s="13" t="str">
        <f t="shared" si="47"/>
        <v>Friday</v>
      </c>
    </row>
    <row r="722" spans="1:22" x14ac:dyDescent="0.25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 s="1">
        <v>25.56</v>
      </c>
      <c r="H722">
        <v>7</v>
      </c>
      <c r="I722" s="1">
        <v>8.9459999999999997</v>
      </c>
      <c r="J722" s="1">
        <v>187.86600000000001</v>
      </c>
      <c r="K722" s="3">
        <v>43498</v>
      </c>
      <c r="L722" s="2">
        <v>0.86250000000000004</v>
      </c>
      <c r="M722" t="s">
        <v>29</v>
      </c>
      <c r="N722" s="1">
        <v>178.92</v>
      </c>
      <c r="O722" s="1">
        <v>4.7619047620000003</v>
      </c>
      <c r="P722" s="1">
        <v>8.9459999999999997</v>
      </c>
      <c r="Q722">
        <v>7.1</v>
      </c>
      <c r="R722" s="13">
        <v>43498</v>
      </c>
      <c r="S722">
        <f t="shared" si="44"/>
        <v>2</v>
      </c>
      <c r="T722">
        <f t="shared" si="45"/>
        <v>20</v>
      </c>
      <c r="U722">
        <f t="shared" si="46"/>
        <v>2</v>
      </c>
      <c r="V722" s="13" t="str">
        <f t="shared" si="47"/>
        <v>Saturday</v>
      </c>
    </row>
    <row r="723" spans="1:22" x14ac:dyDescent="0.25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 s="1">
        <v>90.63</v>
      </c>
      <c r="H723">
        <v>9</v>
      </c>
      <c r="I723" s="1">
        <v>40.783499999999997</v>
      </c>
      <c r="J723" s="1">
        <v>856.45349999999996</v>
      </c>
      <c r="K723" s="3" t="s">
        <v>209</v>
      </c>
      <c r="L723" s="2">
        <v>0.64444444444444449</v>
      </c>
      <c r="M723" t="s">
        <v>29</v>
      </c>
      <c r="N723" s="1">
        <v>815.67</v>
      </c>
      <c r="O723" s="1">
        <v>4.7619047620000003</v>
      </c>
      <c r="P723" s="1">
        <v>40.783499999999997</v>
      </c>
      <c r="Q723">
        <v>5.0999999999999996</v>
      </c>
      <c r="R723" s="13">
        <v>43483</v>
      </c>
      <c r="S723">
        <f t="shared" si="44"/>
        <v>1</v>
      </c>
      <c r="T723">
        <f t="shared" si="45"/>
        <v>15</v>
      </c>
      <c r="U723">
        <f t="shared" si="46"/>
        <v>18</v>
      </c>
      <c r="V723" s="13" t="str">
        <f t="shared" si="47"/>
        <v>Friday</v>
      </c>
    </row>
    <row r="724" spans="1:22" x14ac:dyDescent="0.25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 s="1">
        <v>44.12</v>
      </c>
      <c r="H724">
        <v>3</v>
      </c>
      <c r="I724" s="1">
        <v>6.6180000000000003</v>
      </c>
      <c r="J724" s="1">
        <v>138.97800000000001</v>
      </c>
      <c r="K724" s="3" t="s">
        <v>289</v>
      </c>
      <c r="L724" s="2">
        <v>0.57291666666666663</v>
      </c>
      <c r="M724" t="s">
        <v>33</v>
      </c>
      <c r="N724" s="1">
        <v>132.36000000000001</v>
      </c>
      <c r="O724" s="1">
        <v>4.7619047620000003</v>
      </c>
      <c r="P724" s="1">
        <v>6.6180000000000003</v>
      </c>
      <c r="Q724">
        <v>7.9</v>
      </c>
      <c r="R724" s="13">
        <v>43542</v>
      </c>
      <c r="S724">
        <f t="shared" si="44"/>
        <v>3</v>
      </c>
      <c r="T724">
        <f t="shared" si="45"/>
        <v>13</v>
      </c>
      <c r="U724">
        <f t="shared" si="46"/>
        <v>18</v>
      </c>
      <c r="V724" s="13" t="str">
        <f t="shared" si="47"/>
        <v>Monday</v>
      </c>
    </row>
    <row r="725" spans="1:22" x14ac:dyDescent="0.25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 s="1">
        <v>36.770000000000003</v>
      </c>
      <c r="H725">
        <v>7</v>
      </c>
      <c r="I725" s="1">
        <v>12.8695</v>
      </c>
      <c r="J725" s="1">
        <v>270.2595</v>
      </c>
      <c r="K725" s="3">
        <v>43770</v>
      </c>
      <c r="L725" s="2">
        <v>0.84027777777777779</v>
      </c>
      <c r="M725" t="s">
        <v>29</v>
      </c>
      <c r="N725" s="1">
        <v>257.39</v>
      </c>
      <c r="O725" s="1">
        <v>4.7619047620000003</v>
      </c>
      <c r="P725" s="1">
        <v>12.8695</v>
      </c>
      <c r="Q725">
        <v>7.4</v>
      </c>
      <c r="R725" s="13">
        <v>43476</v>
      </c>
      <c r="S725">
        <f t="shared" si="44"/>
        <v>1</v>
      </c>
      <c r="T725">
        <f t="shared" si="45"/>
        <v>20</v>
      </c>
      <c r="U725">
        <f t="shared" si="46"/>
        <v>11</v>
      </c>
      <c r="V725" s="13" t="str">
        <f t="shared" si="47"/>
        <v>Friday</v>
      </c>
    </row>
    <row r="726" spans="1:22" x14ac:dyDescent="0.25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 s="1">
        <v>23.34</v>
      </c>
      <c r="H726">
        <v>4</v>
      </c>
      <c r="I726" s="1">
        <v>4.6680000000000001</v>
      </c>
      <c r="J726" s="1">
        <v>98.028000000000006</v>
      </c>
      <c r="K726" s="3">
        <v>43557</v>
      </c>
      <c r="L726" s="2">
        <v>0.78680555555555554</v>
      </c>
      <c r="M726" t="s">
        <v>23</v>
      </c>
      <c r="N726" s="1">
        <v>93.36</v>
      </c>
      <c r="O726" s="1">
        <v>4.7619047620000003</v>
      </c>
      <c r="P726" s="1">
        <v>4.6680000000000001</v>
      </c>
      <c r="Q726">
        <v>7.4</v>
      </c>
      <c r="R726" s="13">
        <v>43500</v>
      </c>
      <c r="S726">
        <f t="shared" si="44"/>
        <v>2</v>
      </c>
      <c r="T726">
        <f t="shared" si="45"/>
        <v>18</v>
      </c>
      <c r="U726">
        <f t="shared" si="46"/>
        <v>4</v>
      </c>
      <c r="V726" s="13" t="str">
        <f t="shared" si="47"/>
        <v>Monday</v>
      </c>
    </row>
    <row r="727" spans="1:22" x14ac:dyDescent="0.25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 s="1">
        <v>28.5</v>
      </c>
      <c r="H727">
        <v>8</v>
      </c>
      <c r="I727" s="1">
        <v>11.4</v>
      </c>
      <c r="J727" s="1">
        <v>239.4</v>
      </c>
      <c r="K727" s="3">
        <v>43618</v>
      </c>
      <c r="L727" s="2">
        <v>0.6</v>
      </c>
      <c r="M727" t="s">
        <v>29</v>
      </c>
      <c r="N727" s="1">
        <v>228</v>
      </c>
      <c r="O727" s="1">
        <v>4.7619047620000003</v>
      </c>
      <c r="P727" s="1">
        <v>11.4</v>
      </c>
      <c r="Q727">
        <v>6.6</v>
      </c>
      <c r="R727" s="13">
        <v>43502</v>
      </c>
      <c r="S727">
        <f t="shared" si="44"/>
        <v>2</v>
      </c>
      <c r="T727">
        <f t="shared" si="45"/>
        <v>14</v>
      </c>
      <c r="U727">
        <f t="shared" si="46"/>
        <v>6</v>
      </c>
      <c r="V727" s="13" t="str">
        <f t="shared" si="47"/>
        <v>Wednesday</v>
      </c>
    </row>
    <row r="728" spans="1:22" x14ac:dyDescent="0.25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 s="1">
        <v>55.57</v>
      </c>
      <c r="H728">
        <v>3</v>
      </c>
      <c r="I728" s="1">
        <v>8.3354999999999997</v>
      </c>
      <c r="J728" s="1">
        <v>175.0455</v>
      </c>
      <c r="K728" s="3">
        <v>43678</v>
      </c>
      <c r="L728" s="2">
        <v>0.48749999999999999</v>
      </c>
      <c r="M728" t="s">
        <v>33</v>
      </c>
      <c r="N728" s="1">
        <v>166.71</v>
      </c>
      <c r="O728" s="1">
        <v>4.7619047620000003</v>
      </c>
      <c r="P728" s="1">
        <v>8.3354999999999997</v>
      </c>
      <c r="Q728">
        <v>5.9</v>
      </c>
      <c r="R728" s="13">
        <v>43473</v>
      </c>
      <c r="S728">
        <f t="shared" si="44"/>
        <v>1</v>
      </c>
      <c r="T728">
        <f t="shared" si="45"/>
        <v>11</v>
      </c>
      <c r="U728">
        <f t="shared" si="46"/>
        <v>8</v>
      </c>
      <c r="V728" s="13" t="str">
        <f t="shared" si="47"/>
        <v>Tuesday</v>
      </c>
    </row>
    <row r="729" spans="1:22" x14ac:dyDescent="0.25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 s="1">
        <v>69.739999999999995</v>
      </c>
      <c r="H729">
        <v>10</v>
      </c>
      <c r="I729" s="1">
        <v>34.869999999999997</v>
      </c>
      <c r="J729" s="1">
        <v>732.27</v>
      </c>
      <c r="K729" s="3">
        <v>43588</v>
      </c>
      <c r="L729" s="2">
        <v>0.74236111111111114</v>
      </c>
      <c r="M729" t="s">
        <v>33</v>
      </c>
      <c r="N729" s="1">
        <v>697.4</v>
      </c>
      <c r="O729" s="1">
        <v>4.7619047620000003</v>
      </c>
      <c r="P729" s="1">
        <v>34.869999999999997</v>
      </c>
      <c r="Q729">
        <v>8.9</v>
      </c>
      <c r="R729" s="13">
        <v>43529</v>
      </c>
      <c r="S729">
        <f t="shared" si="44"/>
        <v>3</v>
      </c>
      <c r="T729">
        <f t="shared" si="45"/>
        <v>17</v>
      </c>
      <c r="U729">
        <f t="shared" si="46"/>
        <v>5</v>
      </c>
      <c r="V729" s="13" t="str">
        <f t="shared" si="47"/>
        <v>Tuesday</v>
      </c>
    </row>
    <row r="730" spans="1:22" x14ac:dyDescent="0.25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 s="1">
        <v>97.26</v>
      </c>
      <c r="H730">
        <v>4</v>
      </c>
      <c r="I730" s="1">
        <v>19.452000000000002</v>
      </c>
      <c r="J730" s="1">
        <v>408.49200000000002</v>
      </c>
      <c r="K730" s="3" t="s">
        <v>96</v>
      </c>
      <c r="L730" s="2">
        <v>0.6479166666666667</v>
      </c>
      <c r="M730" t="s">
        <v>23</v>
      </c>
      <c r="N730" s="1">
        <v>389.04</v>
      </c>
      <c r="O730" s="1">
        <v>4.7619047620000003</v>
      </c>
      <c r="P730" s="1">
        <v>19.452000000000002</v>
      </c>
      <c r="Q730">
        <v>6.8</v>
      </c>
      <c r="R730" s="13">
        <v>43540</v>
      </c>
      <c r="S730">
        <f t="shared" si="44"/>
        <v>3</v>
      </c>
      <c r="T730">
        <f t="shared" si="45"/>
        <v>15</v>
      </c>
      <c r="U730">
        <f t="shared" si="46"/>
        <v>16</v>
      </c>
      <c r="V730" s="13" t="str">
        <f t="shared" si="47"/>
        <v>Saturday</v>
      </c>
    </row>
    <row r="731" spans="1:22" x14ac:dyDescent="0.25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 s="1">
        <v>52.18</v>
      </c>
      <c r="H731">
        <v>7</v>
      </c>
      <c r="I731" s="1">
        <v>18.263000000000002</v>
      </c>
      <c r="J731" s="1">
        <v>383.52300000000002</v>
      </c>
      <c r="K731" s="3">
        <v>43711</v>
      </c>
      <c r="L731" s="2">
        <v>0.45416666666666666</v>
      </c>
      <c r="M731" t="s">
        <v>29</v>
      </c>
      <c r="N731" s="1">
        <v>365.26</v>
      </c>
      <c r="O731" s="1">
        <v>4.7619047620000003</v>
      </c>
      <c r="P731" s="1">
        <v>18.263000000000002</v>
      </c>
      <c r="Q731">
        <v>9.3000000000000007</v>
      </c>
      <c r="R731" s="13">
        <v>43533</v>
      </c>
      <c r="S731">
        <f t="shared" si="44"/>
        <v>3</v>
      </c>
      <c r="T731">
        <f t="shared" si="45"/>
        <v>10</v>
      </c>
      <c r="U731">
        <f t="shared" si="46"/>
        <v>9</v>
      </c>
      <c r="V731" s="13" t="str">
        <f t="shared" si="47"/>
        <v>Saturday</v>
      </c>
    </row>
    <row r="732" spans="1:22" x14ac:dyDescent="0.25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 s="1">
        <v>22.32</v>
      </c>
      <c r="H732">
        <v>4</v>
      </c>
      <c r="I732" s="1">
        <v>4.4640000000000004</v>
      </c>
      <c r="J732" s="1">
        <v>93.744</v>
      </c>
      <c r="K732" s="3">
        <v>43468</v>
      </c>
      <c r="L732" s="2">
        <v>0.68263888888888891</v>
      </c>
      <c r="M732" t="s">
        <v>33</v>
      </c>
      <c r="N732" s="1">
        <v>89.28</v>
      </c>
      <c r="O732" s="1">
        <v>4.7619047620000003</v>
      </c>
      <c r="P732" s="1">
        <v>4.4640000000000004</v>
      </c>
      <c r="Q732">
        <v>4.4000000000000004</v>
      </c>
      <c r="R732" s="13">
        <v>43525</v>
      </c>
      <c r="S732">
        <f t="shared" si="44"/>
        <v>3</v>
      </c>
      <c r="T732">
        <f t="shared" si="45"/>
        <v>16</v>
      </c>
      <c r="U732">
        <f t="shared" si="46"/>
        <v>1</v>
      </c>
      <c r="V732" s="13" t="str">
        <f t="shared" si="47"/>
        <v>Friday</v>
      </c>
    </row>
    <row r="733" spans="1:22" x14ac:dyDescent="0.25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 s="1">
        <v>56</v>
      </c>
      <c r="H733">
        <v>3</v>
      </c>
      <c r="I733" s="1">
        <v>8.4</v>
      </c>
      <c r="J733" s="1">
        <v>176.4</v>
      </c>
      <c r="K733" s="3" t="s">
        <v>110</v>
      </c>
      <c r="L733" s="2">
        <v>0.81458333333333333</v>
      </c>
      <c r="M733" t="s">
        <v>23</v>
      </c>
      <c r="N733" s="1">
        <v>168</v>
      </c>
      <c r="O733" s="1">
        <v>4.7619047620000003</v>
      </c>
      <c r="P733" s="1">
        <v>8.4</v>
      </c>
      <c r="Q733">
        <v>4.8</v>
      </c>
      <c r="R733" s="13">
        <v>43524</v>
      </c>
      <c r="S733">
        <f t="shared" si="44"/>
        <v>2</v>
      </c>
      <c r="T733">
        <f t="shared" si="45"/>
        <v>19</v>
      </c>
      <c r="U733">
        <f t="shared" si="46"/>
        <v>28</v>
      </c>
      <c r="V733" s="13" t="str">
        <f t="shared" si="47"/>
        <v>Thursday</v>
      </c>
    </row>
    <row r="734" spans="1:22" x14ac:dyDescent="0.25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 s="1">
        <v>19.7</v>
      </c>
      <c r="H734">
        <v>1</v>
      </c>
      <c r="I734" s="1">
        <v>0.98499999999999999</v>
      </c>
      <c r="J734" s="1">
        <v>20.684999999999999</v>
      </c>
      <c r="K734" s="3">
        <v>43679</v>
      </c>
      <c r="L734" s="2">
        <v>0.48541666666666666</v>
      </c>
      <c r="M734" t="s">
        <v>23</v>
      </c>
      <c r="N734" s="1">
        <v>19.7</v>
      </c>
      <c r="O734" s="1">
        <v>4.7619047620000003</v>
      </c>
      <c r="P734" s="1">
        <v>0.98499999999999999</v>
      </c>
      <c r="Q734">
        <v>9.5</v>
      </c>
      <c r="R734" s="13">
        <v>43504</v>
      </c>
      <c r="S734">
        <f t="shared" si="44"/>
        <v>2</v>
      </c>
      <c r="T734">
        <f t="shared" si="45"/>
        <v>11</v>
      </c>
      <c r="U734">
        <f t="shared" si="46"/>
        <v>8</v>
      </c>
      <c r="V734" s="13" t="str">
        <f t="shared" si="47"/>
        <v>Friday</v>
      </c>
    </row>
    <row r="735" spans="1:22" x14ac:dyDescent="0.25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 s="1">
        <v>75.88</v>
      </c>
      <c r="H735">
        <v>7</v>
      </c>
      <c r="I735" s="1">
        <v>26.558</v>
      </c>
      <c r="J735" s="1">
        <v>557.71799999999996</v>
      </c>
      <c r="K735" s="3" t="s">
        <v>129</v>
      </c>
      <c r="L735" s="2">
        <v>0.44305555555555554</v>
      </c>
      <c r="M735" t="s">
        <v>23</v>
      </c>
      <c r="N735" s="1">
        <v>531.16</v>
      </c>
      <c r="O735" s="1">
        <v>4.7619047620000003</v>
      </c>
      <c r="P735" s="1">
        <v>26.558</v>
      </c>
      <c r="Q735">
        <v>8.9</v>
      </c>
      <c r="R735" s="13">
        <v>43489</v>
      </c>
      <c r="S735">
        <f t="shared" si="44"/>
        <v>1</v>
      </c>
      <c r="T735">
        <f t="shared" si="45"/>
        <v>10</v>
      </c>
      <c r="U735">
        <f t="shared" si="46"/>
        <v>24</v>
      </c>
      <c r="V735" s="13" t="str">
        <f t="shared" si="47"/>
        <v>Thursday</v>
      </c>
    </row>
    <row r="736" spans="1:22" x14ac:dyDescent="0.25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 s="1">
        <v>53.72</v>
      </c>
      <c r="H736">
        <v>1</v>
      </c>
      <c r="I736" s="1">
        <v>2.6859999999999999</v>
      </c>
      <c r="J736" s="1">
        <v>56.405999999999999</v>
      </c>
      <c r="K736" s="3">
        <v>43468</v>
      </c>
      <c r="L736" s="2">
        <v>0.8354166666666667</v>
      </c>
      <c r="M736" t="s">
        <v>23</v>
      </c>
      <c r="N736" s="1">
        <v>53.72</v>
      </c>
      <c r="O736" s="1">
        <v>4.7619047620000003</v>
      </c>
      <c r="P736" s="1">
        <v>2.6859999999999999</v>
      </c>
      <c r="Q736">
        <v>6.4</v>
      </c>
      <c r="R736" s="13">
        <v>43525</v>
      </c>
      <c r="S736">
        <f t="shared" si="44"/>
        <v>3</v>
      </c>
      <c r="T736">
        <f t="shared" si="45"/>
        <v>20</v>
      </c>
      <c r="U736">
        <f t="shared" si="46"/>
        <v>1</v>
      </c>
      <c r="V736" s="13" t="str">
        <f t="shared" si="47"/>
        <v>Friday</v>
      </c>
    </row>
    <row r="737" spans="1:22" x14ac:dyDescent="0.25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 s="1">
        <v>81.95</v>
      </c>
      <c r="H737">
        <v>10</v>
      </c>
      <c r="I737" s="1">
        <v>40.975000000000001</v>
      </c>
      <c r="J737" s="1">
        <v>860.47500000000002</v>
      </c>
      <c r="K737" s="3">
        <v>43741</v>
      </c>
      <c r="L737" s="2">
        <v>0.52708333333333335</v>
      </c>
      <c r="M737" t="s">
        <v>33</v>
      </c>
      <c r="N737" s="1">
        <v>819.5</v>
      </c>
      <c r="O737" s="1">
        <v>4.7619047620000003</v>
      </c>
      <c r="P737" s="1">
        <v>40.975000000000001</v>
      </c>
      <c r="Q737">
        <v>6</v>
      </c>
      <c r="R737" s="13">
        <v>43534</v>
      </c>
      <c r="S737">
        <f t="shared" si="44"/>
        <v>3</v>
      </c>
      <c r="T737">
        <f t="shared" si="45"/>
        <v>12</v>
      </c>
      <c r="U737">
        <f t="shared" si="46"/>
        <v>10</v>
      </c>
      <c r="V737" s="13" t="str">
        <f t="shared" si="47"/>
        <v>Sunday</v>
      </c>
    </row>
    <row r="738" spans="1:22" x14ac:dyDescent="0.25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 s="1">
        <v>81.2</v>
      </c>
      <c r="H738">
        <v>7</v>
      </c>
      <c r="I738" s="1">
        <v>28.42</v>
      </c>
      <c r="J738" s="1">
        <v>596.82000000000005</v>
      </c>
      <c r="K738" s="3" t="s">
        <v>88</v>
      </c>
      <c r="L738" s="2">
        <v>0.66597222222222219</v>
      </c>
      <c r="M738" t="s">
        <v>33</v>
      </c>
      <c r="N738" s="1">
        <v>568.4</v>
      </c>
      <c r="O738" s="1">
        <v>4.7619047620000003</v>
      </c>
      <c r="P738" s="1">
        <v>28.42</v>
      </c>
      <c r="Q738">
        <v>8.1</v>
      </c>
      <c r="R738" s="13">
        <v>43547</v>
      </c>
      <c r="S738">
        <f t="shared" si="44"/>
        <v>3</v>
      </c>
      <c r="T738">
        <f t="shared" si="45"/>
        <v>15</v>
      </c>
      <c r="U738">
        <f t="shared" si="46"/>
        <v>23</v>
      </c>
      <c r="V738" s="13" t="str">
        <f t="shared" si="47"/>
        <v>Saturday</v>
      </c>
    </row>
    <row r="739" spans="1:22" x14ac:dyDescent="0.25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 s="1">
        <v>58.76</v>
      </c>
      <c r="H739">
        <v>10</v>
      </c>
      <c r="I739" s="1">
        <v>29.38</v>
      </c>
      <c r="J739" s="1">
        <v>616.98</v>
      </c>
      <c r="K739" s="3" t="s">
        <v>228</v>
      </c>
      <c r="L739" s="2">
        <v>0.60138888888888886</v>
      </c>
      <c r="M739" t="s">
        <v>23</v>
      </c>
      <c r="N739" s="1">
        <v>587.6</v>
      </c>
      <c r="O739" s="1">
        <v>4.7619047620000003</v>
      </c>
      <c r="P739" s="1">
        <v>29.38</v>
      </c>
      <c r="Q739">
        <v>9</v>
      </c>
      <c r="R739" s="13">
        <v>43494</v>
      </c>
      <c r="S739">
        <f t="shared" si="44"/>
        <v>1</v>
      </c>
      <c r="T739">
        <f t="shared" si="45"/>
        <v>14</v>
      </c>
      <c r="U739">
        <f t="shared" si="46"/>
        <v>29</v>
      </c>
      <c r="V739" s="13" t="str">
        <f t="shared" si="47"/>
        <v>Tuesday</v>
      </c>
    </row>
    <row r="740" spans="1:22" x14ac:dyDescent="0.25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 s="1">
        <v>91.56</v>
      </c>
      <c r="H740">
        <v>8</v>
      </c>
      <c r="I740" s="1">
        <v>36.624000000000002</v>
      </c>
      <c r="J740" s="1">
        <v>769.10400000000004</v>
      </c>
      <c r="K740" s="3">
        <v>43800</v>
      </c>
      <c r="L740" s="2">
        <v>0.76527777777777772</v>
      </c>
      <c r="M740" t="s">
        <v>23</v>
      </c>
      <c r="N740" s="1">
        <v>732.48</v>
      </c>
      <c r="O740" s="1">
        <v>4.7619047620000003</v>
      </c>
      <c r="P740" s="1">
        <v>36.624000000000002</v>
      </c>
      <c r="Q740">
        <v>6</v>
      </c>
      <c r="R740" s="13">
        <v>43477</v>
      </c>
      <c r="S740">
        <f t="shared" si="44"/>
        <v>1</v>
      </c>
      <c r="T740">
        <f t="shared" si="45"/>
        <v>18</v>
      </c>
      <c r="U740">
        <f t="shared" si="46"/>
        <v>12</v>
      </c>
      <c r="V740" s="13" t="str">
        <f t="shared" si="47"/>
        <v>Saturday</v>
      </c>
    </row>
    <row r="741" spans="1:22" x14ac:dyDescent="0.25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 s="1">
        <v>93.96</v>
      </c>
      <c r="H741">
        <v>9</v>
      </c>
      <c r="I741" s="1">
        <v>42.281999999999996</v>
      </c>
      <c r="J741" s="1">
        <v>887.92200000000003</v>
      </c>
      <c r="K741" s="3" t="s">
        <v>295</v>
      </c>
      <c r="L741" s="2">
        <v>0.48055555555555557</v>
      </c>
      <c r="M741" t="s">
        <v>29</v>
      </c>
      <c r="N741" s="1">
        <v>845.64</v>
      </c>
      <c r="O741" s="1">
        <v>4.7619047620000003</v>
      </c>
      <c r="P741" s="1">
        <v>42.281999999999996</v>
      </c>
      <c r="Q741">
        <v>9.8000000000000007</v>
      </c>
      <c r="R741" s="13">
        <v>43544</v>
      </c>
      <c r="S741">
        <f t="shared" si="44"/>
        <v>3</v>
      </c>
      <c r="T741">
        <f t="shared" si="45"/>
        <v>11</v>
      </c>
      <c r="U741">
        <f t="shared" si="46"/>
        <v>20</v>
      </c>
      <c r="V741" s="13" t="str">
        <f t="shared" si="47"/>
        <v>Wednesday</v>
      </c>
    </row>
    <row r="742" spans="1:22" x14ac:dyDescent="0.25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 s="1">
        <v>55.61</v>
      </c>
      <c r="H742">
        <v>7</v>
      </c>
      <c r="I742" s="1">
        <v>19.4635</v>
      </c>
      <c r="J742" s="1">
        <v>408.73349999999999</v>
      </c>
      <c r="K742" s="3" t="s">
        <v>88</v>
      </c>
      <c r="L742" s="2">
        <v>0.52847222222222223</v>
      </c>
      <c r="M742" t="s">
        <v>29</v>
      </c>
      <c r="N742" s="1">
        <v>389.27</v>
      </c>
      <c r="O742" s="1">
        <v>4.7619047620000003</v>
      </c>
      <c r="P742" s="1">
        <v>19.4635</v>
      </c>
      <c r="Q742">
        <v>8.5</v>
      </c>
      <c r="R742" s="13">
        <v>43547</v>
      </c>
      <c r="S742">
        <f t="shared" si="44"/>
        <v>3</v>
      </c>
      <c r="T742">
        <f t="shared" si="45"/>
        <v>12</v>
      </c>
      <c r="U742">
        <f t="shared" si="46"/>
        <v>23</v>
      </c>
      <c r="V742" s="13" t="str">
        <f t="shared" si="47"/>
        <v>Saturday</v>
      </c>
    </row>
    <row r="743" spans="1:22" x14ac:dyDescent="0.25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 s="1">
        <v>84.83</v>
      </c>
      <c r="H743">
        <v>1</v>
      </c>
      <c r="I743" s="1">
        <v>4.2415000000000003</v>
      </c>
      <c r="J743" s="1">
        <v>89.0715</v>
      </c>
      <c r="K743" s="3" t="s">
        <v>283</v>
      </c>
      <c r="L743" s="2">
        <v>0.63888888888888884</v>
      </c>
      <c r="M743" t="s">
        <v>23</v>
      </c>
      <c r="N743" s="1">
        <v>84.83</v>
      </c>
      <c r="O743" s="1">
        <v>4.7619047620000003</v>
      </c>
      <c r="P743" s="1">
        <v>4.2415000000000003</v>
      </c>
      <c r="Q743">
        <v>8.8000000000000007</v>
      </c>
      <c r="R743" s="13">
        <v>43479</v>
      </c>
      <c r="S743">
        <f t="shared" si="44"/>
        <v>1</v>
      </c>
      <c r="T743">
        <f t="shared" si="45"/>
        <v>15</v>
      </c>
      <c r="U743">
        <f t="shared" si="46"/>
        <v>14</v>
      </c>
      <c r="V743" s="13" t="str">
        <f t="shared" si="47"/>
        <v>Monday</v>
      </c>
    </row>
    <row r="744" spans="1:22" x14ac:dyDescent="0.25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 s="1">
        <v>71.63</v>
      </c>
      <c r="H744">
        <v>2</v>
      </c>
      <c r="I744" s="1">
        <v>7.1630000000000003</v>
      </c>
      <c r="J744" s="1">
        <v>150.423</v>
      </c>
      <c r="K744" s="3">
        <v>43801</v>
      </c>
      <c r="L744" s="2">
        <v>0.60624999999999996</v>
      </c>
      <c r="M744" t="s">
        <v>23</v>
      </c>
      <c r="N744" s="1">
        <v>143.26</v>
      </c>
      <c r="O744" s="1">
        <v>4.7619047620000003</v>
      </c>
      <c r="P744" s="1">
        <v>7.1630000000000003</v>
      </c>
      <c r="Q744">
        <v>8.8000000000000007</v>
      </c>
      <c r="R744" s="13">
        <v>43508</v>
      </c>
      <c r="S744">
        <f t="shared" si="44"/>
        <v>2</v>
      </c>
      <c r="T744">
        <f t="shared" si="45"/>
        <v>14</v>
      </c>
      <c r="U744">
        <f t="shared" si="46"/>
        <v>12</v>
      </c>
      <c r="V744" s="13" t="str">
        <f t="shared" si="47"/>
        <v>Tuesday</v>
      </c>
    </row>
    <row r="745" spans="1:22" x14ac:dyDescent="0.25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 s="1">
        <v>37.69</v>
      </c>
      <c r="H745">
        <v>2</v>
      </c>
      <c r="I745" s="1">
        <v>3.7690000000000001</v>
      </c>
      <c r="J745" s="1">
        <v>79.149000000000001</v>
      </c>
      <c r="K745" s="3" t="s">
        <v>49</v>
      </c>
      <c r="L745" s="2">
        <v>0.64513888888888893</v>
      </c>
      <c r="M745" t="s">
        <v>23</v>
      </c>
      <c r="N745" s="1">
        <v>75.38</v>
      </c>
      <c r="O745" s="1">
        <v>4.7619047620000003</v>
      </c>
      <c r="P745" s="1">
        <v>3.7690000000000001</v>
      </c>
      <c r="Q745">
        <v>9.5</v>
      </c>
      <c r="R745" s="13">
        <v>43516</v>
      </c>
      <c r="S745">
        <f t="shared" si="44"/>
        <v>2</v>
      </c>
      <c r="T745">
        <f t="shared" si="45"/>
        <v>15</v>
      </c>
      <c r="U745">
        <f t="shared" si="46"/>
        <v>20</v>
      </c>
      <c r="V745" s="13" t="str">
        <f t="shared" si="47"/>
        <v>Wednesday</v>
      </c>
    </row>
    <row r="746" spans="1:22" x14ac:dyDescent="0.25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 s="1">
        <v>31.67</v>
      </c>
      <c r="H746">
        <v>8</v>
      </c>
      <c r="I746" s="1">
        <v>12.667999999999999</v>
      </c>
      <c r="J746" s="1">
        <v>266.02800000000002</v>
      </c>
      <c r="K746" s="3">
        <v>43497</v>
      </c>
      <c r="L746" s="2">
        <v>0.67986111111111114</v>
      </c>
      <c r="M746" t="s">
        <v>33</v>
      </c>
      <c r="N746" s="1">
        <v>253.36</v>
      </c>
      <c r="O746" s="1">
        <v>4.7619047620000003</v>
      </c>
      <c r="P746" s="1">
        <v>12.667999999999999</v>
      </c>
      <c r="Q746">
        <v>5.6</v>
      </c>
      <c r="R746" s="13">
        <v>43467</v>
      </c>
      <c r="S746">
        <f t="shared" si="44"/>
        <v>1</v>
      </c>
      <c r="T746">
        <f t="shared" si="45"/>
        <v>16</v>
      </c>
      <c r="U746">
        <f t="shared" si="46"/>
        <v>2</v>
      </c>
      <c r="V746" s="13" t="str">
        <f t="shared" si="47"/>
        <v>Wednesday</v>
      </c>
    </row>
    <row r="747" spans="1:22" x14ac:dyDescent="0.25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 s="1">
        <v>38.42</v>
      </c>
      <c r="H747">
        <v>1</v>
      </c>
      <c r="I747" s="1">
        <v>1.921</v>
      </c>
      <c r="J747" s="1">
        <v>40.341000000000001</v>
      </c>
      <c r="K747" s="3">
        <v>43498</v>
      </c>
      <c r="L747" s="2">
        <v>0.68958333333333333</v>
      </c>
      <c r="M747" t="s">
        <v>29</v>
      </c>
      <c r="N747" s="1">
        <v>38.42</v>
      </c>
      <c r="O747" s="1">
        <v>4.7619047620000003</v>
      </c>
      <c r="P747" s="1">
        <v>1.921</v>
      </c>
      <c r="Q747">
        <v>8.6</v>
      </c>
      <c r="R747" s="13">
        <v>43498</v>
      </c>
      <c r="S747">
        <f t="shared" si="44"/>
        <v>2</v>
      </c>
      <c r="T747">
        <f t="shared" si="45"/>
        <v>16</v>
      </c>
      <c r="U747">
        <f t="shared" si="46"/>
        <v>2</v>
      </c>
      <c r="V747" s="13" t="str">
        <f t="shared" si="47"/>
        <v>Saturday</v>
      </c>
    </row>
    <row r="748" spans="1:22" x14ac:dyDescent="0.25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 s="1">
        <v>65.23</v>
      </c>
      <c r="H748">
        <v>10</v>
      </c>
      <c r="I748" s="1">
        <v>32.615000000000002</v>
      </c>
      <c r="J748" s="1">
        <v>684.91499999999996</v>
      </c>
      <c r="K748" s="3">
        <v>43678</v>
      </c>
      <c r="L748" s="2">
        <v>0.79652777777777772</v>
      </c>
      <c r="M748" t="s">
        <v>33</v>
      </c>
      <c r="N748" s="1">
        <v>652.29999999999995</v>
      </c>
      <c r="O748" s="1">
        <v>4.7619047620000003</v>
      </c>
      <c r="P748" s="1">
        <v>32.615000000000002</v>
      </c>
      <c r="Q748">
        <v>5.2</v>
      </c>
      <c r="R748" s="13">
        <v>43473</v>
      </c>
      <c r="S748">
        <f t="shared" si="44"/>
        <v>1</v>
      </c>
      <c r="T748">
        <f t="shared" si="45"/>
        <v>19</v>
      </c>
      <c r="U748">
        <f t="shared" si="46"/>
        <v>8</v>
      </c>
      <c r="V748" s="13" t="str">
        <f t="shared" si="47"/>
        <v>Tuesday</v>
      </c>
    </row>
    <row r="749" spans="1:22" x14ac:dyDescent="0.25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 s="1">
        <v>10.53</v>
      </c>
      <c r="H749">
        <v>5</v>
      </c>
      <c r="I749" s="1">
        <v>2.6324999999999998</v>
      </c>
      <c r="J749" s="1">
        <v>55.282499999999999</v>
      </c>
      <c r="K749" s="3" t="s">
        <v>241</v>
      </c>
      <c r="L749" s="2">
        <v>0.61319444444444449</v>
      </c>
      <c r="M749" t="s">
        <v>33</v>
      </c>
      <c r="N749" s="1">
        <v>52.65</v>
      </c>
      <c r="O749" s="1">
        <v>4.7619047620000003</v>
      </c>
      <c r="P749" s="1">
        <v>2.6324999999999998</v>
      </c>
      <c r="Q749">
        <v>5.8</v>
      </c>
      <c r="R749" s="13">
        <v>43495</v>
      </c>
      <c r="S749">
        <f t="shared" si="44"/>
        <v>1</v>
      </c>
      <c r="T749">
        <f t="shared" si="45"/>
        <v>14</v>
      </c>
      <c r="U749">
        <f t="shared" si="46"/>
        <v>30</v>
      </c>
      <c r="V749" s="13" t="str">
        <f t="shared" si="47"/>
        <v>Wednesday</v>
      </c>
    </row>
    <row r="750" spans="1:22" x14ac:dyDescent="0.25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 s="1">
        <v>12.29</v>
      </c>
      <c r="H750">
        <v>9</v>
      </c>
      <c r="I750" s="1">
        <v>5.5305</v>
      </c>
      <c r="J750" s="1">
        <v>116.1405</v>
      </c>
      <c r="K750" s="3" t="s">
        <v>167</v>
      </c>
      <c r="L750" s="2">
        <v>0.81111111111111112</v>
      </c>
      <c r="M750" t="s">
        <v>33</v>
      </c>
      <c r="N750" s="1">
        <v>110.61</v>
      </c>
      <c r="O750" s="1">
        <v>4.7619047620000003</v>
      </c>
      <c r="P750" s="1">
        <v>5.5305</v>
      </c>
      <c r="Q750">
        <v>8</v>
      </c>
      <c r="R750" s="13">
        <v>43550</v>
      </c>
      <c r="S750">
        <f t="shared" si="44"/>
        <v>3</v>
      </c>
      <c r="T750">
        <f t="shared" si="45"/>
        <v>19</v>
      </c>
      <c r="U750">
        <f t="shared" si="46"/>
        <v>26</v>
      </c>
      <c r="V750" s="13" t="str">
        <f t="shared" si="47"/>
        <v>Tuesday</v>
      </c>
    </row>
    <row r="751" spans="1:22" x14ac:dyDescent="0.25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 s="1">
        <v>81.23</v>
      </c>
      <c r="H751">
        <v>7</v>
      </c>
      <c r="I751" s="1">
        <v>28.430499999999999</v>
      </c>
      <c r="J751" s="1">
        <v>597.04049999999995</v>
      </c>
      <c r="K751" s="3" t="s">
        <v>58</v>
      </c>
      <c r="L751" s="2">
        <v>0.86388888888888893</v>
      </c>
      <c r="M751" t="s">
        <v>29</v>
      </c>
      <c r="N751" s="1">
        <v>568.61</v>
      </c>
      <c r="O751" s="1">
        <v>4.7619047620000003</v>
      </c>
      <c r="P751" s="1">
        <v>28.430499999999999</v>
      </c>
      <c r="Q751">
        <v>9</v>
      </c>
      <c r="R751" s="13">
        <v>43480</v>
      </c>
      <c r="S751">
        <f t="shared" si="44"/>
        <v>1</v>
      </c>
      <c r="T751">
        <f t="shared" si="45"/>
        <v>20</v>
      </c>
      <c r="U751">
        <f t="shared" si="46"/>
        <v>15</v>
      </c>
      <c r="V751" s="13" t="str">
        <f t="shared" si="47"/>
        <v>Tuesday</v>
      </c>
    </row>
    <row r="752" spans="1:22" x14ac:dyDescent="0.25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 s="1">
        <v>22.32</v>
      </c>
      <c r="H752">
        <v>4</v>
      </c>
      <c r="I752" s="1">
        <v>4.4640000000000004</v>
      </c>
      <c r="J752" s="1">
        <v>93.744</v>
      </c>
      <c r="K752" s="3" t="s">
        <v>354</v>
      </c>
      <c r="L752" s="2">
        <v>0.46944444444444444</v>
      </c>
      <c r="M752" t="s">
        <v>23</v>
      </c>
      <c r="N752" s="1">
        <v>89.28</v>
      </c>
      <c r="O752" s="1">
        <v>4.7619047620000003</v>
      </c>
      <c r="P752" s="1">
        <v>4.4640000000000004</v>
      </c>
      <c r="Q752">
        <v>4.0999999999999996</v>
      </c>
      <c r="R752" s="13">
        <v>43538</v>
      </c>
      <c r="S752">
        <f t="shared" si="44"/>
        <v>3</v>
      </c>
      <c r="T752">
        <f t="shared" si="45"/>
        <v>11</v>
      </c>
      <c r="U752">
        <f t="shared" si="46"/>
        <v>14</v>
      </c>
      <c r="V752" s="13" t="str">
        <f t="shared" si="47"/>
        <v>Thursday</v>
      </c>
    </row>
    <row r="753" spans="1:22" x14ac:dyDescent="0.25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 s="1">
        <v>27.28</v>
      </c>
      <c r="H753">
        <v>5</v>
      </c>
      <c r="I753" s="1">
        <v>6.82</v>
      </c>
      <c r="J753" s="1">
        <v>143.22</v>
      </c>
      <c r="K753" s="3">
        <v>43526</v>
      </c>
      <c r="L753" s="2">
        <v>0.43819444444444444</v>
      </c>
      <c r="M753" t="s">
        <v>33</v>
      </c>
      <c r="N753" s="1">
        <v>136.4</v>
      </c>
      <c r="O753" s="1">
        <v>4.7619047620000003</v>
      </c>
      <c r="P753" s="1">
        <v>6.82</v>
      </c>
      <c r="Q753">
        <v>8.6</v>
      </c>
      <c r="R753" s="13">
        <v>43499</v>
      </c>
      <c r="S753">
        <f t="shared" si="44"/>
        <v>2</v>
      </c>
      <c r="T753">
        <f t="shared" si="45"/>
        <v>10</v>
      </c>
      <c r="U753">
        <f t="shared" si="46"/>
        <v>3</v>
      </c>
      <c r="V753" s="13" t="str">
        <f t="shared" si="47"/>
        <v>Sunday</v>
      </c>
    </row>
    <row r="754" spans="1:22" x14ac:dyDescent="0.25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 s="1">
        <v>17.420000000000002</v>
      </c>
      <c r="H754">
        <v>10</v>
      </c>
      <c r="I754" s="1">
        <v>8.7100000000000009</v>
      </c>
      <c r="J754" s="1">
        <v>182.91</v>
      </c>
      <c r="K754" s="3" t="s">
        <v>218</v>
      </c>
      <c r="L754" s="2">
        <v>0.52083333333333337</v>
      </c>
      <c r="M754" t="s">
        <v>23</v>
      </c>
      <c r="N754" s="1">
        <v>174.2</v>
      </c>
      <c r="O754" s="1">
        <v>4.7619047620000003</v>
      </c>
      <c r="P754" s="1">
        <v>8.7100000000000009</v>
      </c>
      <c r="Q754">
        <v>7</v>
      </c>
      <c r="R754" s="13">
        <v>43518</v>
      </c>
      <c r="S754">
        <f t="shared" si="44"/>
        <v>2</v>
      </c>
      <c r="T754">
        <f t="shared" si="45"/>
        <v>12</v>
      </c>
      <c r="U754">
        <f t="shared" si="46"/>
        <v>22</v>
      </c>
      <c r="V754" s="13" t="str">
        <f t="shared" si="47"/>
        <v>Friday</v>
      </c>
    </row>
    <row r="755" spans="1:22" x14ac:dyDescent="0.25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 s="1">
        <v>73.28</v>
      </c>
      <c r="H755">
        <v>5</v>
      </c>
      <c r="I755" s="1">
        <v>18.32</v>
      </c>
      <c r="J755" s="1">
        <v>384.72</v>
      </c>
      <c r="K755" s="3" t="s">
        <v>129</v>
      </c>
      <c r="L755" s="2">
        <v>0.62847222222222221</v>
      </c>
      <c r="M755" t="s">
        <v>23</v>
      </c>
      <c r="N755" s="1">
        <v>366.4</v>
      </c>
      <c r="O755" s="1">
        <v>4.7619047620000003</v>
      </c>
      <c r="P755" s="1">
        <v>18.32</v>
      </c>
      <c r="Q755">
        <v>8.4</v>
      </c>
      <c r="R755" s="13">
        <v>43489</v>
      </c>
      <c r="S755">
        <f t="shared" si="44"/>
        <v>1</v>
      </c>
      <c r="T755">
        <f t="shared" si="45"/>
        <v>15</v>
      </c>
      <c r="U755">
        <f t="shared" si="46"/>
        <v>24</v>
      </c>
      <c r="V755" s="13" t="str">
        <f t="shared" si="47"/>
        <v>Thursday</v>
      </c>
    </row>
    <row r="756" spans="1:22" x14ac:dyDescent="0.25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 s="1">
        <v>84.87</v>
      </c>
      <c r="H756">
        <v>3</v>
      </c>
      <c r="I756" s="1">
        <v>12.730499999999999</v>
      </c>
      <c r="J756" s="1">
        <v>267.34050000000002</v>
      </c>
      <c r="K756" s="3" t="s">
        <v>76</v>
      </c>
      <c r="L756" s="2">
        <v>0.77083333333333337</v>
      </c>
      <c r="M756" t="s">
        <v>23</v>
      </c>
      <c r="N756" s="1">
        <v>254.61</v>
      </c>
      <c r="O756" s="1">
        <v>4.7619047620000003</v>
      </c>
      <c r="P756" s="1">
        <v>12.730499999999999</v>
      </c>
      <c r="Q756">
        <v>7.4</v>
      </c>
      <c r="R756" s="13">
        <v>43490</v>
      </c>
      <c r="S756">
        <f t="shared" si="44"/>
        <v>1</v>
      </c>
      <c r="T756">
        <f t="shared" si="45"/>
        <v>18</v>
      </c>
      <c r="U756">
        <f t="shared" si="46"/>
        <v>25</v>
      </c>
      <c r="V756" s="13" t="str">
        <f t="shared" si="47"/>
        <v>Friday</v>
      </c>
    </row>
    <row r="757" spans="1:22" x14ac:dyDescent="0.25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 s="1">
        <v>97.29</v>
      </c>
      <c r="H757">
        <v>8</v>
      </c>
      <c r="I757" s="1">
        <v>38.915999999999997</v>
      </c>
      <c r="J757" s="1">
        <v>817.23599999999999</v>
      </c>
      <c r="K757" s="3">
        <v>43711</v>
      </c>
      <c r="L757" s="2">
        <v>0.5541666666666667</v>
      </c>
      <c r="M757" t="s">
        <v>33</v>
      </c>
      <c r="N757" s="1">
        <v>778.32</v>
      </c>
      <c r="O757" s="1">
        <v>4.7619047620000003</v>
      </c>
      <c r="P757" s="1">
        <v>38.915999999999997</v>
      </c>
      <c r="Q757">
        <v>6.2</v>
      </c>
      <c r="R757" s="13">
        <v>43533</v>
      </c>
      <c r="S757">
        <f t="shared" si="44"/>
        <v>3</v>
      </c>
      <c r="T757">
        <f t="shared" si="45"/>
        <v>13</v>
      </c>
      <c r="U757">
        <f t="shared" si="46"/>
        <v>9</v>
      </c>
      <c r="V757" s="13" t="str">
        <f t="shared" si="47"/>
        <v>Saturday</v>
      </c>
    </row>
    <row r="758" spans="1:22" x14ac:dyDescent="0.25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 s="1">
        <v>35.74</v>
      </c>
      <c r="H758">
        <v>8</v>
      </c>
      <c r="I758" s="1">
        <v>14.295999999999999</v>
      </c>
      <c r="J758" s="1">
        <v>300.21600000000001</v>
      </c>
      <c r="K758" s="3" t="s">
        <v>69</v>
      </c>
      <c r="L758" s="2">
        <v>0.64444444444444449</v>
      </c>
      <c r="M758" t="s">
        <v>23</v>
      </c>
      <c r="N758" s="1">
        <v>285.92</v>
      </c>
      <c r="O758" s="1">
        <v>4.7619047620000003</v>
      </c>
      <c r="P758" s="1">
        <v>14.295999999999999</v>
      </c>
      <c r="Q758">
        <v>4.9000000000000004</v>
      </c>
      <c r="R758" s="13">
        <v>43513</v>
      </c>
      <c r="S758">
        <f t="shared" si="44"/>
        <v>2</v>
      </c>
      <c r="T758">
        <f t="shared" si="45"/>
        <v>15</v>
      </c>
      <c r="U758">
        <f t="shared" si="46"/>
        <v>17</v>
      </c>
      <c r="V758" s="13" t="str">
        <f t="shared" si="47"/>
        <v>Sunday</v>
      </c>
    </row>
    <row r="759" spans="1:22" x14ac:dyDescent="0.25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 s="1">
        <v>96.52</v>
      </c>
      <c r="H759">
        <v>6</v>
      </c>
      <c r="I759" s="1">
        <v>28.956</v>
      </c>
      <c r="J759" s="1">
        <v>608.07600000000002</v>
      </c>
      <c r="K759" s="3">
        <v>43770</v>
      </c>
      <c r="L759" s="2">
        <v>0.49444444444444446</v>
      </c>
      <c r="M759" t="s">
        <v>29</v>
      </c>
      <c r="N759" s="1">
        <v>579.12</v>
      </c>
      <c r="O759" s="1">
        <v>4.7619047620000003</v>
      </c>
      <c r="P759" s="1">
        <v>28.956</v>
      </c>
      <c r="Q759">
        <v>4.5</v>
      </c>
      <c r="R759" s="13">
        <v>43476</v>
      </c>
      <c r="S759">
        <f t="shared" si="44"/>
        <v>1</v>
      </c>
      <c r="T759">
        <f t="shared" si="45"/>
        <v>11</v>
      </c>
      <c r="U759">
        <f t="shared" si="46"/>
        <v>11</v>
      </c>
      <c r="V759" s="13" t="str">
        <f t="shared" si="47"/>
        <v>Friday</v>
      </c>
    </row>
    <row r="760" spans="1:22" x14ac:dyDescent="0.25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 s="1">
        <v>18.850000000000001</v>
      </c>
      <c r="H760">
        <v>10</v>
      </c>
      <c r="I760" s="1">
        <v>9.4250000000000007</v>
      </c>
      <c r="J760" s="1">
        <v>197.92500000000001</v>
      </c>
      <c r="K760" s="3" t="s">
        <v>99</v>
      </c>
      <c r="L760" s="2">
        <v>0.76666666666666672</v>
      </c>
      <c r="M760" t="s">
        <v>23</v>
      </c>
      <c r="N760" s="1">
        <v>188.5</v>
      </c>
      <c r="O760" s="1">
        <v>4.7619047620000003</v>
      </c>
      <c r="P760" s="1">
        <v>9.4250000000000007</v>
      </c>
      <c r="Q760">
        <v>5.6</v>
      </c>
      <c r="R760" s="13">
        <v>43523</v>
      </c>
      <c r="S760">
        <f t="shared" si="44"/>
        <v>2</v>
      </c>
      <c r="T760">
        <f t="shared" si="45"/>
        <v>18</v>
      </c>
      <c r="U760">
        <f t="shared" si="46"/>
        <v>27</v>
      </c>
      <c r="V760" s="13" t="str">
        <f t="shared" si="47"/>
        <v>Wednesday</v>
      </c>
    </row>
    <row r="761" spans="1:22" x14ac:dyDescent="0.25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 s="1">
        <v>55.39</v>
      </c>
      <c r="H761">
        <v>4</v>
      </c>
      <c r="I761" s="1">
        <v>11.077999999999999</v>
      </c>
      <c r="J761" s="1">
        <v>232.63800000000001</v>
      </c>
      <c r="K761" s="3" t="s">
        <v>39</v>
      </c>
      <c r="L761" s="2">
        <v>0.6381944444444444</v>
      </c>
      <c r="M761" t="s">
        <v>23</v>
      </c>
      <c r="N761" s="1">
        <v>221.56</v>
      </c>
      <c r="O761" s="1">
        <v>4.7619047620000003</v>
      </c>
      <c r="P761" s="1">
        <v>11.077999999999999</v>
      </c>
      <c r="Q761">
        <v>8</v>
      </c>
      <c r="R761" s="13">
        <v>43549</v>
      </c>
      <c r="S761">
        <f t="shared" si="44"/>
        <v>3</v>
      </c>
      <c r="T761">
        <f t="shared" si="45"/>
        <v>15</v>
      </c>
      <c r="U761">
        <f t="shared" si="46"/>
        <v>25</v>
      </c>
      <c r="V761" s="13" t="str">
        <f t="shared" si="47"/>
        <v>Monday</v>
      </c>
    </row>
    <row r="762" spans="1:22" x14ac:dyDescent="0.25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 s="1">
        <v>77.2</v>
      </c>
      <c r="H762">
        <v>10</v>
      </c>
      <c r="I762" s="1">
        <v>38.6</v>
      </c>
      <c r="J762" s="1">
        <v>810.6</v>
      </c>
      <c r="K762" s="3">
        <v>43771</v>
      </c>
      <c r="L762" s="2">
        <v>0.44305555555555554</v>
      </c>
      <c r="M762" t="s">
        <v>33</v>
      </c>
      <c r="N762" s="1">
        <v>772</v>
      </c>
      <c r="O762" s="1">
        <v>4.7619047620000003</v>
      </c>
      <c r="P762" s="1">
        <v>38.6</v>
      </c>
      <c r="Q762">
        <v>5.6</v>
      </c>
      <c r="R762" s="13">
        <v>43507</v>
      </c>
      <c r="S762">
        <f t="shared" si="44"/>
        <v>2</v>
      </c>
      <c r="T762">
        <f t="shared" si="45"/>
        <v>10</v>
      </c>
      <c r="U762">
        <f t="shared" si="46"/>
        <v>11</v>
      </c>
      <c r="V762" s="13" t="str">
        <f t="shared" si="47"/>
        <v>Monday</v>
      </c>
    </row>
    <row r="763" spans="1:22" x14ac:dyDescent="0.25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 s="1">
        <v>72.13</v>
      </c>
      <c r="H763">
        <v>10</v>
      </c>
      <c r="I763" s="1">
        <v>36.064999999999998</v>
      </c>
      <c r="J763" s="1">
        <v>757.36500000000001</v>
      </c>
      <c r="K763" s="3" t="s">
        <v>305</v>
      </c>
      <c r="L763" s="2">
        <v>0.6333333333333333</v>
      </c>
      <c r="M763" t="s">
        <v>33</v>
      </c>
      <c r="N763" s="1">
        <v>721.3</v>
      </c>
      <c r="O763" s="1">
        <v>4.7619047620000003</v>
      </c>
      <c r="P763" s="1">
        <v>36.064999999999998</v>
      </c>
      <c r="Q763">
        <v>4.2</v>
      </c>
      <c r="R763" s="13">
        <v>43496</v>
      </c>
      <c r="S763">
        <f t="shared" si="44"/>
        <v>1</v>
      </c>
      <c r="T763">
        <f t="shared" si="45"/>
        <v>15</v>
      </c>
      <c r="U763">
        <f t="shared" si="46"/>
        <v>31</v>
      </c>
      <c r="V763" s="13" t="str">
        <f t="shared" si="47"/>
        <v>Thursday</v>
      </c>
    </row>
    <row r="764" spans="1:22" x14ac:dyDescent="0.25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 s="1">
        <v>63.88</v>
      </c>
      <c r="H764">
        <v>8</v>
      </c>
      <c r="I764" s="1">
        <v>25.552</v>
      </c>
      <c r="J764" s="1">
        <v>536.59199999999998</v>
      </c>
      <c r="K764" s="3" t="s">
        <v>115</v>
      </c>
      <c r="L764" s="2">
        <v>0.7416666666666667</v>
      </c>
      <c r="M764" t="s">
        <v>23</v>
      </c>
      <c r="N764" s="1">
        <v>511.04</v>
      </c>
      <c r="O764" s="1">
        <v>4.7619047620000003</v>
      </c>
      <c r="P764" s="1">
        <v>25.552</v>
      </c>
      <c r="Q764">
        <v>9.9</v>
      </c>
      <c r="R764" s="13">
        <v>43485</v>
      </c>
      <c r="S764">
        <f t="shared" si="44"/>
        <v>1</v>
      </c>
      <c r="T764">
        <f t="shared" si="45"/>
        <v>17</v>
      </c>
      <c r="U764">
        <f t="shared" si="46"/>
        <v>20</v>
      </c>
      <c r="V764" s="13" t="str">
        <f t="shared" si="47"/>
        <v>Sunday</v>
      </c>
    </row>
    <row r="765" spans="1:22" x14ac:dyDescent="0.25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1">
        <v>10.69</v>
      </c>
      <c r="H765">
        <v>5</v>
      </c>
      <c r="I765" s="1">
        <v>2.6724999999999999</v>
      </c>
      <c r="J765" s="1">
        <v>56.122500000000002</v>
      </c>
      <c r="K765" s="3" t="s">
        <v>167</v>
      </c>
      <c r="L765" s="2">
        <v>0.46319444444444446</v>
      </c>
      <c r="M765" t="s">
        <v>23</v>
      </c>
      <c r="N765" s="1">
        <v>53.45</v>
      </c>
      <c r="O765" s="1">
        <v>4.7619047620000003</v>
      </c>
      <c r="P765" s="1">
        <v>2.6724999999999999</v>
      </c>
      <c r="Q765">
        <v>7.6</v>
      </c>
      <c r="R765" s="13">
        <v>43550</v>
      </c>
      <c r="S765">
        <f t="shared" si="44"/>
        <v>3</v>
      </c>
      <c r="T765">
        <f t="shared" si="45"/>
        <v>11</v>
      </c>
      <c r="U765">
        <f t="shared" si="46"/>
        <v>26</v>
      </c>
      <c r="V765" s="13" t="str">
        <f t="shared" si="47"/>
        <v>Tuesday</v>
      </c>
    </row>
    <row r="766" spans="1:22" x14ac:dyDescent="0.25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 s="1">
        <v>55.5</v>
      </c>
      <c r="H766">
        <v>4</v>
      </c>
      <c r="I766" s="1">
        <v>11.1</v>
      </c>
      <c r="J766" s="1">
        <v>233.1</v>
      </c>
      <c r="K766" s="3" t="s">
        <v>115</v>
      </c>
      <c r="L766" s="2">
        <v>0.65833333333333333</v>
      </c>
      <c r="M766" t="s">
        <v>33</v>
      </c>
      <c r="N766" s="1">
        <v>222</v>
      </c>
      <c r="O766" s="1">
        <v>4.7619047620000003</v>
      </c>
      <c r="P766" s="1">
        <v>11.1</v>
      </c>
      <c r="Q766">
        <v>6.6</v>
      </c>
      <c r="R766" s="13">
        <v>43485</v>
      </c>
      <c r="S766">
        <f t="shared" si="44"/>
        <v>1</v>
      </c>
      <c r="T766">
        <f t="shared" si="45"/>
        <v>15</v>
      </c>
      <c r="U766">
        <f t="shared" si="46"/>
        <v>20</v>
      </c>
      <c r="V766" s="13" t="str">
        <f t="shared" si="47"/>
        <v>Sunday</v>
      </c>
    </row>
    <row r="767" spans="1:22" x14ac:dyDescent="0.25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 s="1">
        <v>95.46</v>
      </c>
      <c r="H767">
        <v>8</v>
      </c>
      <c r="I767" s="1">
        <v>38.183999999999997</v>
      </c>
      <c r="J767" s="1">
        <v>801.86400000000003</v>
      </c>
      <c r="K767" s="3">
        <v>43588</v>
      </c>
      <c r="L767" s="2">
        <v>0.81944444444444442</v>
      </c>
      <c r="M767" t="s">
        <v>23</v>
      </c>
      <c r="N767" s="1">
        <v>763.68</v>
      </c>
      <c r="O767" s="1">
        <v>4.7619047620000003</v>
      </c>
      <c r="P767" s="1">
        <v>38.183999999999997</v>
      </c>
      <c r="Q767">
        <v>4.7</v>
      </c>
      <c r="R767" s="13">
        <v>43529</v>
      </c>
      <c r="S767">
        <f t="shared" si="44"/>
        <v>3</v>
      </c>
      <c r="T767">
        <f t="shared" si="45"/>
        <v>19</v>
      </c>
      <c r="U767">
        <f t="shared" si="46"/>
        <v>5</v>
      </c>
      <c r="V767" s="13" t="str">
        <f t="shared" si="47"/>
        <v>Tuesday</v>
      </c>
    </row>
    <row r="768" spans="1:22" x14ac:dyDescent="0.25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 s="1">
        <v>76.06</v>
      </c>
      <c r="H768">
        <v>3</v>
      </c>
      <c r="I768" s="1">
        <v>11.409000000000001</v>
      </c>
      <c r="J768" s="1">
        <v>239.589</v>
      </c>
      <c r="K768" s="3">
        <v>43586</v>
      </c>
      <c r="L768" s="2">
        <v>0.85416666666666663</v>
      </c>
      <c r="M768" t="s">
        <v>33</v>
      </c>
      <c r="N768" s="1">
        <v>228.18</v>
      </c>
      <c r="O768" s="1">
        <v>4.7619047620000003</v>
      </c>
      <c r="P768" s="1">
        <v>11.409000000000001</v>
      </c>
      <c r="Q768">
        <v>9.8000000000000007</v>
      </c>
      <c r="R768" s="13">
        <v>43470</v>
      </c>
      <c r="S768">
        <f t="shared" si="44"/>
        <v>1</v>
      </c>
      <c r="T768">
        <f t="shared" si="45"/>
        <v>20</v>
      </c>
      <c r="U768">
        <f t="shared" si="46"/>
        <v>5</v>
      </c>
      <c r="V768" s="13" t="str">
        <f t="shared" si="47"/>
        <v>Saturday</v>
      </c>
    </row>
    <row r="769" spans="1:22" x14ac:dyDescent="0.25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 s="1">
        <v>13.69</v>
      </c>
      <c r="H769">
        <v>6</v>
      </c>
      <c r="I769" s="1">
        <v>4.1070000000000002</v>
      </c>
      <c r="J769" s="1">
        <v>86.247</v>
      </c>
      <c r="K769" s="3" t="s">
        <v>257</v>
      </c>
      <c r="L769" s="2">
        <v>0.58263888888888893</v>
      </c>
      <c r="M769" t="s">
        <v>29</v>
      </c>
      <c r="N769" s="1">
        <v>82.14</v>
      </c>
      <c r="O769" s="1">
        <v>4.7619047620000003</v>
      </c>
      <c r="P769" s="1">
        <v>4.1070000000000002</v>
      </c>
      <c r="Q769">
        <v>6.3</v>
      </c>
      <c r="R769" s="13">
        <v>43509</v>
      </c>
      <c r="S769">
        <f t="shared" si="44"/>
        <v>2</v>
      </c>
      <c r="T769">
        <f t="shared" si="45"/>
        <v>13</v>
      </c>
      <c r="U769">
        <f t="shared" si="46"/>
        <v>13</v>
      </c>
      <c r="V769" s="13" t="str">
        <f t="shared" si="47"/>
        <v>Wednesday</v>
      </c>
    </row>
    <row r="770" spans="1:22" x14ac:dyDescent="0.25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 s="1">
        <v>95.64</v>
      </c>
      <c r="H770">
        <v>4</v>
      </c>
      <c r="I770" s="1">
        <v>19.128</v>
      </c>
      <c r="J770" s="1">
        <v>401.68799999999999</v>
      </c>
      <c r="K770" s="3" t="s">
        <v>96</v>
      </c>
      <c r="L770" s="2">
        <v>0.78541666666666665</v>
      </c>
      <c r="M770" t="s">
        <v>29</v>
      </c>
      <c r="N770" s="1">
        <v>382.56</v>
      </c>
      <c r="O770" s="1">
        <v>4.7619047620000003</v>
      </c>
      <c r="P770" s="1">
        <v>19.128</v>
      </c>
      <c r="Q770">
        <v>7.9</v>
      </c>
      <c r="R770" s="13">
        <v>43540</v>
      </c>
      <c r="S770">
        <f t="shared" si="44"/>
        <v>3</v>
      </c>
      <c r="T770">
        <f t="shared" si="45"/>
        <v>18</v>
      </c>
      <c r="U770">
        <f t="shared" si="46"/>
        <v>16</v>
      </c>
      <c r="V770" s="13" t="str">
        <f t="shared" si="47"/>
        <v>Saturday</v>
      </c>
    </row>
    <row r="771" spans="1:22" x14ac:dyDescent="0.25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 s="1">
        <v>11.43</v>
      </c>
      <c r="H771">
        <v>6</v>
      </c>
      <c r="I771" s="1">
        <v>3.4289999999999998</v>
      </c>
      <c r="J771" s="1">
        <v>72.009</v>
      </c>
      <c r="K771" s="3" t="s">
        <v>58</v>
      </c>
      <c r="L771" s="2">
        <v>0.72499999999999998</v>
      </c>
      <c r="M771" t="s">
        <v>29</v>
      </c>
      <c r="N771" s="1">
        <v>68.58</v>
      </c>
      <c r="O771" s="1">
        <v>4.7619047620000003</v>
      </c>
      <c r="P771" s="1">
        <v>3.4289999999999998</v>
      </c>
      <c r="Q771">
        <v>7.7</v>
      </c>
      <c r="R771" s="13">
        <v>43480</v>
      </c>
      <c r="S771">
        <f t="shared" ref="S771:S834" si="48">MONTH(R771)</f>
        <v>1</v>
      </c>
      <c r="T771">
        <f t="shared" ref="T771:T834" si="49">HOUR(L771)</f>
        <v>17</v>
      </c>
      <c r="U771">
        <f t="shared" ref="U771:U834" si="50">DAY(R771)</f>
        <v>15</v>
      </c>
      <c r="V771" s="13" t="str">
        <f t="shared" ref="V771:V834" si="51">TEXT(R771,"DDDD")</f>
        <v>Tuesday</v>
      </c>
    </row>
    <row r="772" spans="1:22" x14ac:dyDescent="0.25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 s="1">
        <v>95.54</v>
      </c>
      <c r="H772">
        <v>4</v>
      </c>
      <c r="I772" s="1">
        <v>19.108000000000001</v>
      </c>
      <c r="J772" s="1">
        <v>401.26799999999997</v>
      </c>
      <c r="K772" s="3" t="s">
        <v>314</v>
      </c>
      <c r="L772" s="2">
        <v>0.49861111111111112</v>
      </c>
      <c r="M772" t="s">
        <v>23</v>
      </c>
      <c r="N772" s="1">
        <v>382.16</v>
      </c>
      <c r="O772" s="1">
        <v>4.7619047620000003</v>
      </c>
      <c r="P772" s="1">
        <v>19.108000000000001</v>
      </c>
      <c r="Q772">
        <v>4.5</v>
      </c>
      <c r="R772" s="13">
        <v>43522</v>
      </c>
      <c r="S772">
        <f t="shared" si="48"/>
        <v>2</v>
      </c>
      <c r="T772">
        <f t="shared" si="49"/>
        <v>11</v>
      </c>
      <c r="U772">
        <f t="shared" si="50"/>
        <v>26</v>
      </c>
      <c r="V772" s="13" t="str">
        <f t="shared" si="51"/>
        <v>Tuesday</v>
      </c>
    </row>
    <row r="773" spans="1:22" x14ac:dyDescent="0.25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 s="1">
        <v>85.87</v>
      </c>
      <c r="H773">
        <v>7</v>
      </c>
      <c r="I773" s="1">
        <v>30.054500000000001</v>
      </c>
      <c r="J773" s="1">
        <v>631.14449999999999</v>
      </c>
      <c r="K773" s="3" t="s">
        <v>99</v>
      </c>
      <c r="L773" s="2">
        <v>0.79236111111111107</v>
      </c>
      <c r="M773" t="s">
        <v>33</v>
      </c>
      <c r="N773" s="1">
        <v>601.09</v>
      </c>
      <c r="O773" s="1">
        <v>4.7619047620000003</v>
      </c>
      <c r="P773" s="1">
        <v>30.054500000000001</v>
      </c>
      <c r="Q773">
        <v>8</v>
      </c>
      <c r="R773" s="13">
        <v>43523</v>
      </c>
      <c r="S773">
        <f t="shared" si="48"/>
        <v>2</v>
      </c>
      <c r="T773">
        <f t="shared" si="49"/>
        <v>19</v>
      </c>
      <c r="U773">
        <f t="shared" si="50"/>
        <v>27</v>
      </c>
      <c r="V773" s="13" t="str">
        <f t="shared" si="51"/>
        <v>Wednesday</v>
      </c>
    </row>
    <row r="774" spans="1:22" x14ac:dyDescent="0.25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 s="1">
        <v>67.989999999999995</v>
      </c>
      <c r="H774">
        <v>7</v>
      </c>
      <c r="I774" s="1">
        <v>23.796500000000002</v>
      </c>
      <c r="J774" s="1">
        <v>499.72649999999999</v>
      </c>
      <c r="K774" s="3" t="s">
        <v>69</v>
      </c>
      <c r="L774" s="2">
        <v>0.70138888888888884</v>
      </c>
      <c r="M774" t="s">
        <v>23</v>
      </c>
      <c r="N774" s="1">
        <v>475.93</v>
      </c>
      <c r="O774" s="1">
        <v>4.7619047620000003</v>
      </c>
      <c r="P774" s="1">
        <v>23.796500000000002</v>
      </c>
      <c r="Q774">
        <v>5.7</v>
      </c>
      <c r="R774" s="13">
        <v>43513</v>
      </c>
      <c r="S774">
        <f t="shared" si="48"/>
        <v>2</v>
      </c>
      <c r="T774">
        <f t="shared" si="49"/>
        <v>16</v>
      </c>
      <c r="U774">
        <f t="shared" si="50"/>
        <v>17</v>
      </c>
      <c r="V774" s="13" t="str">
        <f t="shared" si="51"/>
        <v>Sunday</v>
      </c>
    </row>
    <row r="775" spans="1:22" x14ac:dyDescent="0.25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 s="1">
        <v>52.42</v>
      </c>
      <c r="H775">
        <v>1</v>
      </c>
      <c r="I775" s="1">
        <v>2.621</v>
      </c>
      <c r="J775" s="1">
        <v>55.040999999999997</v>
      </c>
      <c r="K775" s="3">
        <v>43618</v>
      </c>
      <c r="L775" s="2">
        <v>0.43194444444444446</v>
      </c>
      <c r="M775" t="s">
        <v>33</v>
      </c>
      <c r="N775" s="1">
        <v>52.42</v>
      </c>
      <c r="O775" s="1">
        <v>4.7619047620000003</v>
      </c>
      <c r="P775" s="1">
        <v>2.621</v>
      </c>
      <c r="Q775">
        <v>6.3</v>
      </c>
      <c r="R775" s="13">
        <v>43502</v>
      </c>
      <c r="S775">
        <f t="shared" si="48"/>
        <v>2</v>
      </c>
      <c r="T775">
        <f t="shared" si="49"/>
        <v>10</v>
      </c>
      <c r="U775">
        <f t="shared" si="50"/>
        <v>6</v>
      </c>
      <c r="V775" s="13" t="str">
        <f t="shared" si="51"/>
        <v>Wednesday</v>
      </c>
    </row>
    <row r="776" spans="1:22" x14ac:dyDescent="0.25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 s="1">
        <v>65.650000000000006</v>
      </c>
      <c r="H776">
        <v>2</v>
      </c>
      <c r="I776" s="1">
        <v>6.5650000000000004</v>
      </c>
      <c r="J776" s="1">
        <v>137.86500000000001</v>
      </c>
      <c r="K776" s="3" t="s">
        <v>91</v>
      </c>
      <c r="L776" s="2">
        <v>0.69861111111111107</v>
      </c>
      <c r="M776" t="s">
        <v>29</v>
      </c>
      <c r="N776" s="1">
        <v>131.30000000000001</v>
      </c>
      <c r="O776" s="1">
        <v>4.7619047620000003</v>
      </c>
      <c r="P776" s="1">
        <v>6.5650000000000004</v>
      </c>
      <c r="Q776">
        <v>6</v>
      </c>
      <c r="R776" s="13">
        <v>43482</v>
      </c>
      <c r="S776">
        <f t="shared" si="48"/>
        <v>1</v>
      </c>
      <c r="T776">
        <f t="shared" si="49"/>
        <v>16</v>
      </c>
      <c r="U776">
        <f t="shared" si="50"/>
        <v>17</v>
      </c>
      <c r="V776" s="13" t="str">
        <f t="shared" si="51"/>
        <v>Thursday</v>
      </c>
    </row>
    <row r="777" spans="1:22" x14ac:dyDescent="0.25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 s="1">
        <v>28.86</v>
      </c>
      <c r="H777">
        <v>5</v>
      </c>
      <c r="I777" s="1">
        <v>7.2149999999999999</v>
      </c>
      <c r="J777" s="1">
        <v>151.51499999999999</v>
      </c>
      <c r="K777" s="3" t="s">
        <v>136</v>
      </c>
      <c r="L777" s="2">
        <v>0.75555555555555554</v>
      </c>
      <c r="M777" t="s">
        <v>33</v>
      </c>
      <c r="N777" s="1">
        <v>144.30000000000001</v>
      </c>
      <c r="O777" s="1">
        <v>4.7619047620000003</v>
      </c>
      <c r="P777" s="1">
        <v>7.2149999999999999</v>
      </c>
      <c r="Q777">
        <v>8</v>
      </c>
      <c r="R777" s="13">
        <v>43487</v>
      </c>
      <c r="S777">
        <f t="shared" si="48"/>
        <v>1</v>
      </c>
      <c r="T777">
        <f t="shared" si="49"/>
        <v>18</v>
      </c>
      <c r="U777">
        <f t="shared" si="50"/>
        <v>22</v>
      </c>
      <c r="V777" s="13" t="str">
        <f t="shared" si="51"/>
        <v>Tuesday</v>
      </c>
    </row>
    <row r="778" spans="1:22" x14ac:dyDescent="0.25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 s="1">
        <v>65.31</v>
      </c>
      <c r="H778">
        <v>7</v>
      </c>
      <c r="I778" s="1">
        <v>22.858499999999999</v>
      </c>
      <c r="J778" s="1">
        <v>480.02850000000001</v>
      </c>
      <c r="K778" s="3">
        <v>43588</v>
      </c>
      <c r="L778" s="2">
        <v>0.75138888888888888</v>
      </c>
      <c r="M778" t="s">
        <v>33</v>
      </c>
      <c r="N778" s="1">
        <v>457.17</v>
      </c>
      <c r="O778" s="1">
        <v>4.7619047620000003</v>
      </c>
      <c r="P778" s="1">
        <v>22.858499999999999</v>
      </c>
      <c r="Q778">
        <v>4.2</v>
      </c>
      <c r="R778" s="13">
        <v>43529</v>
      </c>
      <c r="S778">
        <f t="shared" si="48"/>
        <v>3</v>
      </c>
      <c r="T778">
        <f t="shared" si="49"/>
        <v>18</v>
      </c>
      <c r="U778">
        <f t="shared" si="50"/>
        <v>5</v>
      </c>
      <c r="V778" s="13" t="str">
        <f t="shared" si="51"/>
        <v>Tuesday</v>
      </c>
    </row>
    <row r="779" spans="1:22" x14ac:dyDescent="0.25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 s="1">
        <v>93.38</v>
      </c>
      <c r="H779">
        <v>1</v>
      </c>
      <c r="I779" s="1">
        <v>4.6689999999999996</v>
      </c>
      <c r="J779" s="1">
        <v>98.049000000000007</v>
      </c>
      <c r="K779" s="3">
        <v>43525</v>
      </c>
      <c r="L779" s="2">
        <v>0.54652777777777772</v>
      </c>
      <c r="M779" t="s">
        <v>29</v>
      </c>
      <c r="N779" s="1">
        <v>93.38</v>
      </c>
      <c r="O779" s="1">
        <v>4.7619047620000003</v>
      </c>
      <c r="P779" s="1">
        <v>4.6689999999999996</v>
      </c>
      <c r="Q779">
        <v>9.6</v>
      </c>
      <c r="R779" s="13">
        <v>43468</v>
      </c>
      <c r="S779">
        <f t="shared" si="48"/>
        <v>1</v>
      </c>
      <c r="T779">
        <f t="shared" si="49"/>
        <v>13</v>
      </c>
      <c r="U779">
        <f t="shared" si="50"/>
        <v>3</v>
      </c>
      <c r="V779" s="13" t="str">
        <f t="shared" si="51"/>
        <v>Thursday</v>
      </c>
    </row>
    <row r="780" spans="1:22" x14ac:dyDescent="0.25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 s="1">
        <v>25.25</v>
      </c>
      <c r="H780">
        <v>5</v>
      </c>
      <c r="I780" s="1">
        <v>6.3125</v>
      </c>
      <c r="J780" s="1">
        <v>132.5625</v>
      </c>
      <c r="K780" s="3" t="s">
        <v>295</v>
      </c>
      <c r="L780" s="2">
        <v>0.74444444444444446</v>
      </c>
      <c r="M780" t="s">
        <v>29</v>
      </c>
      <c r="N780" s="1">
        <v>126.25</v>
      </c>
      <c r="O780" s="1">
        <v>4.7619047620000003</v>
      </c>
      <c r="P780" s="1">
        <v>6.3125</v>
      </c>
      <c r="Q780">
        <v>6.1</v>
      </c>
      <c r="R780" s="13">
        <v>43544</v>
      </c>
      <c r="S780">
        <f t="shared" si="48"/>
        <v>3</v>
      </c>
      <c r="T780">
        <f t="shared" si="49"/>
        <v>17</v>
      </c>
      <c r="U780">
        <f t="shared" si="50"/>
        <v>20</v>
      </c>
      <c r="V780" s="13" t="str">
        <f t="shared" si="51"/>
        <v>Wednesday</v>
      </c>
    </row>
    <row r="781" spans="1:22" x14ac:dyDescent="0.25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 s="1">
        <v>87.87</v>
      </c>
      <c r="H781">
        <v>9</v>
      </c>
      <c r="I781" s="1">
        <v>39.541499999999999</v>
      </c>
      <c r="J781" s="1">
        <v>830.37149999999997</v>
      </c>
      <c r="K781" s="3" t="s">
        <v>305</v>
      </c>
      <c r="L781" s="2">
        <v>0.85555555555555551</v>
      </c>
      <c r="M781" t="s">
        <v>23</v>
      </c>
      <c r="N781" s="1">
        <v>790.83</v>
      </c>
      <c r="O781" s="1">
        <v>4.7619047620000003</v>
      </c>
      <c r="P781" s="1">
        <v>39.541499999999999</v>
      </c>
      <c r="Q781">
        <v>5.6</v>
      </c>
      <c r="R781" s="13">
        <v>43496</v>
      </c>
      <c r="S781">
        <f t="shared" si="48"/>
        <v>1</v>
      </c>
      <c r="T781">
        <f t="shared" si="49"/>
        <v>20</v>
      </c>
      <c r="U781">
        <f t="shared" si="50"/>
        <v>31</v>
      </c>
      <c r="V781" s="13" t="str">
        <f t="shared" si="51"/>
        <v>Thursday</v>
      </c>
    </row>
    <row r="782" spans="1:22" x14ac:dyDescent="0.25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 s="1">
        <v>21.8</v>
      </c>
      <c r="H782">
        <v>8</v>
      </c>
      <c r="I782" s="1">
        <v>8.7200000000000006</v>
      </c>
      <c r="J782" s="1">
        <v>183.12</v>
      </c>
      <c r="K782" s="3" t="s">
        <v>453</v>
      </c>
      <c r="L782" s="2">
        <v>0.80833333333333335</v>
      </c>
      <c r="M782" t="s">
        <v>29</v>
      </c>
      <c r="N782" s="1">
        <v>174.4</v>
      </c>
      <c r="O782" s="1">
        <v>4.7619047620000003</v>
      </c>
      <c r="P782" s="1">
        <v>8.7200000000000006</v>
      </c>
      <c r="Q782">
        <v>8.3000000000000007</v>
      </c>
      <c r="R782" s="13">
        <v>43515</v>
      </c>
      <c r="S782">
        <f t="shared" si="48"/>
        <v>2</v>
      </c>
      <c r="T782">
        <f t="shared" si="49"/>
        <v>19</v>
      </c>
      <c r="U782">
        <f t="shared" si="50"/>
        <v>19</v>
      </c>
      <c r="V782" s="13" t="str">
        <f t="shared" si="51"/>
        <v>Tuesday</v>
      </c>
    </row>
    <row r="783" spans="1:22" x14ac:dyDescent="0.25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 s="1">
        <v>94.76</v>
      </c>
      <c r="H783">
        <v>4</v>
      </c>
      <c r="I783" s="1">
        <v>18.952000000000002</v>
      </c>
      <c r="J783" s="1">
        <v>397.99200000000002</v>
      </c>
      <c r="K783" s="3">
        <v>43771</v>
      </c>
      <c r="L783" s="2">
        <v>0.67083333333333328</v>
      </c>
      <c r="M783" t="s">
        <v>23</v>
      </c>
      <c r="N783" s="1">
        <v>379.04</v>
      </c>
      <c r="O783" s="1">
        <v>4.7619047620000003</v>
      </c>
      <c r="P783" s="1">
        <v>18.952000000000002</v>
      </c>
      <c r="Q783">
        <v>7.8</v>
      </c>
      <c r="R783" s="13">
        <v>43507</v>
      </c>
      <c r="S783">
        <f t="shared" si="48"/>
        <v>2</v>
      </c>
      <c r="T783">
        <f t="shared" si="49"/>
        <v>16</v>
      </c>
      <c r="U783">
        <f t="shared" si="50"/>
        <v>11</v>
      </c>
      <c r="V783" s="13" t="str">
        <f t="shared" si="51"/>
        <v>Monday</v>
      </c>
    </row>
    <row r="784" spans="1:22" x14ac:dyDescent="0.25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 s="1">
        <v>30.62</v>
      </c>
      <c r="H784">
        <v>1</v>
      </c>
      <c r="I784" s="1">
        <v>1.5309999999999999</v>
      </c>
      <c r="J784" s="1">
        <v>32.151000000000003</v>
      </c>
      <c r="K784" s="3">
        <v>43587</v>
      </c>
      <c r="L784" s="2">
        <v>0.59305555555555556</v>
      </c>
      <c r="M784" t="s">
        <v>33</v>
      </c>
      <c r="N784" s="1">
        <v>30.62</v>
      </c>
      <c r="O784" s="1">
        <v>4.7619047620000003</v>
      </c>
      <c r="P784" s="1">
        <v>1.5309999999999999</v>
      </c>
      <c r="Q784">
        <v>4.0999999999999996</v>
      </c>
      <c r="R784" s="13">
        <v>43501</v>
      </c>
      <c r="S784">
        <f t="shared" si="48"/>
        <v>2</v>
      </c>
      <c r="T784">
        <f t="shared" si="49"/>
        <v>14</v>
      </c>
      <c r="U784">
        <f t="shared" si="50"/>
        <v>5</v>
      </c>
      <c r="V784" s="13" t="str">
        <f t="shared" si="51"/>
        <v>Tuesday</v>
      </c>
    </row>
    <row r="785" spans="1:22" x14ac:dyDescent="0.25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 s="1">
        <v>44.01</v>
      </c>
      <c r="H785">
        <v>8</v>
      </c>
      <c r="I785" s="1">
        <v>17.603999999999999</v>
      </c>
      <c r="J785" s="1">
        <v>369.68400000000003</v>
      </c>
      <c r="K785" s="3">
        <v>43527</v>
      </c>
      <c r="L785" s="2">
        <v>0.73333333333333328</v>
      </c>
      <c r="M785" t="s">
        <v>29</v>
      </c>
      <c r="N785" s="1">
        <v>352.08</v>
      </c>
      <c r="O785" s="1">
        <v>4.7619047620000003</v>
      </c>
      <c r="P785" s="1">
        <v>17.603999999999999</v>
      </c>
      <c r="Q785">
        <v>8.8000000000000007</v>
      </c>
      <c r="R785" s="13">
        <v>43527</v>
      </c>
      <c r="S785">
        <f t="shared" si="48"/>
        <v>3</v>
      </c>
      <c r="T785">
        <f t="shared" si="49"/>
        <v>17</v>
      </c>
      <c r="U785">
        <f t="shared" si="50"/>
        <v>3</v>
      </c>
      <c r="V785" s="13" t="str">
        <f t="shared" si="51"/>
        <v>Sunday</v>
      </c>
    </row>
    <row r="786" spans="1:22" x14ac:dyDescent="0.25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 s="1">
        <v>10.16</v>
      </c>
      <c r="H786">
        <v>5</v>
      </c>
      <c r="I786" s="1">
        <v>2.54</v>
      </c>
      <c r="J786" s="1">
        <v>53.34</v>
      </c>
      <c r="K786" s="3" t="s">
        <v>43</v>
      </c>
      <c r="L786" s="2">
        <v>0.54722222222222228</v>
      </c>
      <c r="M786" t="s">
        <v>23</v>
      </c>
      <c r="N786" s="1">
        <v>50.8</v>
      </c>
      <c r="O786" s="1">
        <v>4.7619047620000003</v>
      </c>
      <c r="P786" s="1">
        <v>2.54</v>
      </c>
      <c r="Q786">
        <v>4.0999999999999996</v>
      </c>
      <c r="R786" s="13">
        <v>43520</v>
      </c>
      <c r="S786">
        <f t="shared" si="48"/>
        <v>2</v>
      </c>
      <c r="T786">
        <f t="shared" si="49"/>
        <v>13</v>
      </c>
      <c r="U786">
        <f t="shared" si="50"/>
        <v>24</v>
      </c>
      <c r="V786" s="13" t="str">
        <f t="shared" si="51"/>
        <v>Sunday</v>
      </c>
    </row>
    <row r="787" spans="1:22" x14ac:dyDescent="0.25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 s="1">
        <v>74.58</v>
      </c>
      <c r="H787">
        <v>7</v>
      </c>
      <c r="I787" s="1">
        <v>26.103000000000002</v>
      </c>
      <c r="J787" s="1">
        <v>548.16300000000001</v>
      </c>
      <c r="K787" s="3">
        <v>43557</v>
      </c>
      <c r="L787" s="2">
        <v>0.67291666666666672</v>
      </c>
      <c r="M787" t="s">
        <v>33</v>
      </c>
      <c r="N787" s="1">
        <v>522.05999999999995</v>
      </c>
      <c r="O787" s="1">
        <v>4.7619047620000003</v>
      </c>
      <c r="P787" s="1">
        <v>26.103000000000002</v>
      </c>
      <c r="Q787">
        <v>9</v>
      </c>
      <c r="R787" s="13">
        <v>43500</v>
      </c>
      <c r="S787">
        <f t="shared" si="48"/>
        <v>2</v>
      </c>
      <c r="T787">
        <f t="shared" si="49"/>
        <v>16</v>
      </c>
      <c r="U787">
        <f t="shared" si="50"/>
        <v>4</v>
      </c>
      <c r="V787" s="13" t="str">
        <f t="shared" si="51"/>
        <v>Monday</v>
      </c>
    </row>
    <row r="788" spans="1:22" x14ac:dyDescent="0.25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 s="1">
        <v>71.89</v>
      </c>
      <c r="H788">
        <v>8</v>
      </c>
      <c r="I788" s="1">
        <v>28.756</v>
      </c>
      <c r="J788" s="1">
        <v>603.87599999999998</v>
      </c>
      <c r="K788" s="3" t="s">
        <v>453</v>
      </c>
      <c r="L788" s="2">
        <v>0.48125000000000001</v>
      </c>
      <c r="M788" t="s">
        <v>23</v>
      </c>
      <c r="N788" s="1">
        <v>575.12</v>
      </c>
      <c r="O788" s="1">
        <v>4.7619047620000003</v>
      </c>
      <c r="P788" s="1">
        <v>28.756</v>
      </c>
      <c r="Q788">
        <v>5.5</v>
      </c>
      <c r="R788" s="13">
        <v>43515</v>
      </c>
      <c r="S788">
        <f t="shared" si="48"/>
        <v>2</v>
      </c>
      <c r="T788">
        <f t="shared" si="49"/>
        <v>11</v>
      </c>
      <c r="U788">
        <f t="shared" si="50"/>
        <v>19</v>
      </c>
      <c r="V788" s="13" t="str">
        <f t="shared" si="51"/>
        <v>Tuesday</v>
      </c>
    </row>
    <row r="789" spans="1:22" x14ac:dyDescent="0.25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 s="1">
        <v>10.99</v>
      </c>
      <c r="H789">
        <v>5</v>
      </c>
      <c r="I789" s="1">
        <v>2.7475000000000001</v>
      </c>
      <c r="J789" s="1">
        <v>57.697499999999998</v>
      </c>
      <c r="K789" s="3" t="s">
        <v>147</v>
      </c>
      <c r="L789" s="2">
        <v>0.42916666666666664</v>
      </c>
      <c r="M789" t="s">
        <v>33</v>
      </c>
      <c r="N789" s="1">
        <v>54.95</v>
      </c>
      <c r="O789" s="1">
        <v>4.7619047620000003</v>
      </c>
      <c r="P789" s="1">
        <v>2.7475000000000001</v>
      </c>
      <c r="Q789">
        <v>9.3000000000000007</v>
      </c>
      <c r="R789" s="13">
        <v>43488</v>
      </c>
      <c r="S789">
        <f t="shared" si="48"/>
        <v>1</v>
      </c>
      <c r="T789">
        <f t="shared" si="49"/>
        <v>10</v>
      </c>
      <c r="U789">
        <f t="shared" si="50"/>
        <v>23</v>
      </c>
      <c r="V789" s="13" t="str">
        <f t="shared" si="51"/>
        <v>Wednesday</v>
      </c>
    </row>
    <row r="790" spans="1:22" x14ac:dyDescent="0.25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 s="1">
        <v>60.47</v>
      </c>
      <c r="H790">
        <v>3</v>
      </c>
      <c r="I790" s="1">
        <v>9.0704999999999991</v>
      </c>
      <c r="J790" s="1">
        <v>190.48050000000001</v>
      </c>
      <c r="K790" s="3" t="s">
        <v>283</v>
      </c>
      <c r="L790" s="2">
        <v>0.4548611111111111</v>
      </c>
      <c r="M790" t="s">
        <v>33</v>
      </c>
      <c r="N790" s="1">
        <v>181.41</v>
      </c>
      <c r="O790" s="1">
        <v>4.7619047620000003</v>
      </c>
      <c r="P790" s="1">
        <v>9.0704999999999991</v>
      </c>
      <c r="Q790">
        <v>5.6</v>
      </c>
      <c r="R790" s="13">
        <v>43479</v>
      </c>
      <c r="S790">
        <f t="shared" si="48"/>
        <v>1</v>
      </c>
      <c r="T790">
        <f t="shared" si="49"/>
        <v>10</v>
      </c>
      <c r="U790">
        <f t="shared" si="50"/>
        <v>14</v>
      </c>
      <c r="V790" s="13" t="str">
        <f t="shared" si="51"/>
        <v>Monday</v>
      </c>
    </row>
    <row r="791" spans="1:22" x14ac:dyDescent="0.25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 s="1">
        <v>58.91</v>
      </c>
      <c r="H791">
        <v>7</v>
      </c>
      <c r="I791" s="1">
        <v>20.618500000000001</v>
      </c>
      <c r="J791" s="1">
        <v>432.98849999999999</v>
      </c>
      <c r="K791" s="3" t="s">
        <v>91</v>
      </c>
      <c r="L791" s="2">
        <v>0.63541666666666663</v>
      </c>
      <c r="M791" t="s">
        <v>23</v>
      </c>
      <c r="N791" s="1">
        <v>412.37</v>
      </c>
      <c r="O791" s="1">
        <v>4.7619047620000003</v>
      </c>
      <c r="P791" s="1">
        <v>20.618500000000001</v>
      </c>
      <c r="Q791">
        <v>9.6999999999999993</v>
      </c>
      <c r="R791" s="13">
        <v>43482</v>
      </c>
      <c r="S791">
        <f t="shared" si="48"/>
        <v>1</v>
      </c>
      <c r="T791">
        <f t="shared" si="49"/>
        <v>15</v>
      </c>
      <c r="U791">
        <f t="shared" si="50"/>
        <v>17</v>
      </c>
      <c r="V791" s="13" t="str">
        <f t="shared" si="51"/>
        <v>Thursday</v>
      </c>
    </row>
    <row r="792" spans="1:22" x14ac:dyDescent="0.25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 s="1">
        <v>46.41</v>
      </c>
      <c r="H792">
        <v>1</v>
      </c>
      <c r="I792" s="1">
        <v>2.3205</v>
      </c>
      <c r="J792" s="1">
        <v>48.730499999999999</v>
      </c>
      <c r="K792" s="3">
        <v>43527</v>
      </c>
      <c r="L792" s="2">
        <v>0.83750000000000002</v>
      </c>
      <c r="M792" t="s">
        <v>33</v>
      </c>
      <c r="N792" s="1">
        <v>46.41</v>
      </c>
      <c r="O792" s="1">
        <v>4.7619047620000003</v>
      </c>
      <c r="P792" s="1">
        <v>2.3205</v>
      </c>
      <c r="Q792">
        <v>4</v>
      </c>
      <c r="R792" s="13">
        <v>43527</v>
      </c>
      <c r="S792">
        <f t="shared" si="48"/>
        <v>3</v>
      </c>
      <c r="T792">
        <f t="shared" si="49"/>
        <v>20</v>
      </c>
      <c r="U792">
        <f t="shared" si="50"/>
        <v>3</v>
      </c>
      <c r="V792" s="13" t="str">
        <f t="shared" si="51"/>
        <v>Sunday</v>
      </c>
    </row>
    <row r="793" spans="1:22" x14ac:dyDescent="0.25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 s="1">
        <v>68.55</v>
      </c>
      <c r="H793">
        <v>4</v>
      </c>
      <c r="I793" s="1">
        <v>13.71</v>
      </c>
      <c r="J793" s="1">
        <v>287.91000000000003</v>
      </c>
      <c r="K793" s="3" t="s">
        <v>118</v>
      </c>
      <c r="L793" s="2">
        <v>0.84791666666666665</v>
      </c>
      <c r="M793" t="s">
        <v>33</v>
      </c>
      <c r="N793" s="1">
        <v>274.2</v>
      </c>
      <c r="O793" s="1">
        <v>4.7619047620000003</v>
      </c>
      <c r="P793" s="1">
        <v>13.71</v>
      </c>
      <c r="Q793">
        <v>9.1999999999999993</v>
      </c>
      <c r="R793" s="13">
        <v>43511</v>
      </c>
      <c r="S793">
        <f t="shared" si="48"/>
        <v>2</v>
      </c>
      <c r="T793">
        <f t="shared" si="49"/>
        <v>20</v>
      </c>
      <c r="U793">
        <f t="shared" si="50"/>
        <v>15</v>
      </c>
      <c r="V793" s="13" t="str">
        <f t="shared" si="51"/>
        <v>Friday</v>
      </c>
    </row>
    <row r="794" spans="1:22" x14ac:dyDescent="0.25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 s="1">
        <v>97.37</v>
      </c>
      <c r="H794">
        <v>10</v>
      </c>
      <c r="I794" s="1">
        <v>48.685000000000002</v>
      </c>
      <c r="J794" s="1">
        <v>1022.385</v>
      </c>
      <c r="K794" s="3" t="s">
        <v>58</v>
      </c>
      <c r="L794" s="2">
        <v>0.57499999999999996</v>
      </c>
      <c r="M794" t="s">
        <v>33</v>
      </c>
      <c r="N794" s="1">
        <v>973.7</v>
      </c>
      <c r="O794" s="1">
        <v>4.7619047620000003</v>
      </c>
      <c r="P794" s="1">
        <v>48.685000000000002</v>
      </c>
      <c r="Q794">
        <v>4.9000000000000004</v>
      </c>
      <c r="R794" s="13">
        <v>43480</v>
      </c>
      <c r="S794">
        <f t="shared" si="48"/>
        <v>1</v>
      </c>
      <c r="T794">
        <f t="shared" si="49"/>
        <v>13</v>
      </c>
      <c r="U794">
        <f t="shared" si="50"/>
        <v>15</v>
      </c>
      <c r="V794" s="13" t="str">
        <f t="shared" si="51"/>
        <v>Tuesday</v>
      </c>
    </row>
    <row r="795" spans="1:22" x14ac:dyDescent="0.25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 s="1">
        <v>92.6</v>
      </c>
      <c r="H795">
        <v>7</v>
      </c>
      <c r="I795" s="1">
        <v>32.409999999999997</v>
      </c>
      <c r="J795" s="1">
        <v>680.61</v>
      </c>
      <c r="K795" s="3" t="s">
        <v>99</v>
      </c>
      <c r="L795" s="2">
        <v>0.53611111111111109</v>
      </c>
      <c r="M795" t="s">
        <v>33</v>
      </c>
      <c r="N795" s="1">
        <v>648.20000000000005</v>
      </c>
      <c r="O795" s="1">
        <v>4.7619047620000003</v>
      </c>
      <c r="P795" s="1">
        <v>32.409999999999997</v>
      </c>
      <c r="Q795">
        <v>9.3000000000000007</v>
      </c>
      <c r="R795" s="13">
        <v>43523</v>
      </c>
      <c r="S795">
        <f t="shared" si="48"/>
        <v>2</v>
      </c>
      <c r="T795">
        <f t="shared" si="49"/>
        <v>12</v>
      </c>
      <c r="U795">
        <f t="shared" si="50"/>
        <v>27</v>
      </c>
      <c r="V795" s="13" t="str">
        <f t="shared" si="51"/>
        <v>Wednesday</v>
      </c>
    </row>
    <row r="796" spans="1:22" x14ac:dyDescent="0.25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 s="1">
        <v>46.61</v>
      </c>
      <c r="H796">
        <v>2</v>
      </c>
      <c r="I796" s="1">
        <v>4.6609999999999996</v>
      </c>
      <c r="J796" s="1">
        <v>97.881</v>
      </c>
      <c r="K796" s="3" t="s">
        <v>314</v>
      </c>
      <c r="L796" s="2">
        <v>0.51944444444444449</v>
      </c>
      <c r="M796" t="s">
        <v>33</v>
      </c>
      <c r="N796" s="1">
        <v>93.22</v>
      </c>
      <c r="O796" s="1">
        <v>4.7619047620000003</v>
      </c>
      <c r="P796" s="1">
        <v>4.6609999999999996</v>
      </c>
      <c r="Q796">
        <v>6.6</v>
      </c>
      <c r="R796" s="13">
        <v>43522</v>
      </c>
      <c r="S796">
        <f t="shared" si="48"/>
        <v>2</v>
      </c>
      <c r="T796">
        <f t="shared" si="49"/>
        <v>12</v>
      </c>
      <c r="U796">
        <f t="shared" si="50"/>
        <v>26</v>
      </c>
      <c r="V796" s="13" t="str">
        <f t="shared" si="51"/>
        <v>Tuesday</v>
      </c>
    </row>
    <row r="797" spans="1:22" x14ac:dyDescent="0.25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 s="1">
        <v>27.18</v>
      </c>
      <c r="H797">
        <v>2</v>
      </c>
      <c r="I797" s="1">
        <v>2.718</v>
      </c>
      <c r="J797" s="1">
        <v>57.078000000000003</v>
      </c>
      <c r="K797" s="3" t="s">
        <v>67</v>
      </c>
      <c r="L797" s="2">
        <v>0.68472222222222223</v>
      </c>
      <c r="M797" t="s">
        <v>23</v>
      </c>
      <c r="N797" s="1">
        <v>54.36</v>
      </c>
      <c r="O797" s="1">
        <v>4.7619047620000003</v>
      </c>
      <c r="P797" s="1">
        <v>2.718</v>
      </c>
      <c r="Q797">
        <v>4.3</v>
      </c>
      <c r="R797" s="13">
        <v>43539</v>
      </c>
      <c r="S797">
        <f t="shared" si="48"/>
        <v>3</v>
      </c>
      <c r="T797">
        <f t="shared" si="49"/>
        <v>16</v>
      </c>
      <c r="U797">
        <f t="shared" si="50"/>
        <v>15</v>
      </c>
      <c r="V797" s="13" t="str">
        <f t="shared" si="51"/>
        <v>Friday</v>
      </c>
    </row>
    <row r="798" spans="1:22" x14ac:dyDescent="0.25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 s="1">
        <v>60.87</v>
      </c>
      <c r="H798">
        <v>1</v>
      </c>
      <c r="I798" s="1">
        <v>3.0434999999999999</v>
      </c>
      <c r="J798" s="1">
        <v>63.913499999999999</v>
      </c>
      <c r="K798" s="3" t="s">
        <v>129</v>
      </c>
      <c r="L798" s="2">
        <v>0.55833333333333335</v>
      </c>
      <c r="M798" t="s">
        <v>29</v>
      </c>
      <c r="N798" s="1">
        <v>60.87</v>
      </c>
      <c r="O798" s="1">
        <v>4.7619047620000003</v>
      </c>
      <c r="P798" s="1">
        <v>3.0434999999999999</v>
      </c>
      <c r="Q798">
        <v>5.5</v>
      </c>
      <c r="R798" s="13">
        <v>43489</v>
      </c>
      <c r="S798">
        <f t="shared" si="48"/>
        <v>1</v>
      </c>
      <c r="T798">
        <f t="shared" si="49"/>
        <v>13</v>
      </c>
      <c r="U798">
        <f t="shared" si="50"/>
        <v>24</v>
      </c>
      <c r="V798" s="13" t="str">
        <f t="shared" si="51"/>
        <v>Thursday</v>
      </c>
    </row>
    <row r="799" spans="1:22" x14ac:dyDescent="0.25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 s="1">
        <v>24.49</v>
      </c>
      <c r="H799">
        <v>10</v>
      </c>
      <c r="I799" s="1">
        <v>12.244999999999999</v>
      </c>
      <c r="J799" s="1">
        <v>257.14499999999998</v>
      </c>
      <c r="K799" s="3" t="s">
        <v>218</v>
      </c>
      <c r="L799" s="2">
        <v>0.63541666666666663</v>
      </c>
      <c r="M799" t="s">
        <v>29</v>
      </c>
      <c r="N799" s="1">
        <v>244.9</v>
      </c>
      <c r="O799" s="1">
        <v>4.7619047620000003</v>
      </c>
      <c r="P799" s="1">
        <v>12.244999999999999</v>
      </c>
      <c r="Q799">
        <v>8.1</v>
      </c>
      <c r="R799" s="13">
        <v>43518</v>
      </c>
      <c r="S799">
        <f t="shared" si="48"/>
        <v>2</v>
      </c>
      <c r="T799">
        <f t="shared" si="49"/>
        <v>15</v>
      </c>
      <c r="U799">
        <f t="shared" si="50"/>
        <v>22</v>
      </c>
      <c r="V799" s="13" t="str">
        <f t="shared" si="51"/>
        <v>Friday</v>
      </c>
    </row>
    <row r="800" spans="1:22" x14ac:dyDescent="0.25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 s="1">
        <v>92.78</v>
      </c>
      <c r="H800">
        <v>1</v>
      </c>
      <c r="I800" s="1">
        <v>4.6390000000000002</v>
      </c>
      <c r="J800" s="1">
        <v>97.418999999999997</v>
      </c>
      <c r="K800" s="3" t="s">
        <v>67</v>
      </c>
      <c r="L800" s="2">
        <v>0.4513888888888889</v>
      </c>
      <c r="M800" t="s">
        <v>33</v>
      </c>
      <c r="N800" s="1">
        <v>92.78</v>
      </c>
      <c r="O800" s="1">
        <v>4.7619047620000003</v>
      </c>
      <c r="P800" s="1">
        <v>4.6390000000000002</v>
      </c>
      <c r="Q800">
        <v>9.8000000000000007</v>
      </c>
      <c r="R800" s="13">
        <v>43539</v>
      </c>
      <c r="S800">
        <f t="shared" si="48"/>
        <v>3</v>
      </c>
      <c r="T800">
        <f t="shared" si="49"/>
        <v>10</v>
      </c>
      <c r="U800">
        <f t="shared" si="50"/>
        <v>15</v>
      </c>
      <c r="V800" s="13" t="str">
        <f t="shared" si="51"/>
        <v>Friday</v>
      </c>
    </row>
    <row r="801" spans="1:22" x14ac:dyDescent="0.25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 s="1">
        <v>86.69</v>
      </c>
      <c r="H801">
        <v>5</v>
      </c>
      <c r="I801" s="1">
        <v>21.672499999999999</v>
      </c>
      <c r="J801" s="1">
        <v>455.1225</v>
      </c>
      <c r="K801" s="3">
        <v>43771</v>
      </c>
      <c r="L801" s="2">
        <v>0.77638888888888891</v>
      </c>
      <c r="M801" t="s">
        <v>23</v>
      </c>
      <c r="N801" s="1">
        <v>433.45</v>
      </c>
      <c r="O801" s="1">
        <v>4.7619047620000003</v>
      </c>
      <c r="P801" s="1">
        <v>21.672499999999999</v>
      </c>
      <c r="Q801">
        <v>9.4</v>
      </c>
      <c r="R801" s="13">
        <v>43507</v>
      </c>
      <c r="S801">
        <f t="shared" si="48"/>
        <v>2</v>
      </c>
      <c r="T801">
        <f t="shared" si="49"/>
        <v>18</v>
      </c>
      <c r="U801">
        <f t="shared" si="50"/>
        <v>11</v>
      </c>
      <c r="V801" s="13" t="str">
        <f t="shared" si="51"/>
        <v>Monday</v>
      </c>
    </row>
    <row r="802" spans="1:22" x14ac:dyDescent="0.25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 s="1">
        <v>23.01</v>
      </c>
      <c r="H802">
        <v>6</v>
      </c>
      <c r="I802" s="1">
        <v>6.9029999999999996</v>
      </c>
      <c r="J802" s="1">
        <v>144.96299999999999</v>
      </c>
      <c r="K802" s="3">
        <v>43800</v>
      </c>
      <c r="L802" s="2">
        <v>0.69791666666666663</v>
      </c>
      <c r="M802" t="s">
        <v>23</v>
      </c>
      <c r="N802" s="1">
        <v>138.06</v>
      </c>
      <c r="O802" s="1">
        <v>4.7619047620000003</v>
      </c>
      <c r="P802" s="1">
        <v>6.9029999999999996</v>
      </c>
      <c r="Q802">
        <v>7.9</v>
      </c>
      <c r="R802" s="13">
        <v>43477</v>
      </c>
      <c r="S802">
        <f t="shared" si="48"/>
        <v>1</v>
      </c>
      <c r="T802">
        <f t="shared" si="49"/>
        <v>16</v>
      </c>
      <c r="U802">
        <f t="shared" si="50"/>
        <v>12</v>
      </c>
      <c r="V802" s="13" t="str">
        <f t="shared" si="51"/>
        <v>Saturday</v>
      </c>
    </row>
    <row r="803" spans="1:22" x14ac:dyDescent="0.25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 s="1">
        <v>30.2</v>
      </c>
      <c r="H803">
        <v>8</v>
      </c>
      <c r="I803" s="1">
        <v>12.08</v>
      </c>
      <c r="J803" s="1">
        <v>253.68</v>
      </c>
      <c r="K803" s="3">
        <v>43527</v>
      </c>
      <c r="L803" s="2">
        <v>0.8125</v>
      </c>
      <c r="M803" t="s">
        <v>23</v>
      </c>
      <c r="N803" s="1">
        <v>241.6</v>
      </c>
      <c r="O803" s="1">
        <v>4.7619047620000003</v>
      </c>
      <c r="P803" s="1">
        <v>12.08</v>
      </c>
      <c r="Q803">
        <v>5.0999999999999996</v>
      </c>
      <c r="R803" s="13">
        <v>43527</v>
      </c>
      <c r="S803">
        <f t="shared" si="48"/>
        <v>3</v>
      </c>
      <c r="T803">
        <f t="shared" si="49"/>
        <v>19</v>
      </c>
      <c r="U803">
        <f t="shared" si="50"/>
        <v>3</v>
      </c>
      <c r="V803" s="13" t="str">
        <f t="shared" si="51"/>
        <v>Sunday</v>
      </c>
    </row>
    <row r="804" spans="1:22" x14ac:dyDescent="0.25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 s="1">
        <v>67.39</v>
      </c>
      <c r="H804">
        <v>7</v>
      </c>
      <c r="I804" s="1">
        <v>23.586500000000001</v>
      </c>
      <c r="J804" s="1">
        <v>495.31650000000002</v>
      </c>
      <c r="K804" s="3" t="s">
        <v>88</v>
      </c>
      <c r="L804" s="2">
        <v>0.55763888888888891</v>
      </c>
      <c r="M804" t="s">
        <v>23</v>
      </c>
      <c r="N804" s="1">
        <v>471.73</v>
      </c>
      <c r="O804" s="1">
        <v>4.7619047620000003</v>
      </c>
      <c r="P804" s="1">
        <v>23.586500000000001</v>
      </c>
      <c r="Q804">
        <v>6.9</v>
      </c>
      <c r="R804" s="13">
        <v>43547</v>
      </c>
      <c r="S804">
        <f t="shared" si="48"/>
        <v>3</v>
      </c>
      <c r="T804">
        <f t="shared" si="49"/>
        <v>13</v>
      </c>
      <c r="U804">
        <f t="shared" si="50"/>
        <v>23</v>
      </c>
      <c r="V804" s="13" t="str">
        <f t="shared" si="51"/>
        <v>Saturday</v>
      </c>
    </row>
    <row r="805" spans="1:22" x14ac:dyDescent="0.25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 s="1">
        <v>48.96</v>
      </c>
      <c r="H805">
        <v>9</v>
      </c>
      <c r="I805" s="1">
        <v>22.032</v>
      </c>
      <c r="J805" s="1">
        <v>462.67200000000003</v>
      </c>
      <c r="K805" s="3">
        <v>43558</v>
      </c>
      <c r="L805" s="2">
        <v>0.47708333333333336</v>
      </c>
      <c r="M805" t="s">
        <v>29</v>
      </c>
      <c r="N805" s="1">
        <v>440.64</v>
      </c>
      <c r="O805" s="1">
        <v>4.7619047620000003</v>
      </c>
      <c r="P805" s="1">
        <v>22.032</v>
      </c>
      <c r="Q805">
        <v>8</v>
      </c>
      <c r="R805" s="13">
        <v>43528</v>
      </c>
      <c r="S805">
        <f t="shared" si="48"/>
        <v>3</v>
      </c>
      <c r="T805">
        <f t="shared" si="49"/>
        <v>11</v>
      </c>
      <c r="U805">
        <f t="shared" si="50"/>
        <v>4</v>
      </c>
      <c r="V805" s="13" t="str">
        <f t="shared" si="51"/>
        <v>Monday</v>
      </c>
    </row>
    <row r="806" spans="1:22" x14ac:dyDescent="0.25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 s="1">
        <v>75.59</v>
      </c>
      <c r="H806">
        <v>9</v>
      </c>
      <c r="I806" s="1">
        <v>34.015500000000003</v>
      </c>
      <c r="J806" s="1">
        <v>714.32550000000003</v>
      </c>
      <c r="K806" s="3" t="s">
        <v>149</v>
      </c>
      <c r="L806" s="2">
        <v>0.46666666666666667</v>
      </c>
      <c r="M806" t="s">
        <v>29</v>
      </c>
      <c r="N806" s="1">
        <v>680.31</v>
      </c>
      <c r="O806" s="1">
        <v>4.7619047620000003</v>
      </c>
      <c r="P806" s="1">
        <v>34.015500000000003</v>
      </c>
      <c r="Q806">
        <v>8</v>
      </c>
      <c r="R806" s="13">
        <v>43519</v>
      </c>
      <c r="S806">
        <f t="shared" si="48"/>
        <v>2</v>
      </c>
      <c r="T806">
        <f t="shared" si="49"/>
        <v>11</v>
      </c>
      <c r="U806">
        <f t="shared" si="50"/>
        <v>23</v>
      </c>
      <c r="V806" s="13" t="str">
        <f t="shared" si="51"/>
        <v>Saturday</v>
      </c>
    </row>
    <row r="807" spans="1:22" x14ac:dyDescent="0.25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 s="1">
        <v>77.47</v>
      </c>
      <c r="H807">
        <v>4</v>
      </c>
      <c r="I807" s="1">
        <v>15.494</v>
      </c>
      <c r="J807" s="1">
        <v>325.37400000000002</v>
      </c>
      <c r="K807" s="3" t="s">
        <v>338</v>
      </c>
      <c r="L807" s="2">
        <v>0.69166666666666665</v>
      </c>
      <c r="M807" t="s">
        <v>29</v>
      </c>
      <c r="N807" s="1">
        <v>309.88</v>
      </c>
      <c r="O807" s="1">
        <v>4.7619047620000003</v>
      </c>
      <c r="P807" s="1">
        <v>15.494</v>
      </c>
      <c r="Q807">
        <v>4.2</v>
      </c>
      <c r="R807" s="13">
        <v>43541</v>
      </c>
      <c r="S807">
        <f t="shared" si="48"/>
        <v>3</v>
      </c>
      <c r="T807">
        <f t="shared" si="49"/>
        <v>16</v>
      </c>
      <c r="U807">
        <f t="shared" si="50"/>
        <v>17</v>
      </c>
      <c r="V807" s="13" t="str">
        <f t="shared" si="51"/>
        <v>Sunday</v>
      </c>
    </row>
    <row r="808" spans="1:22" x14ac:dyDescent="0.25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 s="1">
        <v>93.18</v>
      </c>
      <c r="H808">
        <v>2</v>
      </c>
      <c r="I808" s="1">
        <v>9.3179999999999996</v>
      </c>
      <c r="J808" s="1">
        <v>195.678</v>
      </c>
      <c r="K808" s="3" t="s">
        <v>188</v>
      </c>
      <c r="L808" s="2">
        <v>0.77847222222222223</v>
      </c>
      <c r="M808" t="s">
        <v>33</v>
      </c>
      <c r="N808" s="1">
        <v>186.36</v>
      </c>
      <c r="O808" s="1">
        <v>4.7619047620000003</v>
      </c>
      <c r="P808" s="1">
        <v>9.3179999999999996</v>
      </c>
      <c r="Q808">
        <v>8.5</v>
      </c>
      <c r="R808" s="13">
        <v>43481</v>
      </c>
      <c r="S808">
        <f t="shared" si="48"/>
        <v>1</v>
      </c>
      <c r="T808">
        <f t="shared" si="49"/>
        <v>18</v>
      </c>
      <c r="U808">
        <f t="shared" si="50"/>
        <v>16</v>
      </c>
      <c r="V808" s="13" t="str">
        <f t="shared" si="51"/>
        <v>Wednesday</v>
      </c>
    </row>
    <row r="809" spans="1:22" x14ac:dyDescent="0.25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 s="1">
        <v>50.23</v>
      </c>
      <c r="H809">
        <v>4</v>
      </c>
      <c r="I809" s="1">
        <v>10.045999999999999</v>
      </c>
      <c r="J809" s="1">
        <v>210.96600000000001</v>
      </c>
      <c r="K809" s="3">
        <v>43678</v>
      </c>
      <c r="L809" s="2">
        <v>0.71666666666666667</v>
      </c>
      <c r="M809" t="s">
        <v>29</v>
      </c>
      <c r="N809" s="1">
        <v>200.92</v>
      </c>
      <c r="O809" s="1">
        <v>4.7619047620000003</v>
      </c>
      <c r="P809" s="1">
        <v>10.045999999999999</v>
      </c>
      <c r="Q809">
        <v>9</v>
      </c>
      <c r="R809" s="13">
        <v>43473</v>
      </c>
      <c r="S809">
        <f t="shared" si="48"/>
        <v>1</v>
      </c>
      <c r="T809">
        <f t="shared" si="49"/>
        <v>17</v>
      </c>
      <c r="U809">
        <f t="shared" si="50"/>
        <v>8</v>
      </c>
      <c r="V809" s="13" t="str">
        <f t="shared" si="51"/>
        <v>Tuesday</v>
      </c>
    </row>
    <row r="810" spans="1:22" x14ac:dyDescent="0.25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 s="1">
        <v>17.75</v>
      </c>
      <c r="H810">
        <v>1</v>
      </c>
      <c r="I810" s="1">
        <v>0.88749999999999996</v>
      </c>
      <c r="J810" s="1">
        <v>18.637499999999999</v>
      </c>
      <c r="K810" s="3" t="s">
        <v>283</v>
      </c>
      <c r="L810" s="2">
        <v>0.44305555555555554</v>
      </c>
      <c r="M810" t="s">
        <v>29</v>
      </c>
      <c r="N810" s="1">
        <v>17.75</v>
      </c>
      <c r="O810" s="1">
        <v>4.7619047620000003</v>
      </c>
      <c r="P810" s="1">
        <v>0.88749999999999996</v>
      </c>
      <c r="Q810">
        <v>8.6</v>
      </c>
      <c r="R810" s="13">
        <v>43479</v>
      </c>
      <c r="S810">
        <f t="shared" si="48"/>
        <v>1</v>
      </c>
      <c r="T810">
        <f t="shared" si="49"/>
        <v>10</v>
      </c>
      <c r="U810">
        <f t="shared" si="50"/>
        <v>14</v>
      </c>
      <c r="V810" s="13" t="str">
        <f t="shared" si="51"/>
        <v>Monday</v>
      </c>
    </row>
    <row r="811" spans="1:22" x14ac:dyDescent="0.25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 s="1">
        <v>62.18</v>
      </c>
      <c r="H811">
        <v>10</v>
      </c>
      <c r="I811" s="1">
        <v>31.09</v>
      </c>
      <c r="J811" s="1">
        <v>652.89</v>
      </c>
      <c r="K811" s="3" t="s">
        <v>305</v>
      </c>
      <c r="L811" s="2">
        <v>0.43958333333333333</v>
      </c>
      <c r="M811" t="s">
        <v>23</v>
      </c>
      <c r="N811" s="1">
        <v>621.79999999999995</v>
      </c>
      <c r="O811" s="1">
        <v>4.7619047620000003</v>
      </c>
      <c r="P811" s="1">
        <v>31.09</v>
      </c>
      <c r="Q811">
        <v>6</v>
      </c>
      <c r="R811" s="13">
        <v>43496</v>
      </c>
      <c r="S811">
        <f t="shared" si="48"/>
        <v>1</v>
      </c>
      <c r="T811">
        <f t="shared" si="49"/>
        <v>10</v>
      </c>
      <c r="U811">
        <f t="shared" si="50"/>
        <v>31</v>
      </c>
      <c r="V811" s="13" t="str">
        <f t="shared" si="51"/>
        <v>Thursday</v>
      </c>
    </row>
    <row r="812" spans="1:22" x14ac:dyDescent="0.25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 s="1">
        <v>10.75</v>
      </c>
      <c r="H812">
        <v>8</v>
      </c>
      <c r="I812" s="1">
        <v>4.3</v>
      </c>
      <c r="J812" s="1">
        <v>90.3</v>
      </c>
      <c r="K812" s="3" t="s">
        <v>67</v>
      </c>
      <c r="L812" s="2">
        <v>0.60972222222222228</v>
      </c>
      <c r="M812" t="s">
        <v>23</v>
      </c>
      <c r="N812" s="1">
        <v>86</v>
      </c>
      <c r="O812" s="1">
        <v>4.7619047620000003</v>
      </c>
      <c r="P812" s="1">
        <v>4.3</v>
      </c>
      <c r="Q812">
        <v>6.2</v>
      </c>
      <c r="R812" s="13">
        <v>43539</v>
      </c>
      <c r="S812">
        <f t="shared" si="48"/>
        <v>3</v>
      </c>
      <c r="T812">
        <f t="shared" si="49"/>
        <v>14</v>
      </c>
      <c r="U812">
        <f t="shared" si="50"/>
        <v>15</v>
      </c>
      <c r="V812" s="13" t="str">
        <f t="shared" si="51"/>
        <v>Friday</v>
      </c>
    </row>
    <row r="813" spans="1:22" x14ac:dyDescent="0.25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 s="1">
        <v>40.26</v>
      </c>
      <c r="H813">
        <v>10</v>
      </c>
      <c r="I813" s="1">
        <v>20.13</v>
      </c>
      <c r="J813" s="1">
        <v>422.73</v>
      </c>
      <c r="K813" s="3" t="s">
        <v>43</v>
      </c>
      <c r="L813" s="2">
        <v>0.75416666666666665</v>
      </c>
      <c r="M813" t="s">
        <v>33</v>
      </c>
      <c r="N813" s="1">
        <v>402.6</v>
      </c>
      <c r="O813" s="1">
        <v>4.7619047620000003</v>
      </c>
      <c r="P813" s="1">
        <v>20.13</v>
      </c>
      <c r="Q813">
        <v>5</v>
      </c>
      <c r="R813" s="13">
        <v>43520</v>
      </c>
      <c r="S813">
        <f t="shared" si="48"/>
        <v>2</v>
      </c>
      <c r="T813">
        <f t="shared" si="49"/>
        <v>18</v>
      </c>
      <c r="U813">
        <f t="shared" si="50"/>
        <v>24</v>
      </c>
      <c r="V813" s="13" t="str">
        <f t="shared" si="51"/>
        <v>Sunday</v>
      </c>
    </row>
    <row r="814" spans="1:22" x14ac:dyDescent="0.25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 s="1">
        <v>64.97</v>
      </c>
      <c r="H814">
        <v>5</v>
      </c>
      <c r="I814" s="1">
        <v>16.2425</v>
      </c>
      <c r="J814" s="1">
        <v>341.09249999999997</v>
      </c>
      <c r="K814" s="3">
        <v>43679</v>
      </c>
      <c r="L814" s="2">
        <v>0.53611111111111109</v>
      </c>
      <c r="M814" t="s">
        <v>33</v>
      </c>
      <c r="N814" s="1">
        <v>324.85000000000002</v>
      </c>
      <c r="O814" s="1">
        <v>4.7619047620000003</v>
      </c>
      <c r="P814" s="1">
        <v>16.2425</v>
      </c>
      <c r="Q814">
        <v>6.5</v>
      </c>
      <c r="R814" s="13">
        <v>43504</v>
      </c>
      <c r="S814">
        <f t="shared" si="48"/>
        <v>2</v>
      </c>
      <c r="T814">
        <f t="shared" si="49"/>
        <v>12</v>
      </c>
      <c r="U814">
        <f t="shared" si="50"/>
        <v>8</v>
      </c>
      <c r="V814" s="13" t="str">
        <f t="shared" si="51"/>
        <v>Friday</v>
      </c>
    </row>
    <row r="815" spans="1:22" x14ac:dyDescent="0.25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 s="1">
        <v>95.15</v>
      </c>
      <c r="H815">
        <v>1</v>
      </c>
      <c r="I815" s="1">
        <v>4.7575000000000003</v>
      </c>
      <c r="J815" s="1">
        <v>99.907499999999999</v>
      </c>
      <c r="K815" s="3" t="s">
        <v>72</v>
      </c>
      <c r="L815" s="2">
        <v>0.58333333333333337</v>
      </c>
      <c r="M815" t="s">
        <v>29</v>
      </c>
      <c r="N815" s="1">
        <v>95.15</v>
      </c>
      <c r="O815" s="1">
        <v>4.7619047620000003</v>
      </c>
      <c r="P815" s="1">
        <v>4.7575000000000003</v>
      </c>
      <c r="Q815">
        <v>6</v>
      </c>
      <c r="R815" s="13">
        <v>43546</v>
      </c>
      <c r="S815">
        <f t="shared" si="48"/>
        <v>3</v>
      </c>
      <c r="T815">
        <f t="shared" si="49"/>
        <v>14</v>
      </c>
      <c r="U815">
        <f t="shared" si="50"/>
        <v>22</v>
      </c>
      <c r="V815" s="13" t="str">
        <f t="shared" si="51"/>
        <v>Friday</v>
      </c>
    </row>
    <row r="816" spans="1:22" x14ac:dyDescent="0.25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 s="1">
        <v>48.62</v>
      </c>
      <c r="H816">
        <v>8</v>
      </c>
      <c r="I816" s="1">
        <v>19.448</v>
      </c>
      <c r="J816" s="1">
        <v>408.40800000000002</v>
      </c>
      <c r="K816" s="3" t="s">
        <v>129</v>
      </c>
      <c r="L816" s="2">
        <v>0.45624999999999999</v>
      </c>
      <c r="M816" t="s">
        <v>29</v>
      </c>
      <c r="N816" s="1">
        <v>388.96</v>
      </c>
      <c r="O816" s="1">
        <v>4.7619047620000003</v>
      </c>
      <c r="P816" s="1">
        <v>19.448</v>
      </c>
      <c r="Q816">
        <v>5</v>
      </c>
      <c r="R816" s="13">
        <v>43489</v>
      </c>
      <c r="S816">
        <f t="shared" si="48"/>
        <v>1</v>
      </c>
      <c r="T816">
        <f t="shared" si="49"/>
        <v>10</v>
      </c>
      <c r="U816">
        <f t="shared" si="50"/>
        <v>24</v>
      </c>
      <c r="V816" s="13" t="str">
        <f t="shared" si="51"/>
        <v>Thursday</v>
      </c>
    </row>
    <row r="817" spans="1:22" x14ac:dyDescent="0.25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 s="1">
        <v>53.21</v>
      </c>
      <c r="H817">
        <v>8</v>
      </c>
      <c r="I817" s="1">
        <v>21.283999999999999</v>
      </c>
      <c r="J817" s="1">
        <v>446.964</v>
      </c>
      <c r="K817" s="3" t="s">
        <v>354</v>
      </c>
      <c r="L817" s="2">
        <v>0.69791666666666663</v>
      </c>
      <c r="M817" t="s">
        <v>23</v>
      </c>
      <c r="N817" s="1">
        <v>425.68</v>
      </c>
      <c r="O817" s="1">
        <v>4.7619047620000003</v>
      </c>
      <c r="P817" s="1">
        <v>21.283999999999999</v>
      </c>
      <c r="Q817">
        <v>5</v>
      </c>
      <c r="R817" s="13">
        <v>43538</v>
      </c>
      <c r="S817">
        <f t="shared" si="48"/>
        <v>3</v>
      </c>
      <c r="T817">
        <f t="shared" si="49"/>
        <v>16</v>
      </c>
      <c r="U817">
        <f t="shared" si="50"/>
        <v>14</v>
      </c>
      <c r="V817" s="13" t="str">
        <f t="shared" si="51"/>
        <v>Thursday</v>
      </c>
    </row>
    <row r="818" spans="1:22" x14ac:dyDescent="0.25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 s="1">
        <v>45.44</v>
      </c>
      <c r="H818">
        <v>7</v>
      </c>
      <c r="I818" s="1">
        <v>15.904</v>
      </c>
      <c r="J818" s="1">
        <v>333.98399999999998</v>
      </c>
      <c r="K818" s="3" t="s">
        <v>147</v>
      </c>
      <c r="L818" s="2">
        <v>0.46875</v>
      </c>
      <c r="M818" t="s">
        <v>29</v>
      </c>
      <c r="N818" s="1">
        <v>318.08</v>
      </c>
      <c r="O818" s="1">
        <v>4.7619047620000003</v>
      </c>
      <c r="P818" s="1">
        <v>15.904</v>
      </c>
      <c r="Q818">
        <v>9.1999999999999993</v>
      </c>
      <c r="R818" s="13">
        <v>43488</v>
      </c>
      <c r="S818">
        <f t="shared" si="48"/>
        <v>1</v>
      </c>
      <c r="T818">
        <f t="shared" si="49"/>
        <v>11</v>
      </c>
      <c r="U818">
        <f t="shared" si="50"/>
        <v>23</v>
      </c>
      <c r="V818" s="13" t="str">
        <f t="shared" si="51"/>
        <v>Wednesday</v>
      </c>
    </row>
    <row r="819" spans="1:22" x14ac:dyDescent="0.25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 s="1">
        <v>33.880000000000003</v>
      </c>
      <c r="H819">
        <v>8</v>
      </c>
      <c r="I819" s="1">
        <v>13.552</v>
      </c>
      <c r="J819" s="1">
        <v>284.59199999999998</v>
      </c>
      <c r="K819" s="3" t="s">
        <v>183</v>
      </c>
      <c r="L819" s="2">
        <v>0.85347222222222219</v>
      </c>
      <c r="M819" t="s">
        <v>23</v>
      </c>
      <c r="N819" s="1">
        <v>271.04000000000002</v>
      </c>
      <c r="O819" s="1">
        <v>4.7619047620000003</v>
      </c>
      <c r="P819" s="1">
        <v>13.552</v>
      </c>
      <c r="Q819">
        <v>9.6</v>
      </c>
      <c r="R819" s="13">
        <v>43484</v>
      </c>
      <c r="S819">
        <f t="shared" si="48"/>
        <v>1</v>
      </c>
      <c r="T819">
        <f t="shared" si="49"/>
        <v>20</v>
      </c>
      <c r="U819">
        <f t="shared" si="50"/>
        <v>19</v>
      </c>
      <c r="V819" s="13" t="str">
        <f t="shared" si="51"/>
        <v>Saturday</v>
      </c>
    </row>
    <row r="820" spans="1:22" x14ac:dyDescent="0.25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 s="1">
        <v>96.16</v>
      </c>
      <c r="H820">
        <v>4</v>
      </c>
      <c r="I820" s="1">
        <v>19.231999999999999</v>
      </c>
      <c r="J820" s="1">
        <v>403.87200000000001</v>
      </c>
      <c r="K820" s="3" t="s">
        <v>35</v>
      </c>
      <c r="L820" s="2">
        <v>0.8354166666666667</v>
      </c>
      <c r="M820" t="s">
        <v>33</v>
      </c>
      <c r="N820" s="1">
        <v>384.64</v>
      </c>
      <c r="O820" s="1">
        <v>4.7619047620000003</v>
      </c>
      <c r="P820" s="1">
        <v>19.231999999999999</v>
      </c>
      <c r="Q820">
        <v>8.4</v>
      </c>
      <c r="R820" s="13">
        <v>43492</v>
      </c>
      <c r="S820">
        <f t="shared" si="48"/>
        <v>1</v>
      </c>
      <c r="T820">
        <f t="shared" si="49"/>
        <v>20</v>
      </c>
      <c r="U820">
        <f t="shared" si="50"/>
        <v>27</v>
      </c>
      <c r="V820" s="13" t="str">
        <f t="shared" si="51"/>
        <v>Sunday</v>
      </c>
    </row>
    <row r="821" spans="1:22" x14ac:dyDescent="0.25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 s="1">
        <v>47.16</v>
      </c>
      <c r="H821">
        <v>5</v>
      </c>
      <c r="I821" s="1">
        <v>11.79</v>
      </c>
      <c r="J821" s="1">
        <v>247.59</v>
      </c>
      <c r="K821" s="3">
        <v>43526</v>
      </c>
      <c r="L821" s="2">
        <v>0.60763888888888884</v>
      </c>
      <c r="M821" t="s">
        <v>33</v>
      </c>
      <c r="N821" s="1">
        <v>235.8</v>
      </c>
      <c r="O821" s="1">
        <v>4.7619047620000003</v>
      </c>
      <c r="P821" s="1">
        <v>11.79</v>
      </c>
      <c r="Q821">
        <v>6</v>
      </c>
      <c r="R821" s="13">
        <v>43499</v>
      </c>
      <c r="S821">
        <f t="shared" si="48"/>
        <v>2</v>
      </c>
      <c r="T821">
        <f t="shared" si="49"/>
        <v>14</v>
      </c>
      <c r="U821">
        <f t="shared" si="50"/>
        <v>3</v>
      </c>
      <c r="V821" s="13" t="str">
        <f t="shared" si="51"/>
        <v>Sunday</v>
      </c>
    </row>
    <row r="822" spans="1:22" x14ac:dyDescent="0.25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 s="1">
        <v>52.89</v>
      </c>
      <c r="H822">
        <v>4</v>
      </c>
      <c r="I822" s="1">
        <v>10.577999999999999</v>
      </c>
      <c r="J822" s="1">
        <v>222.13800000000001</v>
      </c>
      <c r="K822" s="3" t="s">
        <v>39</v>
      </c>
      <c r="L822" s="2">
        <v>0.68888888888888888</v>
      </c>
      <c r="M822" t="s">
        <v>23</v>
      </c>
      <c r="N822" s="1">
        <v>211.56</v>
      </c>
      <c r="O822" s="1">
        <v>4.7619047620000003</v>
      </c>
      <c r="P822" s="1">
        <v>10.577999999999999</v>
      </c>
      <c r="Q822">
        <v>6.7</v>
      </c>
      <c r="R822" s="13">
        <v>43549</v>
      </c>
      <c r="S822">
        <f t="shared" si="48"/>
        <v>3</v>
      </c>
      <c r="T822">
        <f t="shared" si="49"/>
        <v>16</v>
      </c>
      <c r="U822">
        <f t="shared" si="50"/>
        <v>25</v>
      </c>
      <c r="V822" s="13" t="str">
        <f t="shared" si="51"/>
        <v>Monday</v>
      </c>
    </row>
    <row r="823" spans="1:22" x14ac:dyDescent="0.25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 s="1">
        <v>47.68</v>
      </c>
      <c r="H823">
        <v>2</v>
      </c>
      <c r="I823" s="1">
        <v>4.7679999999999998</v>
      </c>
      <c r="J823" s="1">
        <v>100.128</v>
      </c>
      <c r="K823" s="3" t="s">
        <v>43</v>
      </c>
      <c r="L823" s="2">
        <v>0.4236111111111111</v>
      </c>
      <c r="M823" t="s">
        <v>33</v>
      </c>
      <c r="N823" s="1">
        <v>95.36</v>
      </c>
      <c r="O823" s="1">
        <v>4.7619047620000003</v>
      </c>
      <c r="P823" s="1">
        <v>4.7679999999999998</v>
      </c>
      <c r="Q823">
        <v>4.0999999999999996</v>
      </c>
      <c r="R823" s="13">
        <v>43520</v>
      </c>
      <c r="S823">
        <f t="shared" si="48"/>
        <v>2</v>
      </c>
      <c r="T823">
        <f t="shared" si="49"/>
        <v>10</v>
      </c>
      <c r="U823">
        <f t="shared" si="50"/>
        <v>24</v>
      </c>
      <c r="V823" s="13" t="str">
        <f t="shared" si="51"/>
        <v>Sunday</v>
      </c>
    </row>
    <row r="824" spans="1:22" x14ac:dyDescent="0.25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 s="1">
        <v>10.17</v>
      </c>
      <c r="H824">
        <v>1</v>
      </c>
      <c r="I824" s="1">
        <v>0.50849999999999995</v>
      </c>
      <c r="J824" s="1">
        <v>10.6785</v>
      </c>
      <c r="K824" s="3">
        <v>43648</v>
      </c>
      <c r="L824" s="2">
        <v>0.59375</v>
      </c>
      <c r="M824" t="s">
        <v>29</v>
      </c>
      <c r="N824" s="1">
        <v>10.17</v>
      </c>
      <c r="O824" s="1">
        <v>4.7619047620000003</v>
      </c>
      <c r="P824" s="1">
        <v>0.50849999999999995</v>
      </c>
      <c r="Q824">
        <v>5.9</v>
      </c>
      <c r="R824" s="13">
        <v>43503</v>
      </c>
      <c r="S824">
        <f t="shared" si="48"/>
        <v>2</v>
      </c>
      <c r="T824">
        <f t="shared" si="49"/>
        <v>14</v>
      </c>
      <c r="U824">
        <f t="shared" si="50"/>
        <v>7</v>
      </c>
      <c r="V824" s="13" t="str">
        <f t="shared" si="51"/>
        <v>Thursday</v>
      </c>
    </row>
    <row r="825" spans="1:22" x14ac:dyDescent="0.25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 s="1">
        <v>68.709999999999994</v>
      </c>
      <c r="H825">
        <v>3</v>
      </c>
      <c r="I825" s="1">
        <v>10.3065</v>
      </c>
      <c r="J825" s="1">
        <v>216.4365</v>
      </c>
      <c r="K825" s="3">
        <v>43558</v>
      </c>
      <c r="L825" s="2">
        <v>0.4201388888888889</v>
      </c>
      <c r="M825" t="s">
        <v>29</v>
      </c>
      <c r="N825" s="1">
        <v>206.13</v>
      </c>
      <c r="O825" s="1">
        <v>4.7619047620000003</v>
      </c>
      <c r="P825" s="1">
        <v>10.3065</v>
      </c>
      <c r="Q825">
        <v>8.6999999999999993</v>
      </c>
      <c r="R825" s="13">
        <v>43528</v>
      </c>
      <c r="S825">
        <f t="shared" si="48"/>
        <v>3</v>
      </c>
      <c r="T825">
        <f t="shared" si="49"/>
        <v>10</v>
      </c>
      <c r="U825">
        <f t="shared" si="50"/>
        <v>4</v>
      </c>
      <c r="V825" s="13" t="str">
        <f t="shared" si="51"/>
        <v>Monday</v>
      </c>
    </row>
    <row r="826" spans="1:22" x14ac:dyDescent="0.25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 s="1">
        <v>60.08</v>
      </c>
      <c r="H826">
        <v>7</v>
      </c>
      <c r="I826" s="1">
        <v>21.027999999999999</v>
      </c>
      <c r="J826" s="1">
        <v>441.58800000000002</v>
      </c>
      <c r="K826" s="3" t="s">
        <v>123</v>
      </c>
      <c r="L826" s="2">
        <v>0.48333333333333334</v>
      </c>
      <c r="M826" t="s">
        <v>33</v>
      </c>
      <c r="N826" s="1">
        <v>420.56</v>
      </c>
      <c r="O826" s="1">
        <v>4.7619047620000003</v>
      </c>
      <c r="P826" s="1">
        <v>21.027999999999999</v>
      </c>
      <c r="Q826">
        <v>4.5</v>
      </c>
      <c r="R826" s="13">
        <v>43510</v>
      </c>
      <c r="S826">
        <f t="shared" si="48"/>
        <v>2</v>
      </c>
      <c r="T826">
        <f t="shared" si="49"/>
        <v>11</v>
      </c>
      <c r="U826">
        <f t="shared" si="50"/>
        <v>14</v>
      </c>
      <c r="V826" s="13" t="str">
        <f t="shared" si="51"/>
        <v>Thursday</v>
      </c>
    </row>
    <row r="827" spans="1:22" x14ac:dyDescent="0.25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 s="1">
        <v>22.01</v>
      </c>
      <c r="H827">
        <v>4</v>
      </c>
      <c r="I827" s="1">
        <v>4.4020000000000001</v>
      </c>
      <c r="J827" s="1">
        <v>92.441999999999993</v>
      </c>
      <c r="K827" s="3" t="s">
        <v>228</v>
      </c>
      <c r="L827" s="2">
        <v>0.76041666666666663</v>
      </c>
      <c r="M827" t="s">
        <v>33</v>
      </c>
      <c r="N827" s="1">
        <v>88.04</v>
      </c>
      <c r="O827" s="1">
        <v>4.7619047620000003</v>
      </c>
      <c r="P827" s="1">
        <v>4.4020000000000001</v>
      </c>
      <c r="Q827">
        <v>6.6</v>
      </c>
      <c r="R827" s="13">
        <v>43494</v>
      </c>
      <c r="S827">
        <f t="shared" si="48"/>
        <v>1</v>
      </c>
      <c r="T827">
        <f t="shared" si="49"/>
        <v>18</v>
      </c>
      <c r="U827">
        <f t="shared" si="50"/>
        <v>29</v>
      </c>
      <c r="V827" s="13" t="str">
        <f t="shared" si="51"/>
        <v>Tuesday</v>
      </c>
    </row>
    <row r="828" spans="1:22" x14ac:dyDescent="0.25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 s="1">
        <v>72.11</v>
      </c>
      <c r="H828">
        <v>9</v>
      </c>
      <c r="I828" s="1">
        <v>32.4495</v>
      </c>
      <c r="J828" s="1">
        <v>681.43949999999995</v>
      </c>
      <c r="K828" s="3" t="s">
        <v>80</v>
      </c>
      <c r="L828" s="2">
        <v>0.57847222222222228</v>
      </c>
      <c r="M828" t="s">
        <v>33</v>
      </c>
      <c r="N828" s="1">
        <v>648.99</v>
      </c>
      <c r="O828" s="1">
        <v>4.7619047620000003</v>
      </c>
      <c r="P828" s="1">
        <v>32.4495</v>
      </c>
      <c r="Q828">
        <v>7.7</v>
      </c>
      <c r="R828" s="13">
        <v>43493</v>
      </c>
      <c r="S828">
        <f t="shared" si="48"/>
        <v>1</v>
      </c>
      <c r="T828">
        <f t="shared" si="49"/>
        <v>13</v>
      </c>
      <c r="U828">
        <f t="shared" si="50"/>
        <v>28</v>
      </c>
      <c r="V828" s="13" t="str">
        <f t="shared" si="51"/>
        <v>Monday</v>
      </c>
    </row>
    <row r="829" spans="1:22" x14ac:dyDescent="0.25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 s="1">
        <v>41.28</v>
      </c>
      <c r="H829">
        <v>3</v>
      </c>
      <c r="I829" s="1">
        <v>6.1920000000000002</v>
      </c>
      <c r="J829" s="1">
        <v>130.03200000000001</v>
      </c>
      <c r="K829" s="3" t="s">
        <v>167</v>
      </c>
      <c r="L829" s="2">
        <v>0.77569444444444446</v>
      </c>
      <c r="M829" t="s">
        <v>33</v>
      </c>
      <c r="N829" s="1">
        <v>123.84</v>
      </c>
      <c r="O829" s="1">
        <v>4.7619047620000003</v>
      </c>
      <c r="P829" s="1">
        <v>6.1920000000000002</v>
      </c>
      <c r="Q829">
        <v>8.5</v>
      </c>
      <c r="R829" s="13">
        <v>43550</v>
      </c>
      <c r="S829">
        <f t="shared" si="48"/>
        <v>3</v>
      </c>
      <c r="T829">
        <f t="shared" si="49"/>
        <v>18</v>
      </c>
      <c r="U829">
        <f t="shared" si="50"/>
        <v>26</v>
      </c>
      <c r="V829" s="13" t="str">
        <f t="shared" si="51"/>
        <v>Tuesday</v>
      </c>
    </row>
    <row r="830" spans="1:22" x14ac:dyDescent="0.25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 s="1">
        <v>64.95</v>
      </c>
      <c r="H830">
        <v>10</v>
      </c>
      <c r="I830" s="1">
        <v>32.475000000000001</v>
      </c>
      <c r="J830" s="1">
        <v>681.97500000000002</v>
      </c>
      <c r="K830" s="3" t="s">
        <v>177</v>
      </c>
      <c r="L830" s="2">
        <v>0.76875000000000004</v>
      </c>
      <c r="M830" t="s">
        <v>29</v>
      </c>
      <c r="N830" s="1">
        <v>649.5</v>
      </c>
      <c r="O830" s="1">
        <v>4.7619047620000003</v>
      </c>
      <c r="P830" s="1">
        <v>32.475000000000001</v>
      </c>
      <c r="Q830">
        <v>5.2</v>
      </c>
      <c r="R830" s="13">
        <v>43548</v>
      </c>
      <c r="S830">
        <f t="shared" si="48"/>
        <v>3</v>
      </c>
      <c r="T830">
        <f t="shared" si="49"/>
        <v>18</v>
      </c>
      <c r="U830">
        <f t="shared" si="50"/>
        <v>24</v>
      </c>
      <c r="V830" s="13" t="str">
        <f t="shared" si="51"/>
        <v>Sunday</v>
      </c>
    </row>
    <row r="831" spans="1:22" x14ac:dyDescent="0.25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 s="1">
        <v>74.22</v>
      </c>
      <c r="H831">
        <v>10</v>
      </c>
      <c r="I831" s="1">
        <v>37.11</v>
      </c>
      <c r="J831" s="1">
        <v>779.31</v>
      </c>
      <c r="K831" s="3">
        <v>43466</v>
      </c>
      <c r="L831" s="2">
        <v>0.61250000000000004</v>
      </c>
      <c r="M831" t="s">
        <v>33</v>
      </c>
      <c r="N831" s="1">
        <v>742.2</v>
      </c>
      <c r="O831" s="1">
        <v>4.7619047620000003</v>
      </c>
      <c r="P831" s="1">
        <v>37.11</v>
      </c>
      <c r="Q831">
        <v>4.3</v>
      </c>
      <c r="R831" s="13">
        <v>43466</v>
      </c>
      <c r="S831">
        <f t="shared" si="48"/>
        <v>1</v>
      </c>
      <c r="T831">
        <f t="shared" si="49"/>
        <v>14</v>
      </c>
      <c r="U831">
        <f t="shared" si="50"/>
        <v>1</v>
      </c>
      <c r="V831" s="13" t="str">
        <f t="shared" si="51"/>
        <v>Tuesday</v>
      </c>
    </row>
    <row r="832" spans="1:22" x14ac:dyDescent="0.25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 s="1">
        <v>10.56</v>
      </c>
      <c r="H832">
        <v>8</v>
      </c>
      <c r="I832" s="1">
        <v>4.2240000000000002</v>
      </c>
      <c r="J832" s="1">
        <v>88.703999999999994</v>
      </c>
      <c r="K832" s="3" t="s">
        <v>129</v>
      </c>
      <c r="L832" s="2">
        <v>0.73819444444444449</v>
      </c>
      <c r="M832" t="s">
        <v>29</v>
      </c>
      <c r="N832" s="1">
        <v>84.48</v>
      </c>
      <c r="O832" s="1">
        <v>4.7619047620000003</v>
      </c>
      <c r="P832" s="1">
        <v>4.2240000000000002</v>
      </c>
      <c r="Q832">
        <v>7.6</v>
      </c>
      <c r="R832" s="13">
        <v>43489</v>
      </c>
      <c r="S832">
        <f t="shared" si="48"/>
        <v>1</v>
      </c>
      <c r="T832">
        <f t="shared" si="49"/>
        <v>17</v>
      </c>
      <c r="U832">
        <f t="shared" si="50"/>
        <v>24</v>
      </c>
      <c r="V832" s="13" t="str">
        <f t="shared" si="51"/>
        <v>Thursday</v>
      </c>
    </row>
    <row r="833" spans="1:22" x14ac:dyDescent="0.25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 s="1">
        <v>62.57</v>
      </c>
      <c r="H833">
        <v>4</v>
      </c>
      <c r="I833" s="1">
        <v>12.513999999999999</v>
      </c>
      <c r="J833" s="1">
        <v>262.79399999999998</v>
      </c>
      <c r="K833" s="3" t="s">
        <v>41</v>
      </c>
      <c r="L833" s="2">
        <v>0.77569444444444446</v>
      </c>
      <c r="M833" t="s">
        <v>29</v>
      </c>
      <c r="N833" s="1">
        <v>250.28</v>
      </c>
      <c r="O833" s="1">
        <v>4.7619047620000003</v>
      </c>
      <c r="P833" s="1">
        <v>12.513999999999999</v>
      </c>
      <c r="Q833">
        <v>9.5</v>
      </c>
      <c r="R833" s="13">
        <v>43521</v>
      </c>
      <c r="S833">
        <f t="shared" si="48"/>
        <v>2</v>
      </c>
      <c r="T833">
        <f t="shared" si="49"/>
        <v>18</v>
      </c>
      <c r="U833">
        <f t="shared" si="50"/>
        <v>25</v>
      </c>
      <c r="V833" s="13" t="str">
        <f t="shared" si="51"/>
        <v>Monday</v>
      </c>
    </row>
    <row r="834" spans="1:22" x14ac:dyDescent="0.25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 s="1">
        <v>11.85</v>
      </c>
      <c r="H834">
        <v>8</v>
      </c>
      <c r="I834" s="1">
        <v>4.74</v>
      </c>
      <c r="J834" s="1">
        <v>99.54</v>
      </c>
      <c r="K834" s="3">
        <v>43709</v>
      </c>
      <c r="L834" s="2">
        <v>0.69027777777777777</v>
      </c>
      <c r="M834" t="s">
        <v>29</v>
      </c>
      <c r="N834" s="1">
        <v>94.8</v>
      </c>
      <c r="O834" s="1">
        <v>4.7619047620000003</v>
      </c>
      <c r="P834" s="1">
        <v>4.74</v>
      </c>
      <c r="Q834">
        <v>4.0999999999999996</v>
      </c>
      <c r="R834" s="13">
        <v>43474</v>
      </c>
      <c r="S834">
        <f t="shared" si="48"/>
        <v>1</v>
      </c>
      <c r="T834">
        <f t="shared" si="49"/>
        <v>16</v>
      </c>
      <c r="U834">
        <f t="shared" si="50"/>
        <v>9</v>
      </c>
      <c r="V834" s="13" t="str">
        <f t="shared" si="51"/>
        <v>Wednesday</v>
      </c>
    </row>
    <row r="835" spans="1:22" x14ac:dyDescent="0.25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 s="1">
        <v>91.3</v>
      </c>
      <c r="H835">
        <v>1</v>
      </c>
      <c r="I835" s="1">
        <v>4.5650000000000004</v>
      </c>
      <c r="J835" s="1">
        <v>95.864999999999995</v>
      </c>
      <c r="K835" s="3" t="s">
        <v>123</v>
      </c>
      <c r="L835" s="2">
        <v>0.61250000000000004</v>
      </c>
      <c r="M835" t="s">
        <v>23</v>
      </c>
      <c r="N835" s="1">
        <v>91.3</v>
      </c>
      <c r="O835" s="1">
        <v>4.7619047620000003</v>
      </c>
      <c r="P835" s="1">
        <v>4.5650000000000004</v>
      </c>
      <c r="Q835">
        <v>9.1999999999999993</v>
      </c>
      <c r="R835" s="13">
        <v>43510</v>
      </c>
      <c r="S835">
        <f t="shared" ref="S835:S898" si="52">MONTH(R835)</f>
        <v>2</v>
      </c>
      <c r="T835">
        <f t="shared" ref="T835:T898" si="53">HOUR(L835)</f>
        <v>14</v>
      </c>
      <c r="U835">
        <f t="shared" ref="U835:U898" si="54">DAY(R835)</f>
        <v>14</v>
      </c>
      <c r="V835" s="13" t="str">
        <f t="shared" ref="V835:V898" si="55">TEXT(R835,"DDDD")</f>
        <v>Thursday</v>
      </c>
    </row>
    <row r="836" spans="1:22" x14ac:dyDescent="0.25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 s="1">
        <v>40.729999999999997</v>
      </c>
      <c r="H836">
        <v>7</v>
      </c>
      <c r="I836" s="1">
        <v>14.2555</v>
      </c>
      <c r="J836" s="1">
        <v>299.3655</v>
      </c>
      <c r="K836" s="3">
        <v>43802</v>
      </c>
      <c r="L836" s="2">
        <v>0.45902777777777776</v>
      </c>
      <c r="M836" t="s">
        <v>23</v>
      </c>
      <c r="N836" s="1">
        <v>285.11</v>
      </c>
      <c r="O836" s="1">
        <v>4.7619047620000003</v>
      </c>
      <c r="P836" s="1">
        <v>14.2555</v>
      </c>
      <c r="Q836">
        <v>5.4</v>
      </c>
      <c r="R836" s="13">
        <v>43536</v>
      </c>
      <c r="S836">
        <f t="shared" si="52"/>
        <v>3</v>
      </c>
      <c r="T836">
        <f t="shared" si="53"/>
        <v>11</v>
      </c>
      <c r="U836">
        <f t="shared" si="54"/>
        <v>12</v>
      </c>
      <c r="V836" s="13" t="str">
        <f t="shared" si="55"/>
        <v>Tuesday</v>
      </c>
    </row>
    <row r="837" spans="1:22" x14ac:dyDescent="0.25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 s="1">
        <v>52.38</v>
      </c>
      <c r="H837">
        <v>1</v>
      </c>
      <c r="I837" s="1">
        <v>2.6190000000000002</v>
      </c>
      <c r="J837" s="1">
        <v>54.999000000000002</v>
      </c>
      <c r="K837" s="3" t="s">
        <v>167</v>
      </c>
      <c r="L837" s="2">
        <v>0.82222222222222219</v>
      </c>
      <c r="M837" t="s">
        <v>29</v>
      </c>
      <c r="N837" s="1">
        <v>52.38</v>
      </c>
      <c r="O837" s="1">
        <v>4.7619047620000003</v>
      </c>
      <c r="P837" s="1">
        <v>2.6190000000000002</v>
      </c>
      <c r="Q837">
        <v>5.8</v>
      </c>
      <c r="R837" s="13">
        <v>43550</v>
      </c>
      <c r="S837">
        <f t="shared" si="52"/>
        <v>3</v>
      </c>
      <c r="T837">
        <f t="shared" si="53"/>
        <v>19</v>
      </c>
      <c r="U837">
        <f t="shared" si="54"/>
        <v>26</v>
      </c>
      <c r="V837" s="13" t="str">
        <f t="shared" si="55"/>
        <v>Tuesday</v>
      </c>
    </row>
    <row r="838" spans="1:22" x14ac:dyDescent="0.25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 s="1">
        <v>38.54</v>
      </c>
      <c r="H838">
        <v>5</v>
      </c>
      <c r="I838" s="1">
        <v>9.6349999999999998</v>
      </c>
      <c r="J838" s="1">
        <v>202.33500000000001</v>
      </c>
      <c r="K838" s="3">
        <v>43709</v>
      </c>
      <c r="L838" s="2">
        <v>0.56527777777777777</v>
      </c>
      <c r="M838" t="s">
        <v>23</v>
      </c>
      <c r="N838" s="1">
        <v>192.7</v>
      </c>
      <c r="O838" s="1">
        <v>4.7619047620000003</v>
      </c>
      <c r="P838" s="1">
        <v>9.6349999999999998</v>
      </c>
      <c r="Q838">
        <v>5.6</v>
      </c>
      <c r="R838" s="13">
        <v>43474</v>
      </c>
      <c r="S838">
        <f t="shared" si="52"/>
        <v>1</v>
      </c>
      <c r="T838">
        <f t="shared" si="53"/>
        <v>13</v>
      </c>
      <c r="U838">
        <f t="shared" si="54"/>
        <v>9</v>
      </c>
      <c r="V838" s="13" t="str">
        <f t="shared" si="55"/>
        <v>Wednesday</v>
      </c>
    </row>
    <row r="839" spans="1:22" x14ac:dyDescent="0.25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 s="1">
        <v>44.63</v>
      </c>
      <c r="H839">
        <v>6</v>
      </c>
      <c r="I839" s="1">
        <v>13.388999999999999</v>
      </c>
      <c r="J839" s="1">
        <v>281.16899999999998</v>
      </c>
      <c r="K839" s="3">
        <v>43497</v>
      </c>
      <c r="L839" s="2">
        <v>0.83888888888888891</v>
      </c>
      <c r="M839" t="s">
        <v>33</v>
      </c>
      <c r="N839" s="1">
        <v>267.77999999999997</v>
      </c>
      <c r="O839" s="1">
        <v>4.7619047620000003</v>
      </c>
      <c r="P839" s="1">
        <v>13.388999999999999</v>
      </c>
      <c r="Q839">
        <v>5.0999999999999996</v>
      </c>
      <c r="R839" s="13">
        <v>43467</v>
      </c>
      <c r="S839">
        <f t="shared" si="52"/>
        <v>1</v>
      </c>
      <c r="T839">
        <f t="shared" si="53"/>
        <v>20</v>
      </c>
      <c r="U839">
        <f t="shared" si="54"/>
        <v>2</v>
      </c>
      <c r="V839" s="13" t="str">
        <f t="shared" si="55"/>
        <v>Wednesday</v>
      </c>
    </row>
    <row r="840" spans="1:22" x14ac:dyDescent="0.25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 s="1">
        <v>55.87</v>
      </c>
      <c r="H840">
        <v>10</v>
      </c>
      <c r="I840" s="1">
        <v>27.934999999999999</v>
      </c>
      <c r="J840" s="1">
        <v>586.63499999999999</v>
      </c>
      <c r="K840" s="3" t="s">
        <v>58</v>
      </c>
      <c r="L840" s="2">
        <v>0.62569444444444444</v>
      </c>
      <c r="M840" t="s">
        <v>29</v>
      </c>
      <c r="N840" s="1">
        <v>558.70000000000005</v>
      </c>
      <c r="O840" s="1">
        <v>4.7619047620000003</v>
      </c>
      <c r="P840" s="1">
        <v>27.934999999999999</v>
      </c>
      <c r="Q840">
        <v>5.8</v>
      </c>
      <c r="R840" s="13">
        <v>43480</v>
      </c>
      <c r="S840">
        <f t="shared" si="52"/>
        <v>1</v>
      </c>
      <c r="T840">
        <f t="shared" si="53"/>
        <v>15</v>
      </c>
      <c r="U840">
        <f t="shared" si="54"/>
        <v>15</v>
      </c>
      <c r="V840" s="13" t="str">
        <f t="shared" si="55"/>
        <v>Tuesday</v>
      </c>
    </row>
    <row r="841" spans="1:22" x14ac:dyDescent="0.25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 s="1">
        <v>29.22</v>
      </c>
      <c r="H841">
        <v>6</v>
      </c>
      <c r="I841" s="1">
        <v>8.766</v>
      </c>
      <c r="J841" s="1">
        <v>184.08600000000001</v>
      </c>
      <c r="K841" s="3">
        <v>43466</v>
      </c>
      <c r="L841" s="2">
        <v>0.4861111111111111</v>
      </c>
      <c r="M841" t="s">
        <v>23</v>
      </c>
      <c r="N841" s="1">
        <v>175.32</v>
      </c>
      <c r="O841" s="1">
        <v>4.7619047620000003</v>
      </c>
      <c r="P841" s="1">
        <v>8.766</v>
      </c>
      <c r="Q841">
        <v>5</v>
      </c>
      <c r="R841" s="13">
        <v>43466</v>
      </c>
      <c r="S841">
        <f t="shared" si="52"/>
        <v>1</v>
      </c>
      <c r="T841">
        <f t="shared" si="53"/>
        <v>11</v>
      </c>
      <c r="U841">
        <f t="shared" si="54"/>
        <v>1</v>
      </c>
      <c r="V841" s="13" t="str">
        <f t="shared" si="55"/>
        <v>Tuesday</v>
      </c>
    </row>
    <row r="842" spans="1:22" x14ac:dyDescent="0.25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 s="1">
        <v>51.94</v>
      </c>
      <c r="H842">
        <v>3</v>
      </c>
      <c r="I842" s="1">
        <v>7.7910000000000004</v>
      </c>
      <c r="J842" s="1">
        <v>163.61099999999999</v>
      </c>
      <c r="K842" s="3" t="s">
        <v>118</v>
      </c>
      <c r="L842" s="2">
        <v>0.63958333333333328</v>
      </c>
      <c r="M842" t="s">
        <v>29</v>
      </c>
      <c r="N842" s="1">
        <v>155.82</v>
      </c>
      <c r="O842" s="1">
        <v>4.7619047620000003</v>
      </c>
      <c r="P842" s="1">
        <v>7.7910000000000004</v>
      </c>
      <c r="Q842">
        <v>7.9</v>
      </c>
      <c r="R842" s="13">
        <v>43511</v>
      </c>
      <c r="S842">
        <f t="shared" si="52"/>
        <v>2</v>
      </c>
      <c r="T842">
        <f t="shared" si="53"/>
        <v>15</v>
      </c>
      <c r="U842">
        <f t="shared" si="54"/>
        <v>15</v>
      </c>
      <c r="V842" s="13" t="str">
        <f t="shared" si="55"/>
        <v>Friday</v>
      </c>
    </row>
    <row r="843" spans="1:22" x14ac:dyDescent="0.25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 s="1">
        <v>60.3</v>
      </c>
      <c r="H843">
        <v>1</v>
      </c>
      <c r="I843" s="1">
        <v>3.0150000000000001</v>
      </c>
      <c r="J843" s="1">
        <v>63.314999999999998</v>
      </c>
      <c r="K843" s="3" t="s">
        <v>110</v>
      </c>
      <c r="L843" s="2">
        <v>0.73472222222222228</v>
      </c>
      <c r="M843" t="s">
        <v>29</v>
      </c>
      <c r="N843" s="1">
        <v>60.3</v>
      </c>
      <c r="O843" s="1">
        <v>4.7619047620000003</v>
      </c>
      <c r="P843" s="1">
        <v>3.0150000000000001</v>
      </c>
      <c r="Q843">
        <v>6</v>
      </c>
      <c r="R843" s="13">
        <v>43524</v>
      </c>
      <c r="S843">
        <f t="shared" si="52"/>
        <v>2</v>
      </c>
      <c r="T843">
        <f t="shared" si="53"/>
        <v>17</v>
      </c>
      <c r="U843">
        <f t="shared" si="54"/>
        <v>28</v>
      </c>
      <c r="V843" s="13" t="str">
        <f t="shared" si="55"/>
        <v>Thursday</v>
      </c>
    </row>
    <row r="844" spans="1:22" x14ac:dyDescent="0.25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 s="1">
        <v>39.47</v>
      </c>
      <c r="H844">
        <v>2</v>
      </c>
      <c r="I844" s="1">
        <v>3.9470000000000001</v>
      </c>
      <c r="J844" s="1">
        <v>82.887</v>
      </c>
      <c r="K844" s="3">
        <v>43499</v>
      </c>
      <c r="L844" s="2">
        <v>0.67777777777777781</v>
      </c>
      <c r="M844" t="s">
        <v>33</v>
      </c>
      <c r="N844" s="1">
        <v>78.94</v>
      </c>
      <c r="O844" s="1">
        <v>4.7619047620000003</v>
      </c>
      <c r="P844" s="1">
        <v>3.9470000000000001</v>
      </c>
      <c r="Q844">
        <v>5</v>
      </c>
      <c r="R844" s="13">
        <v>43526</v>
      </c>
      <c r="S844">
        <f t="shared" si="52"/>
        <v>3</v>
      </c>
      <c r="T844">
        <f t="shared" si="53"/>
        <v>16</v>
      </c>
      <c r="U844">
        <f t="shared" si="54"/>
        <v>2</v>
      </c>
      <c r="V844" s="13" t="str">
        <f t="shared" si="55"/>
        <v>Saturday</v>
      </c>
    </row>
    <row r="845" spans="1:22" x14ac:dyDescent="0.25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 s="1">
        <v>14.87</v>
      </c>
      <c r="H845">
        <v>2</v>
      </c>
      <c r="I845" s="1">
        <v>1.4870000000000001</v>
      </c>
      <c r="J845" s="1">
        <v>31.227</v>
      </c>
      <c r="K845" s="3" t="s">
        <v>257</v>
      </c>
      <c r="L845" s="2">
        <v>0.76041666666666663</v>
      </c>
      <c r="M845" t="s">
        <v>33</v>
      </c>
      <c r="N845" s="1">
        <v>29.74</v>
      </c>
      <c r="O845" s="1">
        <v>4.7619047620000003</v>
      </c>
      <c r="P845" s="1">
        <v>1.4870000000000001</v>
      </c>
      <c r="Q845">
        <v>8.9</v>
      </c>
      <c r="R845" s="13">
        <v>43509</v>
      </c>
      <c r="S845">
        <f t="shared" si="52"/>
        <v>2</v>
      </c>
      <c r="T845">
        <f t="shared" si="53"/>
        <v>18</v>
      </c>
      <c r="U845">
        <f t="shared" si="54"/>
        <v>13</v>
      </c>
      <c r="V845" s="13" t="str">
        <f t="shared" si="55"/>
        <v>Wednesday</v>
      </c>
    </row>
    <row r="846" spans="1:22" x14ac:dyDescent="0.25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 s="1">
        <v>21.32</v>
      </c>
      <c r="H846">
        <v>1</v>
      </c>
      <c r="I846" s="1">
        <v>1.0660000000000001</v>
      </c>
      <c r="J846" s="1">
        <v>22.385999999999999</v>
      </c>
      <c r="K846" s="3" t="s">
        <v>145</v>
      </c>
      <c r="L846" s="2">
        <v>0.52986111111111112</v>
      </c>
      <c r="M846" t="s">
        <v>29</v>
      </c>
      <c r="N846" s="1">
        <v>21.32</v>
      </c>
      <c r="O846" s="1">
        <v>4.7619047620000003</v>
      </c>
      <c r="P846" s="1">
        <v>1.0660000000000001</v>
      </c>
      <c r="Q846">
        <v>5.9</v>
      </c>
      <c r="R846" s="13">
        <v>43491</v>
      </c>
      <c r="S846">
        <f t="shared" si="52"/>
        <v>1</v>
      </c>
      <c r="T846">
        <f t="shared" si="53"/>
        <v>12</v>
      </c>
      <c r="U846">
        <f t="shared" si="54"/>
        <v>26</v>
      </c>
      <c r="V846" s="13" t="str">
        <f t="shared" si="55"/>
        <v>Saturday</v>
      </c>
    </row>
    <row r="847" spans="1:22" x14ac:dyDescent="0.25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 s="1">
        <v>93.78</v>
      </c>
      <c r="H847">
        <v>3</v>
      </c>
      <c r="I847" s="1">
        <v>14.067</v>
      </c>
      <c r="J847" s="1">
        <v>295.40699999999998</v>
      </c>
      <c r="K847" s="3" t="s">
        <v>241</v>
      </c>
      <c r="L847" s="2">
        <v>0.48055555555555557</v>
      </c>
      <c r="M847" t="s">
        <v>33</v>
      </c>
      <c r="N847" s="1">
        <v>281.33999999999997</v>
      </c>
      <c r="O847" s="1">
        <v>4.7619047620000003</v>
      </c>
      <c r="P847" s="1">
        <v>14.067</v>
      </c>
      <c r="Q847">
        <v>5.9</v>
      </c>
      <c r="R847" s="13">
        <v>43495</v>
      </c>
      <c r="S847">
        <f t="shared" si="52"/>
        <v>1</v>
      </c>
      <c r="T847">
        <f t="shared" si="53"/>
        <v>11</v>
      </c>
      <c r="U847">
        <f t="shared" si="54"/>
        <v>30</v>
      </c>
      <c r="V847" s="13" t="str">
        <f t="shared" si="55"/>
        <v>Wednesday</v>
      </c>
    </row>
    <row r="848" spans="1:22" x14ac:dyDescent="0.25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 s="1">
        <v>73.260000000000005</v>
      </c>
      <c r="H848">
        <v>1</v>
      </c>
      <c r="I848" s="1">
        <v>3.6629999999999998</v>
      </c>
      <c r="J848" s="1">
        <v>76.923000000000002</v>
      </c>
      <c r="K848" s="3" t="s">
        <v>35</v>
      </c>
      <c r="L848" s="2">
        <v>0.75555555555555554</v>
      </c>
      <c r="M848" t="s">
        <v>23</v>
      </c>
      <c r="N848" s="1">
        <v>73.260000000000005</v>
      </c>
      <c r="O848" s="1">
        <v>4.7619047620000003</v>
      </c>
      <c r="P848" s="1">
        <v>3.6629999999999998</v>
      </c>
      <c r="Q848">
        <v>9.6999999999999993</v>
      </c>
      <c r="R848" s="13">
        <v>43492</v>
      </c>
      <c r="S848">
        <f t="shared" si="52"/>
        <v>1</v>
      </c>
      <c r="T848">
        <f t="shared" si="53"/>
        <v>18</v>
      </c>
      <c r="U848">
        <f t="shared" si="54"/>
        <v>27</v>
      </c>
      <c r="V848" s="13" t="str">
        <f t="shared" si="55"/>
        <v>Sunday</v>
      </c>
    </row>
    <row r="849" spans="1:22" x14ac:dyDescent="0.25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 s="1">
        <v>22.38</v>
      </c>
      <c r="H849">
        <v>1</v>
      </c>
      <c r="I849" s="1">
        <v>1.119</v>
      </c>
      <c r="J849" s="1">
        <v>23.498999999999999</v>
      </c>
      <c r="K849" s="3" t="s">
        <v>241</v>
      </c>
      <c r="L849" s="2">
        <v>0.71388888888888891</v>
      </c>
      <c r="M849" t="s">
        <v>33</v>
      </c>
      <c r="N849" s="1">
        <v>22.38</v>
      </c>
      <c r="O849" s="1">
        <v>4.7619047620000003</v>
      </c>
      <c r="P849" s="1">
        <v>1.119</v>
      </c>
      <c r="Q849">
        <v>8.6</v>
      </c>
      <c r="R849" s="13">
        <v>43495</v>
      </c>
      <c r="S849">
        <f t="shared" si="52"/>
        <v>1</v>
      </c>
      <c r="T849">
        <f t="shared" si="53"/>
        <v>17</v>
      </c>
      <c r="U849">
        <f t="shared" si="54"/>
        <v>30</v>
      </c>
      <c r="V849" s="13" t="str">
        <f t="shared" si="55"/>
        <v>Wednesday</v>
      </c>
    </row>
    <row r="850" spans="1:22" x14ac:dyDescent="0.25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 s="1">
        <v>72.88</v>
      </c>
      <c r="H850">
        <v>9</v>
      </c>
      <c r="I850" s="1">
        <v>32.795999999999999</v>
      </c>
      <c r="J850" s="1">
        <v>688.71600000000001</v>
      </c>
      <c r="K850" s="3">
        <v>43678</v>
      </c>
      <c r="L850" s="2">
        <v>0.81805555555555554</v>
      </c>
      <c r="M850" t="s">
        <v>29</v>
      </c>
      <c r="N850" s="1">
        <v>655.92</v>
      </c>
      <c r="O850" s="1">
        <v>4.7619047620000003</v>
      </c>
      <c r="P850" s="1">
        <v>32.795999999999999</v>
      </c>
      <c r="Q850">
        <v>4</v>
      </c>
      <c r="R850" s="13">
        <v>43473</v>
      </c>
      <c r="S850">
        <f t="shared" si="52"/>
        <v>1</v>
      </c>
      <c r="T850">
        <f t="shared" si="53"/>
        <v>19</v>
      </c>
      <c r="U850">
        <f t="shared" si="54"/>
        <v>8</v>
      </c>
      <c r="V850" s="13" t="str">
        <f t="shared" si="55"/>
        <v>Tuesday</v>
      </c>
    </row>
    <row r="851" spans="1:22" x14ac:dyDescent="0.25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 s="1">
        <v>99.1</v>
      </c>
      <c r="H851">
        <v>6</v>
      </c>
      <c r="I851" s="1">
        <v>29.73</v>
      </c>
      <c r="J851" s="1">
        <v>624.33000000000004</v>
      </c>
      <c r="K851" s="3" t="s">
        <v>183</v>
      </c>
      <c r="L851" s="2">
        <v>0.5493055555555556</v>
      </c>
      <c r="M851" t="s">
        <v>29</v>
      </c>
      <c r="N851" s="1">
        <v>594.6</v>
      </c>
      <c r="O851" s="1">
        <v>4.7619047620000003</v>
      </c>
      <c r="P851" s="1">
        <v>29.73</v>
      </c>
      <c r="Q851">
        <v>4.2</v>
      </c>
      <c r="R851" s="13">
        <v>43484</v>
      </c>
      <c r="S851">
        <f t="shared" si="52"/>
        <v>1</v>
      </c>
      <c r="T851">
        <f t="shared" si="53"/>
        <v>13</v>
      </c>
      <c r="U851">
        <f t="shared" si="54"/>
        <v>19</v>
      </c>
      <c r="V851" s="13" t="str">
        <f t="shared" si="55"/>
        <v>Saturday</v>
      </c>
    </row>
    <row r="852" spans="1:22" x14ac:dyDescent="0.25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 s="1">
        <v>74.099999999999994</v>
      </c>
      <c r="H852">
        <v>1</v>
      </c>
      <c r="I852" s="1">
        <v>3.7050000000000001</v>
      </c>
      <c r="J852" s="1">
        <v>77.805000000000007</v>
      </c>
      <c r="K852" s="3" t="s">
        <v>76</v>
      </c>
      <c r="L852" s="2">
        <v>0.46180555555555558</v>
      </c>
      <c r="M852" t="s">
        <v>29</v>
      </c>
      <c r="N852" s="1">
        <v>74.099999999999994</v>
      </c>
      <c r="O852" s="1">
        <v>4.7619047620000003</v>
      </c>
      <c r="P852" s="1">
        <v>3.7050000000000001</v>
      </c>
      <c r="Q852">
        <v>9.1999999999999993</v>
      </c>
      <c r="R852" s="13">
        <v>43490</v>
      </c>
      <c r="S852">
        <f t="shared" si="52"/>
        <v>1</v>
      </c>
      <c r="T852">
        <f t="shared" si="53"/>
        <v>11</v>
      </c>
      <c r="U852">
        <f t="shared" si="54"/>
        <v>25</v>
      </c>
      <c r="V852" s="13" t="str">
        <f t="shared" si="55"/>
        <v>Friday</v>
      </c>
    </row>
    <row r="853" spans="1:22" x14ac:dyDescent="0.25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 s="1">
        <v>98.48</v>
      </c>
      <c r="H853">
        <v>2</v>
      </c>
      <c r="I853" s="1">
        <v>9.8480000000000008</v>
      </c>
      <c r="J853" s="1">
        <v>206.80799999999999</v>
      </c>
      <c r="K853" s="3" t="s">
        <v>453</v>
      </c>
      <c r="L853" s="2">
        <v>0.42499999999999999</v>
      </c>
      <c r="M853" t="s">
        <v>23</v>
      </c>
      <c r="N853" s="1">
        <v>196.96</v>
      </c>
      <c r="O853" s="1">
        <v>4.7619047620000003</v>
      </c>
      <c r="P853" s="1">
        <v>9.8480000000000008</v>
      </c>
      <c r="Q853">
        <v>9.1999999999999993</v>
      </c>
      <c r="R853" s="13">
        <v>43515</v>
      </c>
      <c r="S853">
        <f t="shared" si="52"/>
        <v>2</v>
      </c>
      <c r="T853">
        <f t="shared" si="53"/>
        <v>10</v>
      </c>
      <c r="U853">
        <f t="shared" si="54"/>
        <v>19</v>
      </c>
      <c r="V853" s="13" t="str">
        <f t="shared" si="55"/>
        <v>Tuesday</v>
      </c>
    </row>
    <row r="854" spans="1:22" x14ac:dyDescent="0.25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 s="1">
        <v>53.19</v>
      </c>
      <c r="H854">
        <v>7</v>
      </c>
      <c r="I854" s="1">
        <v>18.616499999999998</v>
      </c>
      <c r="J854" s="1">
        <v>390.94650000000001</v>
      </c>
      <c r="K854" s="3" t="s">
        <v>283</v>
      </c>
      <c r="L854" s="2">
        <v>0.65416666666666667</v>
      </c>
      <c r="M854" t="s">
        <v>23</v>
      </c>
      <c r="N854" s="1">
        <v>372.33</v>
      </c>
      <c r="O854" s="1">
        <v>4.7619047620000003</v>
      </c>
      <c r="P854" s="1">
        <v>18.616499999999998</v>
      </c>
      <c r="Q854">
        <v>5</v>
      </c>
      <c r="R854" s="13">
        <v>43479</v>
      </c>
      <c r="S854">
        <f t="shared" si="52"/>
        <v>1</v>
      </c>
      <c r="T854">
        <f t="shared" si="53"/>
        <v>15</v>
      </c>
      <c r="U854">
        <f t="shared" si="54"/>
        <v>14</v>
      </c>
      <c r="V854" s="13" t="str">
        <f t="shared" si="55"/>
        <v>Monday</v>
      </c>
    </row>
    <row r="855" spans="1:22" x14ac:dyDescent="0.25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 s="1">
        <v>52.79</v>
      </c>
      <c r="H855">
        <v>10</v>
      </c>
      <c r="I855" s="1">
        <v>26.395</v>
      </c>
      <c r="J855" s="1">
        <v>554.29499999999996</v>
      </c>
      <c r="K855" s="3" t="s">
        <v>41</v>
      </c>
      <c r="L855" s="2">
        <v>0.49861111111111112</v>
      </c>
      <c r="M855" t="s">
        <v>23</v>
      </c>
      <c r="N855" s="1">
        <v>527.9</v>
      </c>
      <c r="O855" s="1">
        <v>4.7619047620000003</v>
      </c>
      <c r="P855" s="1">
        <v>26.395</v>
      </c>
      <c r="Q855">
        <v>10</v>
      </c>
      <c r="R855" s="13">
        <v>43521</v>
      </c>
      <c r="S855">
        <f t="shared" si="52"/>
        <v>2</v>
      </c>
      <c r="T855">
        <f t="shared" si="53"/>
        <v>11</v>
      </c>
      <c r="U855">
        <f t="shared" si="54"/>
        <v>25</v>
      </c>
      <c r="V855" s="13" t="str">
        <f t="shared" si="55"/>
        <v>Monday</v>
      </c>
    </row>
    <row r="856" spans="1:22" x14ac:dyDescent="0.25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1">
        <v>95.95</v>
      </c>
      <c r="H856">
        <v>5</v>
      </c>
      <c r="I856" s="1">
        <v>23.987500000000001</v>
      </c>
      <c r="J856" s="1">
        <v>503.73750000000001</v>
      </c>
      <c r="K856" s="3" t="s">
        <v>147</v>
      </c>
      <c r="L856" s="2">
        <v>0.59791666666666665</v>
      </c>
      <c r="M856" t="s">
        <v>23</v>
      </c>
      <c r="N856" s="1">
        <v>479.75</v>
      </c>
      <c r="O856" s="1">
        <v>4.7619047620000003</v>
      </c>
      <c r="P856" s="1">
        <v>23.987500000000001</v>
      </c>
      <c r="Q856">
        <v>8.8000000000000007</v>
      </c>
      <c r="R856" s="13">
        <v>43488</v>
      </c>
      <c r="S856">
        <f t="shared" si="52"/>
        <v>1</v>
      </c>
      <c r="T856">
        <f t="shared" si="53"/>
        <v>14</v>
      </c>
      <c r="U856">
        <f t="shared" si="54"/>
        <v>23</v>
      </c>
      <c r="V856" s="13" t="str">
        <f t="shared" si="55"/>
        <v>Wednesday</v>
      </c>
    </row>
    <row r="857" spans="1:22" x14ac:dyDescent="0.25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 s="1">
        <v>36.51</v>
      </c>
      <c r="H857">
        <v>9</v>
      </c>
      <c r="I857" s="1">
        <v>16.429500000000001</v>
      </c>
      <c r="J857" s="1">
        <v>345.01949999999999</v>
      </c>
      <c r="K857" s="3" t="s">
        <v>212</v>
      </c>
      <c r="L857" s="2">
        <v>0.45277777777777778</v>
      </c>
      <c r="M857" t="s">
        <v>29</v>
      </c>
      <c r="N857" s="1">
        <v>328.59</v>
      </c>
      <c r="O857" s="1">
        <v>4.7619047620000003</v>
      </c>
      <c r="P857" s="1">
        <v>16.429500000000001</v>
      </c>
      <c r="Q857">
        <v>4.2</v>
      </c>
      <c r="R857" s="13">
        <v>43512</v>
      </c>
      <c r="S857">
        <f t="shared" si="52"/>
        <v>2</v>
      </c>
      <c r="T857">
        <f t="shared" si="53"/>
        <v>10</v>
      </c>
      <c r="U857">
        <f t="shared" si="54"/>
        <v>16</v>
      </c>
      <c r="V857" s="13" t="str">
        <f t="shared" si="55"/>
        <v>Saturday</v>
      </c>
    </row>
    <row r="858" spans="1:22" x14ac:dyDescent="0.25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 s="1">
        <v>21.12</v>
      </c>
      <c r="H858">
        <v>8</v>
      </c>
      <c r="I858" s="1">
        <v>8.4480000000000004</v>
      </c>
      <c r="J858" s="1">
        <v>177.40799999999999</v>
      </c>
      <c r="K858" s="3">
        <v>43466</v>
      </c>
      <c r="L858" s="2">
        <v>0.81319444444444444</v>
      </c>
      <c r="M858" t="s">
        <v>29</v>
      </c>
      <c r="N858" s="1">
        <v>168.96</v>
      </c>
      <c r="O858" s="1">
        <v>4.7619047620000003</v>
      </c>
      <c r="P858" s="1">
        <v>8.4480000000000004</v>
      </c>
      <c r="Q858">
        <v>6.3</v>
      </c>
      <c r="R858" s="13">
        <v>43466</v>
      </c>
      <c r="S858">
        <f t="shared" si="52"/>
        <v>1</v>
      </c>
      <c r="T858">
        <f t="shared" si="53"/>
        <v>19</v>
      </c>
      <c r="U858">
        <f t="shared" si="54"/>
        <v>1</v>
      </c>
      <c r="V858" s="13" t="str">
        <f t="shared" si="55"/>
        <v>Tuesday</v>
      </c>
    </row>
    <row r="859" spans="1:22" x14ac:dyDescent="0.25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 s="1">
        <v>28.31</v>
      </c>
      <c r="H859">
        <v>4</v>
      </c>
      <c r="I859" s="1">
        <v>5.6619999999999999</v>
      </c>
      <c r="J859" s="1">
        <v>118.902</v>
      </c>
      <c r="K859" s="3">
        <v>43649</v>
      </c>
      <c r="L859" s="2">
        <v>0.77430555555555558</v>
      </c>
      <c r="M859" t="s">
        <v>29</v>
      </c>
      <c r="N859" s="1">
        <v>113.24</v>
      </c>
      <c r="O859" s="1">
        <v>4.7619047620000003</v>
      </c>
      <c r="P859" s="1">
        <v>5.6619999999999999</v>
      </c>
      <c r="Q859">
        <v>8.1999999999999993</v>
      </c>
      <c r="R859" s="13">
        <v>43531</v>
      </c>
      <c r="S859">
        <f t="shared" si="52"/>
        <v>3</v>
      </c>
      <c r="T859">
        <f t="shared" si="53"/>
        <v>18</v>
      </c>
      <c r="U859">
        <f t="shared" si="54"/>
        <v>7</v>
      </c>
      <c r="V859" s="13" t="str">
        <f t="shared" si="55"/>
        <v>Thursday</v>
      </c>
    </row>
    <row r="860" spans="1:22" x14ac:dyDescent="0.25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 s="1">
        <v>57.59</v>
      </c>
      <c r="H860">
        <v>6</v>
      </c>
      <c r="I860" s="1">
        <v>17.277000000000001</v>
      </c>
      <c r="J860" s="1">
        <v>362.81700000000001</v>
      </c>
      <c r="K860" s="3" t="s">
        <v>118</v>
      </c>
      <c r="L860" s="2">
        <v>0.57708333333333328</v>
      </c>
      <c r="M860" t="s">
        <v>29</v>
      </c>
      <c r="N860" s="1">
        <v>345.54</v>
      </c>
      <c r="O860" s="1">
        <v>4.7619047620000003</v>
      </c>
      <c r="P860" s="1">
        <v>17.277000000000001</v>
      </c>
      <c r="Q860">
        <v>5.0999999999999996</v>
      </c>
      <c r="R860" s="13">
        <v>43511</v>
      </c>
      <c r="S860">
        <f t="shared" si="52"/>
        <v>2</v>
      </c>
      <c r="T860">
        <f t="shared" si="53"/>
        <v>13</v>
      </c>
      <c r="U860">
        <f t="shared" si="54"/>
        <v>15</v>
      </c>
      <c r="V860" s="13" t="str">
        <f t="shared" si="55"/>
        <v>Friday</v>
      </c>
    </row>
    <row r="861" spans="1:22" x14ac:dyDescent="0.25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 s="1">
        <v>47.63</v>
      </c>
      <c r="H861">
        <v>9</v>
      </c>
      <c r="I861" s="1">
        <v>21.433499999999999</v>
      </c>
      <c r="J861" s="1">
        <v>450.1035</v>
      </c>
      <c r="K861" s="3" t="s">
        <v>147</v>
      </c>
      <c r="L861" s="2">
        <v>0.52430555555555558</v>
      </c>
      <c r="M861" t="s">
        <v>29</v>
      </c>
      <c r="N861" s="1">
        <v>428.67</v>
      </c>
      <c r="O861" s="1">
        <v>4.7619047620000003</v>
      </c>
      <c r="P861" s="1">
        <v>21.433499999999999</v>
      </c>
      <c r="Q861">
        <v>5</v>
      </c>
      <c r="R861" s="13">
        <v>43488</v>
      </c>
      <c r="S861">
        <f t="shared" si="52"/>
        <v>1</v>
      </c>
      <c r="T861">
        <f t="shared" si="53"/>
        <v>12</v>
      </c>
      <c r="U861">
        <f t="shared" si="54"/>
        <v>23</v>
      </c>
      <c r="V861" s="13" t="str">
        <f t="shared" si="55"/>
        <v>Wednesday</v>
      </c>
    </row>
    <row r="862" spans="1:22" x14ac:dyDescent="0.25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 s="1">
        <v>86.27</v>
      </c>
      <c r="H862">
        <v>1</v>
      </c>
      <c r="I862" s="1">
        <v>4.3135000000000003</v>
      </c>
      <c r="J862" s="1">
        <v>90.583500000000001</v>
      </c>
      <c r="K862" s="3" t="s">
        <v>49</v>
      </c>
      <c r="L862" s="2">
        <v>0.55833333333333335</v>
      </c>
      <c r="M862" t="s">
        <v>23</v>
      </c>
      <c r="N862" s="1">
        <v>86.27</v>
      </c>
      <c r="O862" s="1">
        <v>4.7619047620000003</v>
      </c>
      <c r="P862" s="1">
        <v>4.3135000000000003</v>
      </c>
      <c r="Q862">
        <v>7</v>
      </c>
      <c r="R862" s="13">
        <v>43516</v>
      </c>
      <c r="S862">
        <f t="shared" si="52"/>
        <v>2</v>
      </c>
      <c r="T862">
        <f t="shared" si="53"/>
        <v>13</v>
      </c>
      <c r="U862">
        <f t="shared" si="54"/>
        <v>20</v>
      </c>
      <c r="V862" s="13" t="str">
        <f t="shared" si="55"/>
        <v>Wednesday</v>
      </c>
    </row>
    <row r="863" spans="1:22" x14ac:dyDescent="0.25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 s="1">
        <v>12.76</v>
      </c>
      <c r="H863">
        <v>2</v>
      </c>
      <c r="I863" s="1">
        <v>1.276</v>
      </c>
      <c r="J863" s="1">
        <v>26.795999999999999</v>
      </c>
      <c r="K863" s="3">
        <v>43678</v>
      </c>
      <c r="L863" s="2">
        <v>0.75416666666666665</v>
      </c>
      <c r="M863" t="s">
        <v>23</v>
      </c>
      <c r="N863" s="1">
        <v>25.52</v>
      </c>
      <c r="O863" s="1">
        <v>4.7619047620000003</v>
      </c>
      <c r="P863" s="1">
        <v>1.276</v>
      </c>
      <c r="Q863">
        <v>7.8</v>
      </c>
      <c r="R863" s="13">
        <v>43473</v>
      </c>
      <c r="S863">
        <f t="shared" si="52"/>
        <v>1</v>
      </c>
      <c r="T863">
        <f t="shared" si="53"/>
        <v>18</v>
      </c>
      <c r="U863">
        <f t="shared" si="54"/>
        <v>8</v>
      </c>
      <c r="V863" s="13" t="str">
        <f t="shared" si="55"/>
        <v>Tuesday</v>
      </c>
    </row>
    <row r="864" spans="1:22" x14ac:dyDescent="0.25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 s="1">
        <v>11.28</v>
      </c>
      <c r="H864">
        <v>9</v>
      </c>
      <c r="I864" s="1">
        <v>5.0759999999999996</v>
      </c>
      <c r="J864" s="1">
        <v>106.596</v>
      </c>
      <c r="K864" s="3" t="s">
        <v>338</v>
      </c>
      <c r="L864" s="2">
        <v>0.49652777777777779</v>
      </c>
      <c r="M864" t="s">
        <v>33</v>
      </c>
      <c r="N864" s="1">
        <v>101.52</v>
      </c>
      <c r="O864" s="1">
        <v>4.7619047620000003</v>
      </c>
      <c r="P864" s="1">
        <v>5.0759999999999996</v>
      </c>
      <c r="Q864">
        <v>4.3</v>
      </c>
      <c r="R864" s="13">
        <v>43541</v>
      </c>
      <c r="S864">
        <f t="shared" si="52"/>
        <v>3</v>
      </c>
      <c r="T864">
        <f t="shared" si="53"/>
        <v>11</v>
      </c>
      <c r="U864">
        <f t="shared" si="54"/>
        <v>17</v>
      </c>
      <c r="V864" s="13" t="str">
        <f t="shared" si="55"/>
        <v>Sunday</v>
      </c>
    </row>
    <row r="865" spans="1:22" x14ac:dyDescent="0.25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 s="1">
        <v>51.07</v>
      </c>
      <c r="H865">
        <v>7</v>
      </c>
      <c r="I865" s="1">
        <v>17.874500000000001</v>
      </c>
      <c r="J865" s="1">
        <v>375.36450000000002</v>
      </c>
      <c r="K865" s="3">
        <v>43800</v>
      </c>
      <c r="L865" s="2">
        <v>0.48749999999999999</v>
      </c>
      <c r="M865" t="s">
        <v>29</v>
      </c>
      <c r="N865" s="1">
        <v>357.49</v>
      </c>
      <c r="O865" s="1">
        <v>4.7619047620000003</v>
      </c>
      <c r="P865" s="1">
        <v>17.874500000000001</v>
      </c>
      <c r="Q865">
        <v>7</v>
      </c>
      <c r="R865" s="13">
        <v>43477</v>
      </c>
      <c r="S865">
        <f t="shared" si="52"/>
        <v>1</v>
      </c>
      <c r="T865">
        <f t="shared" si="53"/>
        <v>11</v>
      </c>
      <c r="U865">
        <f t="shared" si="54"/>
        <v>12</v>
      </c>
      <c r="V865" s="13" t="str">
        <f t="shared" si="55"/>
        <v>Saturday</v>
      </c>
    </row>
    <row r="866" spans="1:22" x14ac:dyDescent="0.25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 s="1">
        <v>79.59</v>
      </c>
      <c r="H866">
        <v>3</v>
      </c>
      <c r="I866" s="1">
        <v>11.938499999999999</v>
      </c>
      <c r="J866" s="1">
        <v>250.70849999999999</v>
      </c>
      <c r="K866" s="3">
        <v>43678</v>
      </c>
      <c r="L866" s="2">
        <v>0.60416666666666663</v>
      </c>
      <c r="M866" t="s">
        <v>29</v>
      </c>
      <c r="N866" s="1">
        <v>238.77</v>
      </c>
      <c r="O866" s="1">
        <v>4.7619047620000003</v>
      </c>
      <c r="P866" s="1">
        <v>11.938499999999999</v>
      </c>
      <c r="Q866">
        <v>6.6</v>
      </c>
      <c r="R866" s="13">
        <v>43473</v>
      </c>
      <c r="S866">
        <f t="shared" si="52"/>
        <v>1</v>
      </c>
      <c r="T866">
        <f t="shared" si="53"/>
        <v>14</v>
      </c>
      <c r="U866">
        <f t="shared" si="54"/>
        <v>8</v>
      </c>
      <c r="V866" s="13" t="str">
        <f t="shared" si="55"/>
        <v>Tuesday</v>
      </c>
    </row>
    <row r="867" spans="1:22" x14ac:dyDescent="0.25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 s="1">
        <v>33.81</v>
      </c>
      <c r="H867">
        <v>3</v>
      </c>
      <c r="I867" s="1">
        <v>5.0715000000000003</v>
      </c>
      <c r="J867" s="1">
        <v>106.50149999999999</v>
      </c>
      <c r="K867" s="3" t="s">
        <v>145</v>
      </c>
      <c r="L867" s="2">
        <v>0.63263888888888886</v>
      </c>
      <c r="M867" t="s">
        <v>23</v>
      </c>
      <c r="N867" s="1">
        <v>101.43</v>
      </c>
      <c r="O867" s="1">
        <v>4.7619047620000003</v>
      </c>
      <c r="P867" s="1">
        <v>5.0715000000000003</v>
      </c>
      <c r="Q867">
        <v>7.3</v>
      </c>
      <c r="R867" s="13">
        <v>43491</v>
      </c>
      <c r="S867">
        <f t="shared" si="52"/>
        <v>1</v>
      </c>
      <c r="T867">
        <f t="shared" si="53"/>
        <v>15</v>
      </c>
      <c r="U867">
        <f t="shared" si="54"/>
        <v>26</v>
      </c>
      <c r="V867" s="13" t="str">
        <f t="shared" si="55"/>
        <v>Saturday</v>
      </c>
    </row>
    <row r="868" spans="1:22" x14ac:dyDescent="0.25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 s="1">
        <v>90.53</v>
      </c>
      <c r="H868">
        <v>8</v>
      </c>
      <c r="I868" s="1">
        <v>36.212000000000003</v>
      </c>
      <c r="J868" s="1">
        <v>760.452</v>
      </c>
      <c r="K868" s="3" t="s">
        <v>67</v>
      </c>
      <c r="L868" s="2">
        <v>0.6166666666666667</v>
      </c>
      <c r="M868" t="s">
        <v>33</v>
      </c>
      <c r="N868" s="1">
        <v>724.24</v>
      </c>
      <c r="O868" s="1">
        <v>4.7619047620000003</v>
      </c>
      <c r="P868" s="1">
        <v>36.212000000000003</v>
      </c>
      <c r="Q868">
        <v>6.5</v>
      </c>
      <c r="R868" s="13">
        <v>43539</v>
      </c>
      <c r="S868">
        <f t="shared" si="52"/>
        <v>3</v>
      </c>
      <c r="T868">
        <f t="shared" si="53"/>
        <v>14</v>
      </c>
      <c r="U868">
        <f t="shared" si="54"/>
        <v>15</v>
      </c>
      <c r="V868" s="13" t="str">
        <f t="shared" si="55"/>
        <v>Friday</v>
      </c>
    </row>
    <row r="869" spans="1:22" x14ac:dyDescent="0.25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 s="1">
        <v>62.82</v>
      </c>
      <c r="H869">
        <v>2</v>
      </c>
      <c r="I869" s="1">
        <v>6.282</v>
      </c>
      <c r="J869" s="1">
        <v>131.922</v>
      </c>
      <c r="K869" s="3" t="s">
        <v>91</v>
      </c>
      <c r="L869" s="2">
        <v>0.52500000000000002</v>
      </c>
      <c r="M869" t="s">
        <v>23</v>
      </c>
      <c r="N869" s="1">
        <v>125.64</v>
      </c>
      <c r="O869" s="1">
        <v>4.7619047620000003</v>
      </c>
      <c r="P869" s="1">
        <v>6.282</v>
      </c>
      <c r="Q869">
        <v>4.9000000000000004</v>
      </c>
      <c r="R869" s="13">
        <v>43482</v>
      </c>
      <c r="S869">
        <f t="shared" si="52"/>
        <v>1</v>
      </c>
      <c r="T869">
        <f t="shared" si="53"/>
        <v>12</v>
      </c>
      <c r="U869">
        <f t="shared" si="54"/>
        <v>17</v>
      </c>
      <c r="V869" s="13" t="str">
        <f t="shared" si="55"/>
        <v>Thursday</v>
      </c>
    </row>
    <row r="870" spans="1:22" x14ac:dyDescent="0.25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 s="1">
        <v>24.31</v>
      </c>
      <c r="H870">
        <v>3</v>
      </c>
      <c r="I870" s="1">
        <v>3.6465000000000001</v>
      </c>
      <c r="J870" s="1">
        <v>76.576499999999996</v>
      </c>
      <c r="K870" s="3">
        <v>43678</v>
      </c>
      <c r="L870" s="2">
        <v>0.79791666666666672</v>
      </c>
      <c r="M870" t="s">
        <v>33</v>
      </c>
      <c r="N870" s="1">
        <v>72.930000000000007</v>
      </c>
      <c r="O870" s="1">
        <v>4.7619047620000003</v>
      </c>
      <c r="P870" s="1">
        <v>3.6465000000000001</v>
      </c>
      <c r="Q870">
        <v>4.3</v>
      </c>
      <c r="R870" s="13">
        <v>43473</v>
      </c>
      <c r="S870">
        <f t="shared" si="52"/>
        <v>1</v>
      </c>
      <c r="T870">
        <f t="shared" si="53"/>
        <v>19</v>
      </c>
      <c r="U870">
        <f t="shared" si="54"/>
        <v>8</v>
      </c>
      <c r="V870" s="13" t="str">
        <f t="shared" si="55"/>
        <v>Tuesday</v>
      </c>
    </row>
    <row r="871" spans="1:22" x14ac:dyDescent="0.25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 s="1">
        <v>64.59</v>
      </c>
      <c r="H871">
        <v>4</v>
      </c>
      <c r="I871" s="1">
        <v>12.917999999999999</v>
      </c>
      <c r="J871" s="1">
        <v>271.27800000000002</v>
      </c>
      <c r="K871" s="3">
        <v>43617</v>
      </c>
      <c r="L871" s="2">
        <v>0.56597222222222221</v>
      </c>
      <c r="M871" t="s">
        <v>23</v>
      </c>
      <c r="N871" s="1">
        <v>258.36</v>
      </c>
      <c r="O871" s="1">
        <v>4.7619047620000003</v>
      </c>
      <c r="P871" s="1">
        <v>12.917999999999999</v>
      </c>
      <c r="Q871">
        <v>9.3000000000000007</v>
      </c>
      <c r="R871" s="13">
        <v>43471</v>
      </c>
      <c r="S871">
        <f t="shared" si="52"/>
        <v>1</v>
      </c>
      <c r="T871">
        <f t="shared" si="53"/>
        <v>13</v>
      </c>
      <c r="U871">
        <f t="shared" si="54"/>
        <v>6</v>
      </c>
      <c r="V871" s="13" t="str">
        <f t="shared" si="55"/>
        <v>Sunday</v>
      </c>
    </row>
    <row r="872" spans="1:22" x14ac:dyDescent="0.25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 s="1">
        <v>24.82</v>
      </c>
      <c r="H872">
        <v>7</v>
      </c>
      <c r="I872" s="1">
        <v>8.6869999999999994</v>
      </c>
      <c r="J872" s="1">
        <v>182.42699999999999</v>
      </c>
      <c r="K872" s="3" t="s">
        <v>212</v>
      </c>
      <c r="L872" s="2">
        <v>0.43958333333333333</v>
      </c>
      <c r="M872" t="s">
        <v>33</v>
      </c>
      <c r="N872" s="1">
        <v>173.74</v>
      </c>
      <c r="O872" s="1">
        <v>4.7619047620000003</v>
      </c>
      <c r="P872" s="1">
        <v>8.6869999999999994</v>
      </c>
      <c r="Q872">
        <v>7.1</v>
      </c>
      <c r="R872" s="13">
        <v>43512</v>
      </c>
      <c r="S872">
        <f t="shared" si="52"/>
        <v>2</v>
      </c>
      <c r="T872">
        <f t="shared" si="53"/>
        <v>10</v>
      </c>
      <c r="U872">
        <f t="shared" si="54"/>
        <v>16</v>
      </c>
      <c r="V872" s="13" t="str">
        <f t="shared" si="55"/>
        <v>Saturday</v>
      </c>
    </row>
    <row r="873" spans="1:22" x14ac:dyDescent="0.25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 s="1">
        <v>56.5</v>
      </c>
      <c r="H873">
        <v>1</v>
      </c>
      <c r="I873" s="1">
        <v>2.8250000000000002</v>
      </c>
      <c r="J873" s="1">
        <v>59.325000000000003</v>
      </c>
      <c r="K873" s="3" t="s">
        <v>125</v>
      </c>
      <c r="L873" s="2">
        <v>0.65625</v>
      </c>
      <c r="M873" t="s">
        <v>23</v>
      </c>
      <c r="N873" s="1">
        <v>56.5</v>
      </c>
      <c r="O873" s="1">
        <v>4.7619047620000003</v>
      </c>
      <c r="P873" s="1">
        <v>2.8250000000000002</v>
      </c>
      <c r="Q873">
        <v>9.6</v>
      </c>
      <c r="R873" s="13">
        <v>43537</v>
      </c>
      <c r="S873">
        <f t="shared" si="52"/>
        <v>3</v>
      </c>
      <c r="T873">
        <f t="shared" si="53"/>
        <v>15</v>
      </c>
      <c r="U873">
        <f t="shared" si="54"/>
        <v>13</v>
      </c>
      <c r="V873" s="13" t="str">
        <f t="shared" si="55"/>
        <v>Wednesday</v>
      </c>
    </row>
    <row r="874" spans="1:22" x14ac:dyDescent="0.25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 s="1">
        <v>21.43</v>
      </c>
      <c r="H874">
        <v>10</v>
      </c>
      <c r="I874" s="1">
        <v>10.715</v>
      </c>
      <c r="J874" s="1">
        <v>225.01499999999999</v>
      </c>
      <c r="K874" s="3" t="s">
        <v>80</v>
      </c>
      <c r="L874" s="2">
        <v>0.49375000000000002</v>
      </c>
      <c r="M874" t="s">
        <v>29</v>
      </c>
      <c r="N874" s="1">
        <v>214.3</v>
      </c>
      <c r="O874" s="1">
        <v>4.7619047620000003</v>
      </c>
      <c r="P874" s="1">
        <v>10.715</v>
      </c>
      <c r="Q874">
        <v>6.2</v>
      </c>
      <c r="R874" s="13">
        <v>43493</v>
      </c>
      <c r="S874">
        <f t="shared" si="52"/>
        <v>1</v>
      </c>
      <c r="T874">
        <f t="shared" si="53"/>
        <v>11</v>
      </c>
      <c r="U874">
        <f t="shared" si="54"/>
        <v>28</v>
      </c>
      <c r="V874" s="13" t="str">
        <f t="shared" si="55"/>
        <v>Monday</v>
      </c>
    </row>
    <row r="875" spans="1:22" x14ac:dyDescent="0.25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 s="1">
        <v>89.06</v>
      </c>
      <c r="H875">
        <v>6</v>
      </c>
      <c r="I875" s="1">
        <v>26.718</v>
      </c>
      <c r="J875" s="1">
        <v>561.07799999999997</v>
      </c>
      <c r="K875" s="3" t="s">
        <v>209</v>
      </c>
      <c r="L875" s="2">
        <v>0.72638888888888886</v>
      </c>
      <c r="M875" t="s">
        <v>29</v>
      </c>
      <c r="N875" s="1">
        <v>534.36</v>
      </c>
      <c r="O875" s="1">
        <v>4.7619047620000003</v>
      </c>
      <c r="P875" s="1">
        <v>26.718</v>
      </c>
      <c r="Q875">
        <v>9.9</v>
      </c>
      <c r="R875" s="13">
        <v>43483</v>
      </c>
      <c r="S875">
        <f t="shared" si="52"/>
        <v>1</v>
      </c>
      <c r="T875">
        <f t="shared" si="53"/>
        <v>17</v>
      </c>
      <c r="U875">
        <f t="shared" si="54"/>
        <v>18</v>
      </c>
      <c r="V875" s="13" t="str">
        <f t="shared" si="55"/>
        <v>Friday</v>
      </c>
    </row>
    <row r="876" spans="1:22" x14ac:dyDescent="0.25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 s="1">
        <v>23.29</v>
      </c>
      <c r="H876">
        <v>4</v>
      </c>
      <c r="I876" s="1">
        <v>4.6580000000000004</v>
      </c>
      <c r="J876" s="1">
        <v>97.817999999999998</v>
      </c>
      <c r="K876" s="3" t="s">
        <v>103</v>
      </c>
      <c r="L876" s="2">
        <v>0.49444444444444446</v>
      </c>
      <c r="M876" t="s">
        <v>33</v>
      </c>
      <c r="N876" s="1">
        <v>93.16</v>
      </c>
      <c r="O876" s="1">
        <v>4.7619047620000003</v>
      </c>
      <c r="P876" s="1">
        <v>4.6580000000000004</v>
      </c>
      <c r="Q876">
        <v>5.9</v>
      </c>
      <c r="R876" s="13">
        <v>43543</v>
      </c>
      <c r="S876">
        <f t="shared" si="52"/>
        <v>3</v>
      </c>
      <c r="T876">
        <f t="shared" si="53"/>
        <v>11</v>
      </c>
      <c r="U876">
        <f t="shared" si="54"/>
        <v>19</v>
      </c>
      <c r="V876" s="13" t="str">
        <f t="shared" si="55"/>
        <v>Tuesday</v>
      </c>
    </row>
    <row r="877" spans="1:22" x14ac:dyDescent="0.25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 s="1">
        <v>65.260000000000005</v>
      </c>
      <c r="H877">
        <v>8</v>
      </c>
      <c r="I877" s="1">
        <v>26.103999999999999</v>
      </c>
      <c r="J877" s="1">
        <v>548.18399999999997</v>
      </c>
      <c r="K877" s="3" t="s">
        <v>67</v>
      </c>
      <c r="L877" s="2">
        <v>0.58611111111111114</v>
      </c>
      <c r="M877" t="s">
        <v>23</v>
      </c>
      <c r="N877" s="1">
        <v>522.08000000000004</v>
      </c>
      <c r="O877" s="1">
        <v>4.7619047620000003</v>
      </c>
      <c r="P877" s="1">
        <v>26.103999999999999</v>
      </c>
      <c r="Q877">
        <v>6.3</v>
      </c>
      <c r="R877" s="13">
        <v>43539</v>
      </c>
      <c r="S877">
        <f t="shared" si="52"/>
        <v>3</v>
      </c>
      <c r="T877">
        <f t="shared" si="53"/>
        <v>14</v>
      </c>
      <c r="U877">
        <f t="shared" si="54"/>
        <v>15</v>
      </c>
      <c r="V877" s="13" t="str">
        <f t="shared" si="55"/>
        <v>Friday</v>
      </c>
    </row>
    <row r="878" spans="1:22" x14ac:dyDescent="0.25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 s="1">
        <v>52.35</v>
      </c>
      <c r="H878">
        <v>1</v>
      </c>
      <c r="I878" s="1">
        <v>2.6175000000000002</v>
      </c>
      <c r="J878" s="1">
        <v>54.967500000000001</v>
      </c>
      <c r="K878" s="3">
        <v>43801</v>
      </c>
      <c r="L878" s="2">
        <v>0.74236111111111114</v>
      </c>
      <c r="M878" t="s">
        <v>29</v>
      </c>
      <c r="N878" s="1">
        <v>52.35</v>
      </c>
      <c r="O878" s="1">
        <v>4.7619047620000003</v>
      </c>
      <c r="P878" s="1">
        <v>2.6175000000000002</v>
      </c>
      <c r="Q878">
        <v>4</v>
      </c>
      <c r="R878" s="13">
        <v>43508</v>
      </c>
      <c r="S878">
        <f t="shared" si="52"/>
        <v>2</v>
      </c>
      <c r="T878">
        <f t="shared" si="53"/>
        <v>17</v>
      </c>
      <c r="U878">
        <f t="shared" si="54"/>
        <v>12</v>
      </c>
      <c r="V878" s="13" t="str">
        <f t="shared" si="55"/>
        <v>Tuesday</v>
      </c>
    </row>
    <row r="879" spans="1:22" x14ac:dyDescent="0.25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 s="1">
        <v>39.75</v>
      </c>
      <c r="H879">
        <v>1</v>
      </c>
      <c r="I879" s="1">
        <v>1.9875</v>
      </c>
      <c r="J879" s="1">
        <v>41.737499999999997</v>
      </c>
      <c r="K879" s="3" t="s">
        <v>41</v>
      </c>
      <c r="L879" s="2">
        <v>0.84652777777777777</v>
      </c>
      <c r="M879" t="s">
        <v>29</v>
      </c>
      <c r="N879" s="1">
        <v>39.75</v>
      </c>
      <c r="O879" s="1">
        <v>4.7619047620000003</v>
      </c>
      <c r="P879" s="1">
        <v>1.9875</v>
      </c>
      <c r="Q879">
        <v>6.1</v>
      </c>
      <c r="R879" s="13">
        <v>43521</v>
      </c>
      <c r="S879">
        <f t="shared" si="52"/>
        <v>2</v>
      </c>
      <c r="T879">
        <f t="shared" si="53"/>
        <v>20</v>
      </c>
      <c r="U879">
        <f t="shared" si="54"/>
        <v>25</v>
      </c>
      <c r="V879" s="13" t="str">
        <f t="shared" si="55"/>
        <v>Monday</v>
      </c>
    </row>
    <row r="880" spans="1:22" x14ac:dyDescent="0.25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 s="1">
        <v>90.02</v>
      </c>
      <c r="H880">
        <v>8</v>
      </c>
      <c r="I880" s="1">
        <v>36.008000000000003</v>
      </c>
      <c r="J880" s="1">
        <v>756.16800000000001</v>
      </c>
      <c r="K880" s="3" t="s">
        <v>254</v>
      </c>
      <c r="L880" s="2">
        <v>0.67222222222222228</v>
      </c>
      <c r="M880" t="s">
        <v>33</v>
      </c>
      <c r="N880" s="1">
        <v>720.16</v>
      </c>
      <c r="O880" s="1">
        <v>4.7619047620000003</v>
      </c>
      <c r="P880" s="1">
        <v>36.008000000000003</v>
      </c>
      <c r="Q880">
        <v>4.5</v>
      </c>
      <c r="R880" s="13">
        <v>43545</v>
      </c>
      <c r="S880">
        <f t="shared" si="52"/>
        <v>3</v>
      </c>
      <c r="T880">
        <f t="shared" si="53"/>
        <v>16</v>
      </c>
      <c r="U880">
        <f t="shared" si="54"/>
        <v>21</v>
      </c>
      <c r="V880" s="13" t="str">
        <f t="shared" si="55"/>
        <v>Thursday</v>
      </c>
    </row>
    <row r="881" spans="1:22" x14ac:dyDescent="0.25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 s="1">
        <v>12.1</v>
      </c>
      <c r="H881">
        <v>8</v>
      </c>
      <c r="I881" s="1">
        <v>4.84</v>
      </c>
      <c r="J881" s="1">
        <v>101.64</v>
      </c>
      <c r="K881" s="3" t="s">
        <v>183</v>
      </c>
      <c r="L881" s="2">
        <v>0.4284722222222222</v>
      </c>
      <c r="M881" t="s">
        <v>23</v>
      </c>
      <c r="N881" s="1">
        <v>96.8</v>
      </c>
      <c r="O881" s="1">
        <v>4.7619047620000003</v>
      </c>
      <c r="P881" s="1">
        <v>4.84</v>
      </c>
      <c r="Q881">
        <v>8.6</v>
      </c>
      <c r="R881" s="13">
        <v>43484</v>
      </c>
      <c r="S881">
        <f t="shared" si="52"/>
        <v>1</v>
      </c>
      <c r="T881">
        <f t="shared" si="53"/>
        <v>10</v>
      </c>
      <c r="U881">
        <f t="shared" si="54"/>
        <v>19</v>
      </c>
      <c r="V881" s="13" t="str">
        <f t="shared" si="55"/>
        <v>Saturday</v>
      </c>
    </row>
    <row r="882" spans="1:22" x14ac:dyDescent="0.25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 s="1">
        <v>33.21</v>
      </c>
      <c r="H882">
        <v>10</v>
      </c>
      <c r="I882" s="1">
        <v>16.605</v>
      </c>
      <c r="J882" s="1">
        <v>348.70499999999998</v>
      </c>
      <c r="K882" s="3">
        <v>43678</v>
      </c>
      <c r="L882" s="2">
        <v>0.60069444444444442</v>
      </c>
      <c r="M882" t="s">
        <v>23</v>
      </c>
      <c r="N882" s="1">
        <v>332.1</v>
      </c>
      <c r="O882" s="1">
        <v>4.7619047620000003</v>
      </c>
      <c r="P882" s="1">
        <v>16.605</v>
      </c>
      <c r="Q882">
        <v>6</v>
      </c>
      <c r="R882" s="13">
        <v>43473</v>
      </c>
      <c r="S882">
        <f t="shared" si="52"/>
        <v>1</v>
      </c>
      <c r="T882">
        <f t="shared" si="53"/>
        <v>14</v>
      </c>
      <c r="U882">
        <f t="shared" si="54"/>
        <v>8</v>
      </c>
      <c r="V882" s="13" t="str">
        <f t="shared" si="55"/>
        <v>Tuesday</v>
      </c>
    </row>
    <row r="883" spans="1:22" x14ac:dyDescent="0.25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 s="1">
        <v>10.18</v>
      </c>
      <c r="H883">
        <v>8</v>
      </c>
      <c r="I883" s="1">
        <v>4.0720000000000001</v>
      </c>
      <c r="J883" s="1">
        <v>85.512</v>
      </c>
      <c r="K883" s="3" t="s">
        <v>235</v>
      </c>
      <c r="L883" s="2">
        <v>0.53541666666666665</v>
      </c>
      <c r="M883" t="s">
        <v>33</v>
      </c>
      <c r="N883" s="1">
        <v>81.44</v>
      </c>
      <c r="O883" s="1">
        <v>4.7619047620000003</v>
      </c>
      <c r="P883" s="1">
        <v>4.0720000000000001</v>
      </c>
      <c r="Q883">
        <v>9.5</v>
      </c>
      <c r="R883" s="13">
        <v>43554</v>
      </c>
      <c r="S883">
        <f t="shared" si="52"/>
        <v>3</v>
      </c>
      <c r="T883">
        <f t="shared" si="53"/>
        <v>12</v>
      </c>
      <c r="U883">
        <f t="shared" si="54"/>
        <v>30</v>
      </c>
      <c r="V883" s="13" t="str">
        <f t="shared" si="55"/>
        <v>Saturday</v>
      </c>
    </row>
    <row r="884" spans="1:22" x14ac:dyDescent="0.25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 s="1">
        <v>31.99</v>
      </c>
      <c r="H884">
        <v>10</v>
      </c>
      <c r="I884" s="1">
        <v>15.994999999999999</v>
      </c>
      <c r="J884" s="1">
        <v>335.89499999999998</v>
      </c>
      <c r="K884" s="3" t="s">
        <v>49</v>
      </c>
      <c r="L884" s="2">
        <v>0.63749999999999996</v>
      </c>
      <c r="M884" t="s">
        <v>33</v>
      </c>
      <c r="N884" s="1">
        <v>319.89999999999998</v>
      </c>
      <c r="O884" s="1">
        <v>4.7619047620000003</v>
      </c>
      <c r="P884" s="1">
        <v>15.994999999999999</v>
      </c>
      <c r="Q884">
        <v>9.9</v>
      </c>
      <c r="R884" s="13">
        <v>43516</v>
      </c>
      <c r="S884">
        <f t="shared" si="52"/>
        <v>2</v>
      </c>
      <c r="T884">
        <f t="shared" si="53"/>
        <v>15</v>
      </c>
      <c r="U884">
        <f t="shared" si="54"/>
        <v>20</v>
      </c>
      <c r="V884" s="13" t="str">
        <f t="shared" si="55"/>
        <v>Wednesday</v>
      </c>
    </row>
    <row r="885" spans="1:22" x14ac:dyDescent="0.25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 s="1">
        <v>34.42</v>
      </c>
      <c r="H885">
        <v>6</v>
      </c>
      <c r="I885" s="1">
        <v>10.326000000000001</v>
      </c>
      <c r="J885" s="1">
        <v>216.846</v>
      </c>
      <c r="K885" s="3" t="s">
        <v>235</v>
      </c>
      <c r="L885" s="2">
        <v>0.53125</v>
      </c>
      <c r="M885" t="s">
        <v>23</v>
      </c>
      <c r="N885" s="1">
        <v>206.52</v>
      </c>
      <c r="O885" s="1">
        <v>4.7619047620000003</v>
      </c>
      <c r="P885" s="1">
        <v>10.326000000000001</v>
      </c>
      <c r="Q885">
        <v>7.5</v>
      </c>
      <c r="R885" s="13">
        <v>43554</v>
      </c>
      <c r="S885">
        <f t="shared" si="52"/>
        <v>3</v>
      </c>
      <c r="T885">
        <f t="shared" si="53"/>
        <v>12</v>
      </c>
      <c r="U885">
        <f t="shared" si="54"/>
        <v>30</v>
      </c>
      <c r="V885" s="13" t="str">
        <f t="shared" si="55"/>
        <v>Saturday</v>
      </c>
    </row>
    <row r="886" spans="1:22" x14ac:dyDescent="0.25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 s="1">
        <v>83.34</v>
      </c>
      <c r="H886">
        <v>2</v>
      </c>
      <c r="I886" s="1">
        <v>8.3339999999999996</v>
      </c>
      <c r="J886" s="1">
        <v>175.01400000000001</v>
      </c>
      <c r="K886" s="3" t="s">
        <v>103</v>
      </c>
      <c r="L886" s="2">
        <v>0.56736111111111109</v>
      </c>
      <c r="M886" t="s">
        <v>29</v>
      </c>
      <c r="N886" s="1">
        <v>166.68</v>
      </c>
      <c r="O886" s="1">
        <v>4.7619047620000003</v>
      </c>
      <c r="P886" s="1">
        <v>8.3339999999999996</v>
      </c>
      <c r="Q886">
        <v>7.6</v>
      </c>
      <c r="R886" s="13">
        <v>43543</v>
      </c>
      <c r="S886">
        <f t="shared" si="52"/>
        <v>3</v>
      </c>
      <c r="T886">
        <f t="shared" si="53"/>
        <v>13</v>
      </c>
      <c r="U886">
        <f t="shared" si="54"/>
        <v>19</v>
      </c>
      <c r="V886" s="13" t="str">
        <f t="shared" si="55"/>
        <v>Tuesday</v>
      </c>
    </row>
    <row r="887" spans="1:22" x14ac:dyDescent="0.25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 s="1">
        <v>45.58</v>
      </c>
      <c r="H887">
        <v>7</v>
      </c>
      <c r="I887" s="1">
        <v>15.952999999999999</v>
      </c>
      <c r="J887" s="1">
        <v>335.01299999999998</v>
      </c>
      <c r="K887" s="3" t="s">
        <v>138</v>
      </c>
      <c r="L887" s="2">
        <v>0.41875000000000001</v>
      </c>
      <c r="M887" t="s">
        <v>29</v>
      </c>
      <c r="N887" s="1">
        <v>319.06</v>
      </c>
      <c r="O887" s="1">
        <v>4.7619047620000003</v>
      </c>
      <c r="P887" s="1">
        <v>15.952999999999999</v>
      </c>
      <c r="Q887">
        <v>5</v>
      </c>
      <c r="R887" s="13">
        <v>43478</v>
      </c>
      <c r="S887">
        <f t="shared" si="52"/>
        <v>1</v>
      </c>
      <c r="T887">
        <f t="shared" si="53"/>
        <v>10</v>
      </c>
      <c r="U887">
        <f t="shared" si="54"/>
        <v>13</v>
      </c>
      <c r="V887" s="13" t="str">
        <f t="shared" si="55"/>
        <v>Sunday</v>
      </c>
    </row>
    <row r="888" spans="1:22" x14ac:dyDescent="0.25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 s="1">
        <v>87.9</v>
      </c>
      <c r="H888">
        <v>1</v>
      </c>
      <c r="I888" s="1">
        <v>4.3949999999999996</v>
      </c>
      <c r="J888" s="1">
        <v>92.295000000000002</v>
      </c>
      <c r="K888" s="3">
        <v>43587</v>
      </c>
      <c r="L888" s="2">
        <v>0.8208333333333333</v>
      </c>
      <c r="M888" t="s">
        <v>23</v>
      </c>
      <c r="N888" s="1">
        <v>87.9</v>
      </c>
      <c r="O888" s="1">
        <v>4.7619047620000003</v>
      </c>
      <c r="P888" s="1">
        <v>4.3949999999999996</v>
      </c>
      <c r="Q888">
        <v>6.7</v>
      </c>
      <c r="R888" s="13">
        <v>43501</v>
      </c>
      <c r="S888">
        <f t="shared" si="52"/>
        <v>2</v>
      </c>
      <c r="T888">
        <f t="shared" si="53"/>
        <v>19</v>
      </c>
      <c r="U888">
        <f t="shared" si="54"/>
        <v>5</v>
      </c>
      <c r="V888" s="13" t="str">
        <f t="shared" si="55"/>
        <v>Tuesday</v>
      </c>
    </row>
    <row r="889" spans="1:22" x14ac:dyDescent="0.25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 s="1">
        <v>73.47</v>
      </c>
      <c r="H889">
        <v>10</v>
      </c>
      <c r="I889" s="1">
        <v>36.734999999999999</v>
      </c>
      <c r="J889" s="1">
        <v>771.43499999999995</v>
      </c>
      <c r="K889" s="3" t="s">
        <v>88</v>
      </c>
      <c r="L889" s="2">
        <v>0.55138888888888893</v>
      </c>
      <c r="M889" t="s">
        <v>23</v>
      </c>
      <c r="N889" s="1">
        <v>734.7</v>
      </c>
      <c r="O889" s="1">
        <v>4.7619047620000003</v>
      </c>
      <c r="P889" s="1">
        <v>36.734999999999999</v>
      </c>
      <c r="Q889">
        <v>9.5</v>
      </c>
      <c r="R889" s="13">
        <v>43547</v>
      </c>
      <c r="S889">
        <f t="shared" si="52"/>
        <v>3</v>
      </c>
      <c r="T889">
        <f t="shared" si="53"/>
        <v>13</v>
      </c>
      <c r="U889">
        <f t="shared" si="54"/>
        <v>23</v>
      </c>
      <c r="V889" s="13" t="str">
        <f t="shared" si="55"/>
        <v>Saturday</v>
      </c>
    </row>
    <row r="890" spans="1:22" x14ac:dyDescent="0.25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 s="1">
        <v>12.19</v>
      </c>
      <c r="H890">
        <v>8</v>
      </c>
      <c r="I890" s="1">
        <v>4.8760000000000003</v>
      </c>
      <c r="J890" s="1">
        <v>102.396</v>
      </c>
      <c r="K890" s="3" t="s">
        <v>125</v>
      </c>
      <c r="L890" s="2">
        <v>0.53263888888888888</v>
      </c>
      <c r="M890" t="s">
        <v>23</v>
      </c>
      <c r="N890" s="1">
        <v>97.52</v>
      </c>
      <c r="O890" s="1">
        <v>4.7619047620000003</v>
      </c>
      <c r="P890" s="1">
        <v>4.8760000000000003</v>
      </c>
      <c r="Q890">
        <v>6.8</v>
      </c>
      <c r="R890" s="13">
        <v>43537</v>
      </c>
      <c r="S890">
        <f t="shared" si="52"/>
        <v>3</v>
      </c>
      <c r="T890">
        <f t="shared" si="53"/>
        <v>12</v>
      </c>
      <c r="U890">
        <f t="shared" si="54"/>
        <v>13</v>
      </c>
      <c r="V890" s="13" t="str">
        <f t="shared" si="55"/>
        <v>Wednesday</v>
      </c>
    </row>
    <row r="891" spans="1:22" x14ac:dyDescent="0.25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 s="1">
        <v>76.92</v>
      </c>
      <c r="H891">
        <v>10</v>
      </c>
      <c r="I891" s="1">
        <v>38.46</v>
      </c>
      <c r="J891" s="1">
        <v>807.66</v>
      </c>
      <c r="K891" s="3" t="s">
        <v>338</v>
      </c>
      <c r="L891" s="2">
        <v>0.82847222222222228</v>
      </c>
      <c r="M891" t="s">
        <v>23</v>
      </c>
      <c r="N891" s="1">
        <v>769.2</v>
      </c>
      <c r="O891" s="1">
        <v>4.7619047620000003</v>
      </c>
      <c r="P891" s="1">
        <v>38.46</v>
      </c>
      <c r="Q891">
        <v>5.6</v>
      </c>
      <c r="R891" s="13">
        <v>43541</v>
      </c>
      <c r="S891">
        <f t="shared" si="52"/>
        <v>3</v>
      </c>
      <c r="T891">
        <f t="shared" si="53"/>
        <v>19</v>
      </c>
      <c r="U891">
        <f t="shared" si="54"/>
        <v>17</v>
      </c>
      <c r="V891" s="13" t="str">
        <f t="shared" si="55"/>
        <v>Sunday</v>
      </c>
    </row>
    <row r="892" spans="1:22" x14ac:dyDescent="0.25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 s="1">
        <v>83.66</v>
      </c>
      <c r="H892">
        <v>5</v>
      </c>
      <c r="I892" s="1">
        <v>20.914999999999999</v>
      </c>
      <c r="J892" s="1">
        <v>439.21499999999997</v>
      </c>
      <c r="K892" s="3" t="s">
        <v>301</v>
      </c>
      <c r="L892" s="2">
        <v>0.43472222222222223</v>
      </c>
      <c r="M892" t="s">
        <v>29</v>
      </c>
      <c r="N892" s="1">
        <v>418.3</v>
      </c>
      <c r="O892" s="1">
        <v>4.7619047620000003</v>
      </c>
      <c r="P892" s="1">
        <v>20.914999999999999</v>
      </c>
      <c r="Q892">
        <v>7.2</v>
      </c>
      <c r="R892" s="13">
        <v>43517</v>
      </c>
      <c r="S892">
        <f t="shared" si="52"/>
        <v>2</v>
      </c>
      <c r="T892">
        <f t="shared" si="53"/>
        <v>10</v>
      </c>
      <c r="U892">
        <f t="shared" si="54"/>
        <v>21</v>
      </c>
      <c r="V892" s="13" t="str">
        <f t="shared" si="55"/>
        <v>Thursday</v>
      </c>
    </row>
    <row r="893" spans="1:22" x14ac:dyDescent="0.25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 s="1">
        <v>57.91</v>
      </c>
      <c r="H893">
        <v>8</v>
      </c>
      <c r="I893" s="1">
        <v>23.164000000000001</v>
      </c>
      <c r="J893" s="1">
        <v>486.44400000000002</v>
      </c>
      <c r="K893" s="3">
        <v>43648</v>
      </c>
      <c r="L893" s="2">
        <v>0.62916666666666665</v>
      </c>
      <c r="M893" t="s">
        <v>29</v>
      </c>
      <c r="N893" s="1">
        <v>463.28</v>
      </c>
      <c r="O893" s="1">
        <v>4.7619047620000003</v>
      </c>
      <c r="P893" s="1">
        <v>23.164000000000001</v>
      </c>
      <c r="Q893">
        <v>8.1</v>
      </c>
      <c r="R893" s="13">
        <v>43503</v>
      </c>
      <c r="S893">
        <f t="shared" si="52"/>
        <v>2</v>
      </c>
      <c r="T893">
        <f t="shared" si="53"/>
        <v>15</v>
      </c>
      <c r="U893">
        <f t="shared" si="54"/>
        <v>7</v>
      </c>
      <c r="V893" s="13" t="str">
        <f t="shared" si="55"/>
        <v>Thursday</v>
      </c>
    </row>
    <row r="894" spans="1:22" x14ac:dyDescent="0.25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 s="1">
        <v>92.49</v>
      </c>
      <c r="H894">
        <v>5</v>
      </c>
      <c r="I894" s="1">
        <v>23.122499999999999</v>
      </c>
      <c r="J894" s="1">
        <v>485.57249999999999</v>
      </c>
      <c r="K894" s="3">
        <v>43499</v>
      </c>
      <c r="L894" s="2">
        <v>0.69097222222222221</v>
      </c>
      <c r="M894" t="s">
        <v>33</v>
      </c>
      <c r="N894" s="1">
        <v>462.45</v>
      </c>
      <c r="O894" s="1">
        <v>4.7619047620000003</v>
      </c>
      <c r="P894" s="1">
        <v>23.122499999999999</v>
      </c>
      <c r="Q894">
        <v>8.6</v>
      </c>
      <c r="R894" s="13">
        <v>43526</v>
      </c>
      <c r="S894">
        <f t="shared" si="52"/>
        <v>3</v>
      </c>
      <c r="T894">
        <f t="shared" si="53"/>
        <v>16</v>
      </c>
      <c r="U894">
        <f t="shared" si="54"/>
        <v>2</v>
      </c>
      <c r="V894" s="13" t="str">
        <f t="shared" si="55"/>
        <v>Saturday</v>
      </c>
    </row>
    <row r="895" spans="1:22" x14ac:dyDescent="0.25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 s="1">
        <v>28.38</v>
      </c>
      <c r="H895">
        <v>5</v>
      </c>
      <c r="I895" s="1">
        <v>7.0949999999999998</v>
      </c>
      <c r="J895" s="1">
        <v>148.995</v>
      </c>
      <c r="K895" s="3">
        <v>43619</v>
      </c>
      <c r="L895" s="2">
        <v>0.87291666666666667</v>
      </c>
      <c r="M895" t="s">
        <v>29</v>
      </c>
      <c r="N895" s="1">
        <v>141.9</v>
      </c>
      <c r="O895" s="1">
        <v>4.7619047620000003</v>
      </c>
      <c r="P895" s="1">
        <v>7.0949999999999998</v>
      </c>
      <c r="Q895">
        <v>9.4</v>
      </c>
      <c r="R895" s="13">
        <v>43530</v>
      </c>
      <c r="S895">
        <f t="shared" si="52"/>
        <v>3</v>
      </c>
      <c r="T895">
        <f t="shared" si="53"/>
        <v>20</v>
      </c>
      <c r="U895">
        <f t="shared" si="54"/>
        <v>6</v>
      </c>
      <c r="V895" s="13" t="str">
        <f t="shared" si="55"/>
        <v>Wednesday</v>
      </c>
    </row>
    <row r="896" spans="1:22" x14ac:dyDescent="0.25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 s="1">
        <v>50.45</v>
      </c>
      <c r="H896">
        <v>6</v>
      </c>
      <c r="I896" s="1">
        <v>15.135</v>
      </c>
      <c r="J896" s="1">
        <v>317.83499999999998</v>
      </c>
      <c r="K896" s="3">
        <v>43618</v>
      </c>
      <c r="L896" s="2">
        <v>0.63611111111111107</v>
      </c>
      <c r="M896" t="s">
        <v>33</v>
      </c>
      <c r="N896" s="1">
        <v>302.7</v>
      </c>
      <c r="O896" s="1">
        <v>4.7619047620000003</v>
      </c>
      <c r="P896" s="1">
        <v>15.135</v>
      </c>
      <c r="Q896">
        <v>8.9</v>
      </c>
      <c r="R896" s="13">
        <v>43502</v>
      </c>
      <c r="S896">
        <f t="shared" si="52"/>
        <v>2</v>
      </c>
      <c r="T896">
        <f t="shared" si="53"/>
        <v>15</v>
      </c>
      <c r="U896">
        <f t="shared" si="54"/>
        <v>6</v>
      </c>
      <c r="V896" s="13" t="str">
        <f t="shared" si="55"/>
        <v>Wednesday</v>
      </c>
    </row>
    <row r="897" spans="1:22" x14ac:dyDescent="0.25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 s="1">
        <v>99.16</v>
      </c>
      <c r="H897">
        <v>8</v>
      </c>
      <c r="I897" s="1">
        <v>39.664000000000001</v>
      </c>
      <c r="J897" s="1">
        <v>832.94399999999996</v>
      </c>
      <c r="K897" s="3" t="s">
        <v>80</v>
      </c>
      <c r="L897" s="2">
        <v>0.74097222222222225</v>
      </c>
      <c r="M897" t="s">
        <v>33</v>
      </c>
      <c r="N897" s="1">
        <v>793.28</v>
      </c>
      <c r="O897" s="1">
        <v>4.7619047620000003</v>
      </c>
      <c r="P897" s="1">
        <v>39.664000000000001</v>
      </c>
      <c r="Q897">
        <v>4.2</v>
      </c>
      <c r="R897" s="13">
        <v>43493</v>
      </c>
      <c r="S897">
        <f t="shared" si="52"/>
        <v>1</v>
      </c>
      <c r="T897">
        <f t="shared" si="53"/>
        <v>17</v>
      </c>
      <c r="U897">
        <f t="shared" si="54"/>
        <v>28</v>
      </c>
      <c r="V897" s="13" t="str">
        <f t="shared" si="55"/>
        <v>Monday</v>
      </c>
    </row>
    <row r="898" spans="1:22" x14ac:dyDescent="0.25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 s="1">
        <v>60.74</v>
      </c>
      <c r="H898">
        <v>7</v>
      </c>
      <c r="I898" s="1">
        <v>21.259</v>
      </c>
      <c r="J898" s="1">
        <v>446.43900000000002</v>
      </c>
      <c r="K898" s="3" t="s">
        <v>209</v>
      </c>
      <c r="L898" s="2">
        <v>0.68263888888888891</v>
      </c>
      <c r="M898" t="s">
        <v>23</v>
      </c>
      <c r="N898" s="1">
        <v>425.18</v>
      </c>
      <c r="O898" s="1">
        <v>4.7619047620000003</v>
      </c>
      <c r="P898" s="1">
        <v>21.259</v>
      </c>
      <c r="Q898">
        <v>5</v>
      </c>
      <c r="R898" s="13">
        <v>43483</v>
      </c>
      <c r="S898">
        <f t="shared" si="52"/>
        <v>1</v>
      </c>
      <c r="T898">
        <f t="shared" si="53"/>
        <v>16</v>
      </c>
      <c r="U898">
        <f t="shared" si="54"/>
        <v>18</v>
      </c>
      <c r="V898" s="13" t="str">
        <f t="shared" si="55"/>
        <v>Friday</v>
      </c>
    </row>
    <row r="899" spans="1:22" x14ac:dyDescent="0.25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 s="1">
        <v>47.27</v>
      </c>
      <c r="H899">
        <v>6</v>
      </c>
      <c r="I899" s="1">
        <v>14.180999999999999</v>
      </c>
      <c r="J899" s="1">
        <v>297.80099999999999</v>
      </c>
      <c r="K899" s="3">
        <v>43587</v>
      </c>
      <c r="L899" s="2">
        <v>0.4284722222222222</v>
      </c>
      <c r="M899" t="s">
        <v>29</v>
      </c>
      <c r="N899" s="1">
        <v>283.62</v>
      </c>
      <c r="O899" s="1">
        <v>4.7619047620000003</v>
      </c>
      <c r="P899" s="1">
        <v>14.180999999999999</v>
      </c>
      <c r="Q899">
        <v>8.8000000000000007</v>
      </c>
      <c r="R899" s="13">
        <v>43501</v>
      </c>
      <c r="S899">
        <f t="shared" ref="S899:S962" si="56">MONTH(R899)</f>
        <v>2</v>
      </c>
      <c r="T899">
        <f t="shared" ref="T899:T962" si="57">HOUR(L899)</f>
        <v>10</v>
      </c>
      <c r="U899">
        <f t="shared" ref="U899:U962" si="58">DAY(R899)</f>
        <v>5</v>
      </c>
      <c r="V899" s="13" t="str">
        <f t="shared" ref="V899:V962" si="59">TEXT(R899,"DDDD")</f>
        <v>Tuesday</v>
      </c>
    </row>
    <row r="900" spans="1:22" x14ac:dyDescent="0.25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 s="1">
        <v>85.6</v>
      </c>
      <c r="H900">
        <v>7</v>
      </c>
      <c r="I900" s="1">
        <v>29.96</v>
      </c>
      <c r="J900" s="1">
        <v>629.16</v>
      </c>
      <c r="K900" s="3">
        <v>43499</v>
      </c>
      <c r="L900" s="2">
        <v>0.57638888888888884</v>
      </c>
      <c r="M900" t="s">
        <v>29</v>
      </c>
      <c r="N900" s="1">
        <v>599.20000000000005</v>
      </c>
      <c r="O900" s="1">
        <v>4.7619047620000003</v>
      </c>
      <c r="P900" s="1">
        <v>29.96</v>
      </c>
      <c r="Q900">
        <v>5.3</v>
      </c>
      <c r="R900" s="13">
        <v>43526</v>
      </c>
      <c r="S900">
        <f t="shared" si="56"/>
        <v>3</v>
      </c>
      <c r="T900">
        <f t="shared" si="57"/>
        <v>13</v>
      </c>
      <c r="U900">
        <f t="shared" si="58"/>
        <v>2</v>
      </c>
      <c r="V900" s="13" t="str">
        <f t="shared" si="59"/>
        <v>Saturday</v>
      </c>
    </row>
    <row r="901" spans="1:22" x14ac:dyDescent="0.25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 s="1">
        <v>35.04</v>
      </c>
      <c r="H901">
        <v>9</v>
      </c>
      <c r="I901" s="1">
        <v>15.768000000000001</v>
      </c>
      <c r="J901" s="1">
        <v>331.12799999999999</v>
      </c>
      <c r="K901" s="3">
        <v>43710</v>
      </c>
      <c r="L901" s="2">
        <v>0.80347222222222225</v>
      </c>
      <c r="M901" t="s">
        <v>23</v>
      </c>
      <c r="N901" s="1">
        <v>315.36</v>
      </c>
      <c r="O901" s="1">
        <v>4.7619047620000003</v>
      </c>
      <c r="P901" s="1">
        <v>15.768000000000001</v>
      </c>
      <c r="Q901">
        <v>4.5999999999999996</v>
      </c>
      <c r="R901" s="13">
        <v>43505</v>
      </c>
      <c r="S901">
        <f t="shared" si="56"/>
        <v>2</v>
      </c>
      <c r="T901">
        <f t="shared" si="57"/>
        <v>19</v>
      </c>
      <c r="U901">
        <f t="shared" si="58"/>
        <v>9</v>
      </c>
      <c r="V901" s="13" t="str">
        <f t="shared" si="59"/>
        <v>Saturday</v>
      </c>
    </row>
    <row r="902" spans="1:22" x14ac:dyDescent="0.25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 s="1">
        <v>44.84</v>
      </c>
      <c r="H902">
        <v>9</v>
      </c>
      <c r="I902" s="1">
        <v>20.178000000000001</v>
      </c>
      <c r="J902" s="1">
        <v>423.738</v>
      </c>
      <c r="K902" s="3" t="s">
        <v>283</v>
      </c>
      <c r="L902" s="2">
        <v>0.58333333333333337</v>
      </c>
      <c r="M902" t="s">
        <v>33</v>
      </c>
      <c r="N902" s="1">
        <v>403.56</v>
      </c>
      <c r="O902" s="1">
        <v>4.7619047620000003</v>
      </c>
      <c r="P902" s="1">
        <v>20.178000000000001</v>
      </c>
      <c r="Q902">
        <v>7.5</v>
      </c>
      <c r="R902" s="13">
        <v>43479</v>
      </c>
      <c r="S902">
        <f t="shared" si="56"/>
        <v>1</v>
      </c>
      <c r="T902">
        <f t="shared" si="57"/>
        <v>14</v>
      </c>
      <c r="U902">
        <f t="shared" si="58"/>
        <v>14</v>
      </c>
      <c r="V902" s="13" t="str">
        <f t="shared" si="59"/>
        <v>Monday</v>
      </c>
    </row>
    <row r="903" spans="1:22" x14ac:dyDescent="0.25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 s="1">
        <v>45.97</v>
      </c>
      <c r="H903">
        <v>4</v>
      </c>
      <c r="I903" s="1">
        <v>9.1940000000000008</v>
      </c>
      <c r="J903" s="1">
        <v>193.07400000000001</v>
      </c>
      <c r="K903" s="3">
        <v>43710</v>
      </c>
      <c r="L903" s="2">
        <v>0.50138888888888888</v>
      </c>
      <c r="M903" t="s">
        <v>23</v>
      </c>
      <c r="N903" s="1">
        <v>183.88</v>
      </c>
      <c r="O903" s="1">
        <v>4.7619047620000003</v>
      </c>
      <c r="P903" s="1">
        <v>9.1940000000000008</v>
      </c>
      <c r="Q903">
        <v>5.0999999999999996</v>
      </c>
      <c r="R903" s="13">
        <v>43505</v>
      </c>
      <c r="S903">
        <f t="shared" si="56"/>
        <v>2</v>
      </c>
      <c r="T903">
        <f t="shared" si="57"/>
        <v>12</v>
      </c>
      <c r="U903">
        <f t="shared" si="58"/>
        <v>9</v>
      </c>
      <c r="V903" s="13" t="str">
        <f t="shared" si="59"/>
        <v>Saturday</v>
      </c>
    </row>
    <row r="904" spans="1:22" x14ac:dyDescent="0.25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1">
        <v>27.73</v>
      </c>
      <c r="H904">
        <v>5</v>
      </c>
      <c r="I904" s="1">
        <v>6.9325000000000001</v>
      </c>
      <c r="J904" s="1">
        <v>145.58250000000001</v>
      </c>
      <c r="K904" s="3" t="s">
        <v>167</v>
      </c>
      <c r="L904" s="2">
        <v>0.84791666666666665</v>
      </c>
      <c r="M904" t="s">
        <v>33</v>
      </c>
      <c r="N904" s="1">
        <v>138.65</v>
      </c>
      <c r="O904" s="1">
        <v>4.7619047620000003</v>
      </c>
      <c r="P904" s="1">
        <v>6.9325000000000001</v>
      </c>
      <c r="Q904">
        <v>4.2</v>
      </c>
      <c r="R904" s="13">
        <v>43550</v>
      </c>
      <c r="S904">
        <f t="shared" si="56"/>
        <v>3</v>
      </c>
      <c r="T904">
        <f t="shared" si="57"/>
        <v>20</v>
      </c>
      <c r="U904">
        <f t="shared" si="58"/>
        <v>26</v>
      </c>
      <c r="V904" s="13" t="str">
        <f t="shared" si="59"/>
        <v>Tuesday</v>
      </c>
    </row>
    <row r="905" spans="1:22" x14ac:dyDescent="0.25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 s="1">
        <v>11.53</v>
      </c>
      <c r="H905">
        <v>7</v>
      </c>
      <c r="I905" s="1">
        <v>4.0354999999999999</v>
      </c>
      <c r="J905" s="1">
        <v>84.745500000000007</v>
      </c>
      <c r="K905" s="3" t="s">
        <v>80</v>
      </c>
      <c r="L905" s="2">
        <v>0.73263888888888884</v>
      </c>
      <c r="M905" t="s">
        <v>29</v>
      </c>
      <c r="N905" s="1">
        <v>80.709999999999994</v>
      </c>
      <c r="O905" s="1">
        <v>4.7619047620000003</v>
      </c>
      <c r="P905" s="1">
        <v>4.0354999999999999</v>
      </c>
      <c r="Q905">
        <v>8.1</v>
      </c>
      <c r="R905" s="13">
        <v>43493</v>
      </c>
      <c r="S905">
        <f t="shared" si="56"/>
        <v>1</v>
      </c>
      <c r="T905">
        <f t="shared" si="57"/>
        <v>17</v>
      </c>
      <c r="U905">
        <f t="shared" si="58"/>
        <v>28</v>
      </c>
      <c r="V905" s="13" t="str">
        <f t="shared" si="59"/>
        <v>Monday</v>
      </c>
    </row>
    <row r="906" spans="1:22" x14ac:dyDescent="0.25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 s="1">
        <v>58.32</v>
      </c>
      <c r="H906">
        <v>2</v>
      </c>
      <c r="I906" s="1">
        <v>5.8319999999999999</v>
      </c>
      <c r="J906" s="1">
        <v>122.47199999999999</v>
      </c>
      <c r="K906" s="3" t="s">
        <v>123</v>
      </c>
      <c r="L906" s="2">
        <v>0.52916666666666667</v>
      </c>
      <c r="M906" t="s">
        <v>23</v>
      </c>
      <c r="N906" s="1">
        <v>116.64</v>
      </c>
      <c r="O906" s="1">
        <v>4.7619047620000003</v>
      </c>
      <c r="P906" s="1">
        <v>5.8319999999999999</v>
      </c>
      <c r="Q906">
        <v>6</v>
      </c>
      <c r="R906" s="13">
        <v>43510</v>
      </c>
      <c r="S906">
        <f t="shared" si="56"/>
        <v>2</v>
      </c>
      <c r="T906">
        <f t="shared" si="57"/>
        <v>12</v>
      </c>
      <c r="U906">
        <f t="shared" si="58"/>
        <v>14</v>
      </c>
      <c r="V906" s="13" t="str">
        <f t="shared" si="59"/>
        <v>Thursday</v>
      </c>
    </row>
    <row r="907" spans="1:22" x14ac:dyDescent="0.25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 s="1">
        <v>78.38</v>
      </c>
      <c r="H907">
        <v>4</v>
      </c>
      <c r="I907" s="1">
        <v>15.676</v>
      </c>
      <c r="J907" s="1">
        <v>329.19600000000003</v>
      </c>
      <c r="K907" s="3" t="s">
        <v>177</v>
      </c>
      <c r="L907" s="2">
        <v>0.74722222222222223</v>
      </c>
      <c r="M907" t="s">
        <v>29</v>
      </c>
      <c r="N907" s="1">
        <v>313.52</v>
      </c>
      <c r="O907" s="1">
        <v>4.7619047620000003</v>
      </c>
      <c r="P907" s="1">
        <v>15.676</v>
      </c>
      <c r="Q907">
        <v>7.9</v>
      </c>
      <c r="R907" s="13">
        <v>43548</v>
      </c>
      <c r="S907">
        <f t="shared" si="56"/>
        <v>3</v>
      </c>
      <c r="T907">
        <f t="shared" si="57"/>
        <v>17</v>
      </c>
      <c r="U907">
        <f t="shared" si="58"/>
        <v>24</v>
      </c>
      <c r="V907" s="13" t="str">
        <f t="shared" si="59"/>
        <v>Sunday</v>
      </c>
    </row>
    <row r="908" spans="1:22" x14ac:dyDescent="0.25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 s="1">
        <v>84.61</v>
      </c>
      <c r="H908">
        <v>10</v>
      </c>
      <c r="I908" s="1">
        <v>42.305</v>
      </c>
      <c r="J908" s="1">
        <v>888.40499999999997</v>
      </c>
      <c r="K908" s="3">
        <v>43710</v>
      </c>
      <c r="L908" s="2">
        <v>0.79027777777777775</v>
      </c>
      <c r="M908" t="s">
        <v>33</v>
      </c>
      <c r="N908" s="1">
        <v>846.1</v>
      </c>
      <c r="O908" s="1">
        <v>4.7619047620000003</v>
      </c>
      <c r="P908" s="1">
        <v>42.305</v>
      </c>
      <c r="Q908">
        <v>8.8000000000000007</v>
      </c>
      <c r="R908" s="13">
        <v>43505</v>
      </c>
      <c r="S908">
        <f t="shared" si="56"/>
        <v>2</v>
      </c>
      <c r="T908">
        <f t="shared" si="57"/>
        <v>18</v>
      </c>
      <c r="U908">
        <f t="shared" si="58"/>
        <v>9</v>
      </c>
      <c r="V908" s="13" t="str">
        <f t="shared" si="59"/>
        <v>Saturday</v>
      </c>
    </row>
    <row r="909" spans="1:22" x14ac:dyDescent="0.25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 s="1">
        <v>82.88</v>
      </c>
      <c r="H909">
        <v>5</v>
      </c>
      <c r="I909" s="1">
        <v>20.72</v>
      </c>
      <c r="J909" s="1">
        <v>435.12</v>
      </c>
      <c r="K909" s="3" t="s">
        <v>177</v>
      </c>
      <c r="L909" s="2">
        <v>0.58888888888888891</v>
      </c>
      <c r="M909" t="s">
        <v>33</v>
      </c>
      <c r="N909" s="1">
        <v>414.4</v>
      </c>
      <c r="O909" s="1">
        <v>4.7619047620000003</v>
      </c>
      <c r="P909" s="1">
        <v>20.72</v>
      </c>
      <c r="Q909">
        <v>6.6</v>
      </c>
      <c r="R909" s="13">
        <v>43548</v>
      </c>
      <c r="S909">
        <f t="shared" si="56"/>
        <v>3</v>
      </c>
      <c r="T909">
        <f t="shared" si="57"/>
        <v>14</v>
      </c>
      <c r="U909">
        <f t="shared" si="58"/>
        <v>24</v>
      </c>
      <c r="V909" s="13" t="str">
        <f t="shared" si="59"/>
        <v>Sunday</v>
      </c>
    </row>
    <row r="910" spans="1:22" x14ac:dyDescent="0.25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 s="1">
        <v>79.540000000000006</v>
      </c>
      <c r="H910">
        <v>2</v>
      </c>
      <c r="I910" s="1">
        <v>7.9539999999999997</v>
      </c>
      <c r="J910" s="1">
        <v>167.03399999999999</v>
      </c>
      <c r="K910" s="3" t="s">
        <v>112</v>
      </c>
      <c r="L910" s="2">
        <v>0.6875</v>
      </c>
      <c r="M910" t="s">
        <v>23</v>
      </c>
      <c r="N910" s="1">
        <v>159.08000000000001</v>
      </c>
      <c r="O910" s="1">
        <v>4.7619047620000003</v>
      </c>
      <c r="P910" s="1">
        <v>7.9539999999999997</v>
      </c>
      <c r="Q910">
        <v>6.2</v>
      </c>
      <c r="R910" s="13">
        <v>43551</v>
      </c>
      <c r="S910">
        <f t="shared" si="56"/>
        <v>3</v>
      </c>
      <c r="T910">
        <f t="shared" si="57"/>
        <v>16</v>
      </c>
      <c r="U910">
        <f t="shared" si="58"/>
        <v>27</v>
      </c>
      <c r="V910" s="13" t="str">
        <f t="shared" si="59"/>
        <v>Wednesday</v>
      </c>
    </row>
    <row r="911" spans="1:22" x14ac:dyDescent="0.25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 s="1">
        <v>49.01</v>
      </c>
      <c r="H911">
        <v>10</v>
      </c>
      <c r="I911" s="1">
        <v>24.504999999999999</v>
      </c>
      <c r="J911" s="1">
        <v>514.60500000000002</v>
      </c>
      <c r="K911" s="3" t="s">
        <v>35</v>
      </c>
      <c r="L911" s="2">
        <v>0.44722222222222224</v>
      </c>
      <c r="M911" t="s">
        <v>33</v>
      </c>
      <c r="N911" s="1">
        <v>490.1</v>
      </c>
      <c r="O911" s="1">
        <v>4.7619047620000003</v>
      </c>
      <c r="P911" s="1">
        <v>24.504999999999999</v>
      </c>
      <c r="Q911">
        <v>4.2</v>
      </c>
      <c r="R911" s="13">
        <v>43492</v>
      </c>
      <c r="S911">
        <f t="shared" si="56"/>
        <v>1</v>
      </c>
      <c r="T911">
        <f t="shared" si="57"/>
        <v>10</v>
      </c>
      <c r="U911">
        <f t="shared" si="58"/>
        <v>27</v>
      </c>
      <c r="V911" s="13" t="str">
        <f t="shared" si="59"/>
        <v>Sunday</v>
      </c>
    </row>
    <row r="912" spans="1:22" x14ac:dyDescent="0.25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 s="1">
        <v>29.15</v>
      </c>
      <c r="H912">
        <v>3</v>
      </c>
      <c r="I912" s="1">
        <v>4.3724999999999996</v>
      </c>
      <c r="J912" s="1">
        <v>91.822500000000005</v>
      </c>
      <c r="K912" s="3" t="s">
        <v>112</v>
      </c>
      <c r="L912" s="2">
        <v>0.85347222222222219</v>
      </c>
      <c r="M912" t="s">
        <v>33</v>
      </c>
      <c r="N912" s="1">
        <v>87.45</v>
      </c>
      <c r="O912" s="1">
        <v>4.7619047620000003</v>
      </c>
      <c r="P912" s="1">
        <v>4.3724999999999996</v>
      </c>
      <c r="Q912">
        <v>7.3</v>
      </c>
      <c r="R912" s="13">
        <v>43551</v>
      </c>
      <c r="S912">
        <f t="shared" si="56"/>
        <v>3</v>
      </c>
      <c r="T912">
        <f t="shared" si="57"/>
        <v>20</v>
      </c>
      <c r="U912">
        <f t="shared" si="58"/>
        <v>27</v>
      </c>
      <c r="V912" s="13" t="str">
        <f t="shared" si="59"/>
        <v>Wednesday</v>
      </c>
    </row>
    <row r="913" spans="1:22" x14ac:dyDescent="0.25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 s="1">
        <v>56.13</v>
      </c>
      <c r="H913">
        <v>4</v>
      </c>
      <c r="I913" s="1">
        <v>11.226000000000001</v>
      </c>
      <c r="J913" s="1">
        <v>235.74600000000001</v>
      </c>
      <c r="K913" s="3" t="s">
        <v>183</v>
      </c>
      <c r="L913" s="2">
        <v>0.48819444444444443</v>
      </c>
      <c r="M913" t="s">
        <v>23</v>
      </c>
      <c r="N913" s="1">
        <v>224.52</v>
      </c>
      <c r="O913" s="1">
        <v>4.7619047620000003</v>
      </c>
      <c r="P913" s="1">
        <v>11.226000000000001</v>
      </c>
      <c r="Q913">
        <v>8.6</v>
      </c>
      <c r="R913" s="13">
        <v>43484</v>
      </c>
      <c r="S913">
        <f t="shared" si="56"/>
        <v>1</v>
      </c>
      <c r="T913">
        <f t="shared" si="57"/>
        <v>11</v>
      </c>
      <c r="U913">
        <f t="shared" si="58"/>
        <v>19</v>
      </c>
      <c r="V913" s="13" t="str">
        <f t="shared" si="59"/>
        <v>Saturday</v>
      </c>
    </row>
    <row r="914" spans="1:22" x14ac:dyDescent="0.25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 s="1">
        <v>93.12</v>
      </c>
      <c r="H914">
        <v>8</v>
      </c>
      <c r="I914" s="1">
        <v>37.247999999999998</v>
      </c>
      <c r="J914" s="1">
        <v>782.20799999999997</v>
      </c>
      <c r="K914" s="3">
        <v>43648</v>
      </c>
      <c r="L914" s="2">
        <v>0.42291666666666666</v>
      </c>
      <c r="M914" t="s">
        <v>29</v>
      </c>
      <c r="N914" s="1">
        <v>744.96</v>
      </c>
      <c r="O914" s="1">
        <v>4.7619047620000003</v>
      </c>
      <c r="P914" s="1">
        <v>37.247999999999998</v>
      </c>
      <c r="Q914">
        <v>6.8</v>
      </c>
      <c r="R914" s="13">
        <v>43503</v>
      </c>
      <c r="S914">
        <f t="shared" si="56"/>
        <v>2</v>
      </c>
      <c r="T914">
        <f t="shared" si="57"/>
        <v>10</v>
      </c>
      <c r="U914">
        <f t="shared" si="58"/>
        <v>7</v>
      </c>
      <c r="V914" s="13" t="str">
        <f t="shared" si="59"/>
        <v>Thursday</v>
      </c>
    </row>
    <row r="915" spans="1:22" x14ac:dyDescent="0.25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 s="1">
        <v>51.34</v>
      </c>
      <c r="H915">
        <v>8</v>
      </c>
      <c r="I915" s="1">
        <v>20.536000000000001</v>
      </c>
      <c r="J915" s="1">
        <v>431.25599999999997</v>
      </c>
      <c r="K915" s="3" t="s">
        <v>305</v>
      </c>
      <c r="L915" s="2">
        <v>0.41666666666666669</v>
      </c>
      <c r="M915" t="s">
        <v>23</v>
      </c>
      <c r="N915" s="1">
        <v>410.72</v>
      </c>
      <c r="O915" s="1">
        <v>4.7619047620000003</v>
      </c>
      <c r="P915" s="1">
        <v>20.536000000000001</v>
      </c>
      <c r="Q915">
        <v>7.6</v>
      </c>
      <c r="R915" s="13">
        <v>43496</v>
      </c>
      <c r="S915">
        <f t="shared" si="56"/>
        <v>1</v>
      </c>
      <c r="T915">
        <f t="shared" si="57"/>
        <v>10</v>
      </c>
      <c r="U915">
        <f t="shared" si="58"/>
        <v>31</v>
      </c>
      <c r="V915" s="13" t="str">
        <f t="shared" si="59"/>
        <v>Thursday</v>
      </c>
    </row>
    <row r="916" spans="1:22" x14ac:dyDescent="0.25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 s="1">
        <v>99.6</v>
      </c>
      <c r="H916">
        <v>3</v>
      </c>
      <c r="I916" s="1">
        <v>14.94</v>
      </c>
      <c r="J916" s="1">
        <v>313.74</v>
      </c>
      <c r="K916" s="3" t="s">
        <v>41</v>
      </c>
      <c r="L916" s="2">
        <v>0.78125</v>
      </c>
      <c r="M916" t="s">
        <v>29</v>
      </c>
      <c r="N916" s="1">
        <v>298.8</v>
      </c>
      <c r="O916" s="1">
        <v>4.7619047620000003</v>
      </c>
      <c r="P916" s="1">
        <v>14.94</v>
      </c>
      <c r="Q916">
        <v>5.8</v>
      </c>
      <c r="R916" s="13">
        <v>43521</v>
      </c>
      <c r="S916">
        <f t="shared" si="56"/>
        <v>2</v>
      </c>
      <c r="T916">
        <f t="shared" si="57"/>
        <v>18</v>
      </c>
      <c r="U916">
        <f t="shared" si="58"/>
        <v>25</v>
      </c>
      <c r="V916" s="13" t="str">
        <f t="shared" si="59"/>
        <v>Monday</v>
      </c>
    </row>
    <row r="917" spans="1:22" x14ac:dyDescent="0.25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 s="1">
        <v>35.49</v>
      </c>
      <c r="H917">
        <v>6</v>
      </c>
      <c r="I917" s="1">
        <v>10.647</v>
      </c>
      <c r="J917" s="1">
        <v>223.58699999999999</v>
      </c>
      <c r="K917" s="3">
        <v>43498</v>
      </c>
      <c r="L917" s="2">
        <v>0.52777777777777779</v>
      </c>
      <c r="M917" t="s">
        <v>29</v>
      </c>
      <c r="N917" s="1">
        <v>212.94</v>
      </c>
      <c r="O917" s="1">
        <v>4.7619047620000003</v>
      </c>
      <c r="P917" s="1">
        <v>10.647</v>
      </c>
      <c r="Q917">
        <v>4.0999999999999996</v>
      </c>
      <c r="R917" s="13">
        <v>43498</v>
      </c>
      <c r="S917">
        <f t="shared" si="56"/>
        <v>2</v>
      </c>
      <c r="T917">
        <f t="shared" si="57"/>
        <v>12</v>
      </c>
      <c r="U917">
        <f t="shared" si="58"/>
        <v>2</v>
      </c>
      <c r="V917" s="13" t="str">
        <f t="shared" si="59"/>
        <v>Saturday</v>
      </c>
    </row>
    <row r="918" spans="1:22" x14ac:dyDescent="0.25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 s="1">
        <v>42.85</v>
      </c>
      <c r="H918">
        <v>1</v>
      </c>
      <c r="I918" s="1">
        <v>2.1425000000000001</v>
      </c>
      <c r="J918" s="1">
        <v>44.9925</v>
      </c>
      <c r="K918" s="3" t="s">
        <v>354</v>
      </c>
      <c r="L918" s="2">
        <v>0.65</v>
      </c>
      <c r="M918" t="s">
        <v>33</v>
      </c>
      <c r="N918" s="1">
        <v>42.85</v>
      </c>
      <c r="O918" s="1">
        <v>4.7619047620000003</v>
      </c>
      <c r="P918" s="1">
        <v>2.1425000000000001</v>
      </c>
      <c r="Q918">
        <v>9.3000000000000007</v>
      </c>
      <c r="R918" s="13">
        <v>43538</v>
      </c>
      <c r="S918">
        <f t="shared" si="56"/>
        <v>3</v>
      </c>
      <c r="T918">
        <f t="shared" si="57"/>
        <v>15</v>
      </c>
      <c r="U918">
        <f t="shared" si="58"/>
        <v>14</v>
      </c>
      <c r="V918" s="13" t="str">
        <f t="shared" si="59"/>
        <v>Thursday</v>
      </c>
    </row>
    <row r="919" spans="1:22" x14ac:dyDescent="0.25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 s="1">
        <v>94.67</v>
      </c>
      <c r="H919">
        <v>4</v>
      </c>
      <c r="I919" s="1">
        <v>18.934000000000001</v>
      </c>
      <c r="J919" s="1">
        <v>397.61399999999998</v>
      </c>
      <c r="K919" s="3">
        <v>43772</v>
      </c>
      <c r="L919" s="2">
        <v>0.50277777777777777</v>
      </c>
      <c r="M919" t="s">
        <v>29</v>
      </c>
      <c r="N919" s="1">
        <v>378.68</v>
      </c>
      <c r="O919" s="1">
        <v>4.7619047620000003</v>
      </c>
      <c r="P919" s="1">
        <v>18.934000000000001</v>
      </c>
      <c r="Q919">
        <v>6.8</v>
      </c>
      <c r="R919" s="13">
        <v>43535</v>
      </c>
      <c r="S919">
        <f t="shared" si="56"/>
        <v>3</v>
      </c>
      <c r="T919">
        <f t="shared" si="57"/>
        <v>12</v>
      </c>
      <c r="U919">
        <f t="shared" si="58"/>
        <v>11</v>
      </c>
      <c r="V919" s="13" t="str">
        <f t="shared" si="59"/>
        <v>Monday</v>
      </c>
    </row>
    <row r="920" spans="1:22" x14ac:dyDescent="0.25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 s="1">
        <v>68.97</v>
      </c>
      <c r="H920">
        <v>3</v>
      </c>
      <c r="I920" s="1">
        <v>10.345499999999999</v>
      </c>
      <c r="J920" s="1">
        <v>217.25550000000001</v>
      </c>
      <c r="K920" s="3" t="s">
        <v>218</v>
      </c>
      <c r="L920" s="2">
        <v>0.47638888888888886</v>
      </c>
      <c r="M920" t="s">
        <v>23</v>
      </c>
      <c r="N920" s="1">
        <v>206.91</v>
      </c>
      <c r="O920" s="1">
        <v>4.7619047620000003</v>
      </c>
      <c r="P920" s="1">
        <v>10.345499999999999</v>
      </c>
      <c r="Q920">
        <v>8.6999999999999993</v>
      </c>
      <c r="R920" s="13">
        <v>43518</v>
      </c>
      <c r="S920">
        <f t="shared" si="56"/>
        <v>2</v>
      </c>
      <c r="T920">
        <f t="shared" si="57"/>
        <v>11</v>
      </c>
      <c r="U920">
        <f t="shared" si="58"/>
        <v>22</v>
      </c>
      <c r="V920" s="13" t="str">
        <f t="shared" si="59"/>
        <v>Friday</v>
      </c>
    </row>
    <row r="921" spans="1:22" x14ac:dyDescent="0.25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 s="1">
        <v>26.26</v>
      </c>
      <c r="H921">
        <v>3</v>
      </c>
      <c r="I921" s="1">
        <v>3.9390000000000001</v>
      </c>
      <c r="J921" s="1">
        <v>82.718999999999994</v>
      </c>
      <c r="K921" s="3">
        <v>43499</v>
      </c>
      <c r="L921" s="2">
        <v>0.52500000000000002</v>
      </c>
      <c r="M921" t="s">
        <v>23</v>
      </c>
      <c r="N921" s="1">
        <v>78.78</v>
      </c>
      <c r="O921" s="1">
        <v>4.7619047620000003</v>
      </c>
      <c r="P921" s="1">
        <v>3.9390000000000001</v>
      </c>
      <c r="Q921">
        <v>6.3</v>
      </c>
      <c r="R921" s="13">
        <v>43526</v>
      </c>
      <c r="S921">
        <f t="shared" si="56"/>
        <v>3</v>
      </c>
      <c r="T921">
        <f t="shared" si="57"/>
        <v>12</v>
      </c>
      <c r="U921">
        <f t="shared" si="58"/>
        <v>2</v>
      </c>
      <c r="V921" s="13" t="str">
        <f t="shared" si="59"/>
        <v>Saturday</v>
      </c>
    </row>
    <row r="922" spans="1:22" x14ac:dyDescent="0.25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 s="1">
        <v>35.79</v>
      </c>
      <c r="H922">
        <v>9</v>
      </c>
      <c r="I922" s="1">
        <v>16.105499999999999</v>
      </c>
      <c r="J922" s="1">
        <v>338.21550000000002</v>
      </c>
      <c r="K922" s="3">
        <v>43741</v>
      </c>
      <c r="L922" s="2">
        <v>0.62916666666666665</v>
      </c>
      <c r="M922" t="s">
        <v>33</v>
      </c>
      <c r="N922" s="1">
        <v>322.11</v>
      </c>
      <c r="O922" s="1">
        <v>4.7619047620000003</v>
      </c>
      <c r="P922" s="1">
        <v>16.105499999999999</v>
      </c>
      <c r="Q922">
        <v>5.0999999999999996</v>
      </c>
      <c r="R922" s="13">
        <v>43534</v>
      </c>
      <c r="S922">
        <f t="shared" si="56"/>
        <v>3</v>
      </c>
      <c r="T922">
        <f t="shared" si="57"/>
        <v>15</v>
      </c>
      <c r="U922">
        <f t="shared" si="58"/>
        <v>10</v>
      </c>
      <c r="V922" s="13" t="str">
        <f t="shared" si="59"/>
        <v>Sunday</v>
      </c>
    </row>
    <row r="923" spans="1:22" x14ac:dyDescent="0.25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 s="1">
        <v>16.37</v>
      </c>
      <c r="H923">
        <v>6</v>
      </c>
      <c r="I923" s="1">
        <v>4.9109999999999996</v>
      </c>
      <c r="J923" s="1">
        <v>103.131</v>
      </c>
      <c r="K923" s="3">
        <v>43679</v>
      </c>
      <c r="L923" s="2">
        <v>0.45694444444444443</v>
      </c>
      <c r="M923" t="s">
        <v>29</v>
      </c>
      <c r="N923" s="1">
        <v>98.22</v>
      </c>
      <c r="O923" s="1">
        <v>4.7619047620000003</v>
      </c>
      <c r="P923" s="1">
        <v>4.9109999999999996</v>
      </c>
      <c r="Q923">
        <v>7</v>
      </c>
      <c r="R923" s="13">
        <v>43504</v>
      </c>
      <c r="S923">
        <f t="shared" si="56"/>
        <v>2</v>
      </c>
      <c r="T923">
        <f t="shared" si="57"/>
        <v>10</v>
      </c>
      <c r="U923">
        <f t="shared" si="58"/>
        <v>8</v>
      </c>
      <c r="V923" s="13" t="str">
        <f t="shared" si="59"/>
        <v>Friday</v>
      </c>
    </row>
    <row r="924" spans="1:22" x14ac:dyDescent="0.25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 s="1">
        <v>12.73</v>
      </c>
      <c r="H924">
        <v>2</v>
      </c>
      <c r="I924" s="1">
        <v>1.2729999999999999</v>
      </c>
      <c r="J924" s="1">
        <v>26.733000000000001</v>
      </c>
      <c r="K924" s="3" t="s">
        <v>218</v>
      </c>
      <c r="L924" s="2">
        <v>0.50694444444444442</v>
      </c>
      <c r="M924" t="s">
        <v>33</v>
      </c>
      <c r="N924" s="1">
        <v>25.46</v>
      </c>
      <c r="O924" s="1">
        <v>4.7619047620000003</v>
      </c>
      <c r="P924" s="1">
        <v>1.2729999999999999</v>
      </c>
      <c r="Q924">
        <v>5.2</v>
      </c>
      <c r="R924" s="13">
        <v>43518</v>
      </c>
      <c r="S924">
        <f t="shared" si="56"/>
        <v>2</v>
      </c>
      <c r="T924">
        <f t="shared" si="57"/>
        <v>12</v>
      </c>
      <c r="U924">
        <f t="shared" si="58"/>
        <v>22</v>
      </c>
      <c r="V924" s="13" t="str">
        <f t="shared" si="59"/>
        <v>Friday</v>
      </c>
    </row>
    <row r="925" spans="1:22" x14ac:dyDescent="0.25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 s="1">
        <v>83.14</v>
      </c>
      <c r="H925">
        <v>7</v>
      </c>
      <c r="I925" s="1">
        <v>29.099</v>
      </c>
      <c r="J925" s="1">
        <v>611.07899999999995</v>
      </c>
      <c r="K925" s="3">
        <v>43739</v>
      </c>
      <c r="L925" s="2">
        <v>0.43819444444444444</v>
      </c>
      <c r="M925" t="s">
        <v>33</v>
      </c>
      <c r="N925" s="1">
        <v>581.98</v>
      </c>
      <c r="O925" s="1">
        <v>4.7619047620000003</v>
      </c>
      <c r="P925" s="1">
        <v>29.099</v>
      </c>
      <c r="Q925">
        <v>6.6</v>
      </c>
      <c r="R925" s="13">
        <v>43475</v>
      </c>
      <c r="S925">
        <f t="shared" si="56"/>
        <v>1</v>
      </c>
      <c r="T925">
        <f t="shared" si="57"/>
        <v>10</v>
      </c>
      <c r="U925">
        <f t="shared" si="58"/>
        <v>10</v>
      </c>
      <c r="V925" s="13" t="str">
        <f t="shared" si="59"/>
        <v>Thursday</v>
      </c>
    </row>
    <row r="926" spans="1:22" x14ac:dyDescent="0.25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 s="1">
        <v>35.22</v>
      </c>
      <c r="H926">
        <v>6</v>
      </c>
      <c r="I926" s="1">
        <v>10.566000000000001</v>
      </c>
      <c r="J926" s="1">
        <v>221.886</v>
      </c>
      <c r="K926" s="3" t="s">
        <v>354</v>
      </c>
      <c r="L926" s="2">
        <v>0.5756944444444444</v>
      </c>
      <c r="M926" t="s">
        <v>23</v>
      </c>
      <c r="N926" s="1">
        <v>211.32</v>
      </c>
      <c r="O926" s="1">
        <v>4.7619047620000003</v>
      </c>
      <c r="P926" s="1">
        <v>10.566000000000001</v>
      </c>
      <c r="Q926">
        <v>6.5</v>
      </c>
      <c r="R926" s="13">
        <v>43538</v>
      </c>
      <c r="S926">
        <f t="shared" si="56"/>
        <v>3</v>
      </c>
      <c r="T926">
        <f t="shared" si="57"/>
        <v>13</v>
      </c>
      <c r="U926">
        <f t="shared" si="58"/>
        <v>14</v>
      </c>
      <c r="V926" s="13" t="str">
        <f t="shared" si="59"/>
        <v>Thursday</v>
      </c>
    </row>
    <row r="927" spans="1:22" x14ac:dyDescent="0.25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 s="1">
        <v>13.78</v>
      </c>
      <c r="H927">
        <v>4</v>
      </c>
      <c r="I927" s="1">
        <v>2.7559999999999998</v>
      </c>
      <c r="J927" s="1">
        <v>57.875999999999998</v>
      </c>
      <c r="K927" s="3">
        <v>43739</v>
      </c>
      <c r="L927" s="2">
        <v>0.46527777777777779</v>
      </c>
      <c r="M927" t="s">
        <v>23</v>
      </c>
      <c r="N927" s="1">
        <v>55.12</v>
      </c>
      <c r="O927" s="1">
        <v>4.7619047620000003</v>
      </c>
      <c r="P927" s="1">
        <v>2.7559999999999998</v>
      </c>
      <c r="Q927">
        <v>9</v>
      </c>
      <c r="R927" s="13">
        <v>43475</v>
      </c>
      <c r="S927">
        <f t="shared" si="56"/>
        <v>1</v>
      </c>
      <c r="T927">
        <f t="shared" si="57"/>
        <v>11</v>
      </c>
      <c r="U927">
        <f t="shared" si="58"/>
        <v>10</v>
      </c>
      <c r="V927" s="13" t="str">
        <f t="shared" si="59"/>
        <v>Thursday</v>
      </c>
    </row>
    <row r="928" spans="1:22" x14ac:dyDescent="0.25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 s="1">
        <v>88.31</v>
      </c>
      <c r="H928">
        <v>1</v>
      </c>
      <c r="I928" s="1">
        <v>4.4154999999999998</v>
      </c>
      <c r="J928" s="1">
        <v>92.725499999999997</v>
      </c>
      <c r="K928" s="3" t="s">
        <v>118</v>
      </c>
      <c r="L928" s="2">
        <v>0.73472222222222228</v>
      </c>
      <c r="M928" t="s">
        <v>33</v>
      </c>
      <c r="N928" s="1">
        <v>88.31</v>
      </c>
      <c r="O928" s="1">
        <v>4.7619047620000003</v>
      </c>
      <c r="P928" s="1">
        <v>4.4154999999999998</v>
      </c>
      <c r="Q928">
        <v>5.2</v>
      </c>
      <c r="R928" s="13">
        <v>43511</v>
      </c>
      <c r="S928">
        <f t="shared" si="56"/>
        <v>2</v>
      </c>
      <c r="T928">
        <f t="shared" si="57"/>
        <v>17</v>
      </c>
      <c r="U928">
        <f t="shared" si="58"/>
        <v>15</v>
      </c>
      <c r="V928" s="13" t="str">
        <f t="shared" si="59"/>
        <v>Friday</v>
      </c>
    </row>
    <row r="929" spans="1:22" x14ac:dyDescent="0.25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1">
        <v>39.619999999999997</v>
      </c>
      <c r="H929">
        <v>9</v>
      </c>
      <c r="I929" s="1">
        <v>17.829000000000001</v>
      </c>
      <c r="J929" s="1">
        <v>374.40899999999999</v>
      </c>
      <c r="K929" s="3" t="s">
        <v>138</v>
      </c>
      <c r="L929" s="2">
        <v>0.74583333333333335</v>
      </c>
      <c r="M929" t="s">
        <v>33</v>
      </c>
      <c r="N929" s="1">
        <v>356.58</v>
      </c>
      <c r="O929" s="1">
        <v>4.7619047620000003</v>
      </c>
      <c r="P929" s="1">
        <v>17.829000000000001</v>
      </c>
      <c r="Q929">
        <v>6.8</v>
      </c>
      <c r="R929" s="13">
        <v>43478</v>
      </c>
      <c r="S929">
        <f t="shared" si="56"/>
        <v>1</v>
      </c>
      <c r="T929">
        <f t="shared" si="57"/>
        <v>17</v>
      </c>
      <c r="U929">
        <f t="shared" si="58"/>
        <v>13</v>
      </c>
      <c r="V929" s="13" t="str">
        <f t="shared" si="59"/>
        <v>Sunday</v>
      </c>
    </row>
    <row r="930" spans="1:22" x14ac:dyDescent="0.25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 s="1">
        <v>88.25</v>
      </c>
      <c r="H930">
        <v>9</v>
      </c>
      <c r="I930" s="1">
        <v>39.712499999999999</v>
      </c>
      <c r="J930" s="1">
        <v>833.96249999999998</v>
      </c>
      <c r="K930" s="3" t="s">
        <v>118</v>
      </c>
      <c r="L930" s="2">
        <v>0.86875000000000002</v>
      </c>
      <c r="M930" t="s">
        <v>33</v>
      </c>
      <c r="N930" s="1">
        <v>794.25</v>
      </c>
      <c r="O930" s="1">
        <v>4.7619047620000003</v>
      </c>
      <c r="P930" s="1">
        <v>39.712499999999999</v>
      </c>
      <c r="Q930">
        <v>7.6</v>
      </c>
      <c r="R930" s="13">
        <v>43511</v>
      </c>
      <c r="S930">
        <f t="shared" si="56"/>
        <v>2</v>
      </c>
      <c r="T930">
        <f t="shared" si="57"/>
        <v>20</v>
      </c>
      <c r="U930">
        <f t="shared" si="58"/>
        <v>15</v>
      </c>
      <c r="V930" s="13" t="str">
        <f t="shared" si="59"/>
        <v>Friday</v>
      </c>
    </row>
    <row r="931" spans="1:22" x14ac:dyDescent="0.25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 s="1">
        <v>25.31</v>
      </c>
      <c r="H931">
        <v>2</v>
      </c>
      <c r="I931" s="1">
        <v>2.5310000000000001</v>
      </c>
      <c r="J931" s="1">
        <v>53.151000000000003</v>
      </c>
      <c r="K931" s="3">
        <v>43499</v>
      </c>
      <c r="L931" s="2">
        <v>0.80972222222222223</v>
      </c>
      <c r="M931" t="s">
        <v>23</v>
      </c>
      <c r="N931" s="1">
        <v>50.62</v>
      </c>
      <c r="O931" s="1">
        <v>4.7619047620000003</v>
      </c>
      <c r="P931" s="1">
        <v>2.5310000000000001</v>
      </c>
      <c r="Q931">
        <v>7.2</v>
      </c>
      <c r="R931" s="13">
        <v>43526</v>
      </c>
      <c r="S931">
        <f t="shared" si="56"/>
        <v>3</v>
      </c>
      <c r="T931">
        <f t="shared" si="57"/>
        <v>19</v>
      </c>
      <c r="U931">
        <f t="shared" si="58"/>
        <v>2</v>
      </c>
      <c r="V931" s="13" t="str">
        <f t="shared" si="59"/>
        <v>Saturday</v>
      </c>
    </row>
    <row r="932" spans="1:22" x14ac:dyDescent="0.25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 s="1">
        <v>99.92</v>
      </c>
      <c r="H932">
        <v>6</v>
      </c>
      <c r="I932" s="1">
        <v>29.975999999999999</v>
      </c>
      <c r="J932" s="1">
        <v>629.49599999999998</v>
      </c>
      <c r="K932" s="3" t="s">
        <v>177</v>
      </c>
      <c r="L932" s="2">
        <v>0.56458333333333333</v>
      </c>
      <c r="M932" t="s">
        <v>23</v>
      </c>
      <c r="N932" s="1">
        <v>599.52</v>
      </c>
      <c r="O932" s="1">
        <v>4.7619047620000003</v>
      </c>
      <c r="P932" s="1">
        <v>29.975999999999999</v>
      </c>
      <c r="Q932">
        <v>7.1</v>
      </c>
      <c r="R932" s="13">
        <v>43548</v>
      </c>
      <c r="S932">
        <f t="shared" si="56"/>
        <v>3</v>
      </c>
      <c r="T932">
        <f t="shared" si="57"/>
        <v>13</v>
      </c>
      <c r="U932">
        <f t="shared" si="58"/>
        <v>24</v>
      </c>
      <c r="V932" s="13" t="str">
        <f t="shared" si="59"/>
        <v>Sunday</v>
      </c>
    </row>
    <row r="933" spans="1:22" x14ac:dyDescent="0.25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 s="1">
        <v>83.35</v>
      </c>
      <c r="H933">
        <v>2</v>
      </c>
      <c r="I933" s="1">
        <v>8.3350000000000009</v>
      </c>
      <c r="J933" s="1">
        <v>175.035</v>
      </c>
      <c r="K933" s="3">
        <v>43498</v>
      </c>
      <c r="L933" s="2">
        <v>0.58680555555555558</v>
      </c>
      <c r="M933" t="s">
        <v>33</v>
      </c>
      <c r="N933" s="1">
        <v>166.7</v>
      </c>
      <c r="O933" s="1">
        <v>4.7619047620000003</v>
      </c>
      <c r="P933" s="1">
        <v>8.3350000000000009</v>
      </c>
      <c r="Q933">
        <v>9.5</v>
      </c>
      <c r="R933" s="13">
        <v>43498</v>
      </c>
      <c r="S933">
        <f t="shared" si="56"/>
        <v>2</v>
      </c>
      <c r="T933">
        <f t="shared" si="57"/>
        <v>14</v>
      </c>
      <c r="U933">
        <f t="shared" si="58"/>
        <v>2</v>
      </c>
      <c r="V933" s="13" t="str">
        <f t="shared" si="59"/>
        <v>Saturday</v>
      </c>
    </row>
    <row r="934" spans="1:22" x14ac:dyDescent="0.25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 s="1">
        <v>74.44</v>
      </c>
      <c r="H934">
        <v>10</v>
      </c>
      <c r="I934" s="1">
        <v>37.22</v>
      </c>
      <c r="J934" s="1">
        <v>781.62</v>
      </c>
      <c r="K934" s="3" t="s">
        <v>99</v>
      </c>
      <c r="L934" s="2">
        <v>0.4861111111111111</v>
      </c>
      <c r="M934" t="s">
        <v>23</v>
      </c>
      <c r="N934" s="1">
        <v>744.4</v>
      </c>
      <c r="O934" s="1">
        <v>4.7619047620000003</v>
      </c>
      <c r="P934" s="1">
        <v>37.22</v>
      </c>
      <c r="Q934">
        <v>5.0999999999999996</v>
      </c>
      <c r="R934" s="13">
        <v>43523</v>
      </c>
      <c r="S934">
        <f t="shared" si="56"/>
        <v>2</v>
      </c>
      <c r="T934">
        <f t="shared" si="57"/>
        <v>11</v>
      </c>
      <c r="U934">
        <f t="shared" si="58"/>
        <v>27</v>
      </c>
      <c r="V934" s="13" t="str">
        <f t="shared" si="59"/>
        <v>Wednesday</v>
      </c>
    </row>
    <row r="935" spans="1:22" x14ac:dyDescent="0.25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 s="1">
        <v>64.08</v>
      </c>
      <c r="H935">
        <v>7</v>
      </c>
      <c r="I935" s="1">
        <v>22.428000000000001</v>
      </c>
      <c r="J935" s="1">
        <v>470.988</v>
      </c>
      <c r="K935" s="3" t="s">
        <v>115</v>
      </c>
      <c r="L935" s="2">
        <v>0.51875000000000004</v>
      </c>
      <c r="M935" t="s">
        <v>23</v>
      </c>
      <c r="N935" s="1">
        <v>448.56</v>
      </c>
      <c r="O935" s="1">
        <v>4.7619047620000003</v>
      </c>
      <c r="P935" s="1">
        <v>22.428000000000001</v>
      </c>
      <c r="Q935">
        <v>7.6</v>
      </c>
      <c r="R935" s="13">
        <v>43485</v>
      </c>
      <c r="S935">
        <f t="shared" si="56"/>
        <v>1</v>
      </c>
      <c r="T935">
        <f t="shared" si="57"/>
        <v>12</v>
      </c>
      <c r="U935">
        <f t="shared" si="58"/>
        <v>20</v>
      </c>
      <c r="V935" s="13" t="str">
        <f t="shared" si="59"/>
        <v>Sunday</v>
      </c>
    </row>
    <row r="936" spans="1:22" x14ac:dyDescent="0.25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 s="1">
        <v>63.15</v>
      </c>
      <c r="H936">
        <v>6</v>
      </c>
      <c r="I936" s="1">
        <v>18.945</v>
      </c>
      <c r="J936" s="1">
        <v>397.84500000000003</v>
      </c>
      <c r="K936" s="3">
        <v>43525</v>
      </c>
      <c r="L936" s="2">
        <v>0.85</v>
      </c>
      <c r="M936" t="s">
        <v>23</v>
      </c>
      <c r="N936" s="1">
        <v>378.9</v>
      </c>
      <c r="O936" s="1">
        <v>4.7619047620000003</v>
      </c>
      <c r="P936" s="1">
        <v>18.945</v>
      </c>
      <c r="Q936">
        <v>9.8000000000000007</v>
      </c>
      <c r="R936" s="13">
        <v>43468</v>
      </c>
      <c r="S936">
        <f t="shared" si="56"/>
        <v>1</v>
      </c>
      <c r="T936">
        <f t="shared" si="57"/>
        <v>20</v>
      </c>
      <c r="U936">
        <f t="shared" si="58"/>
        <v>3</v>
      </c>
      <c r="V936" s="13" t="str">
        <f t="shared" si="59"/>
        <v>Thursday</v>
      </c>
    </row>
    <row r="937" spans="1:22" x14ac:dyDescent="0.25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 s="1">
        <v>85.72</v>
      </c>
      <c r="H937">
        <v>3</v>
      </c>
      <c r="I937" s="1">
        <v>12.858000000000001</v>
      </c>
      <c r="J937" s="1">
        <v>270.01799999999997</v>
      </c>
      <c r="K937" s="3" t="s">
        <v>129</v>
      </c>
      <c r="L937" s="2">
        <v>0.87430555555555556</v>
      </c>
      <c r="M937" t="s">
        <v>23</v>
      </c>
      <c r="N937" s="1">
        <v>257.16000000000003</v>
      </c>
      <c r="O937" s="1">
        <v>4.7619047620000003</v>
      </c>
      <c r="P937" s="1">
        <v>12.858000000000001</v>
      </c>
      <c r="Q937">
        <v>5.0999999999999996</v>
      </c>
      <c r="R937" s="13">
        <v>43489</v>
      </c>
      <c r="S937">
        <f t="shared" si="56"/>
        <v>1</v>
      </c>
      <c r="T937">
        <f t="shared" si="57"/>
        <v>20</v>
      </c>
      <c r="U937">
        <f t="shared" si="58"/>
        <v>24</v>
      </c>
      <c r="V937" s="13" t="str">
        <f t="shared" si="59"/>
        <v>Thursday</v>
      </c>
    </row>
    <row r="938" spans="1:22" x14ac:dyDescent="0.25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 s="1">
        <v>78.89</v>
      </c>
      <c r="H938">
        <v>7</v>
      </c>
      <c r="I938" s="1">
        <v>27.611499999999999</v>
      </c>
      <c r="J938" s="1">
        <v>579.8415</v>
      </c>
      <c r="K938" s="3">
        <v>43586</v>
      </c>
      <c r="L938" s="2">
        <v>0.82499999999999996</v>
      </c>
      <c r="M938" t="s">
        <v>23</v>
      </c>
      <c r="N938" s="1">
        <v>552.23</v>
      </c>
      <c r="O938" s="1">
        <v>4.7619047620000003</v>
      </c>
      <c r="P938" s="1">
        <v>27.611499999999999</v>
      </c>
      <c r="Q938">
        <v>7.5</v>
      </c>
      <c r="R938" s="13">
        <v>43470</v>
      </c>
      <c r="S938">
        <f t="shared" si="56"/>
        <v>1</v>
      </c>
      <c r="T938">
        <f t="shared" si="57"/>
        <v>19</v>
      </c>
      <c r="U938">
        <f t="shared" si="58"/>
        <v>5</v>
      </c>
      <c r="V938" s="13" t="str">
        <f t="shared" si="59"/>
        <v>Saturday</v>
      </c>
    </row>
    <row r="939" spans="1:22" x14ac:dyDescent="0.25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 s="1">
        <v>89.48</v>
      </c>
      <c r="H939">
        <v>5</v>
      </c>
      <c r="I939" s="1">
        <v>22.37</v>
      </c>
      <c r="J939" s="1">
        <v>469.77</v>
      </c>
      <c r="K939" s="3" t="s">
        <v>235</v>
      </c>
      <c r="L939" s="2">
        <v>0.42916666666666664</v>
      </c>
      <c r="M939" t="s">
        <v>29</v>
      </c>
      <c r="N939" s="1">
        <v>447.4</v>
      </c>
      <c r="O939" s="1">
        <v>4.7619047620000003</v>
      </c>
      <c r="P939" s="1">
        <v>22.37</v>
      </c>
      <c r="Q939">
        <v>7.4</v>
      </c>
      <c r="R939" s="13">
        <v>43554</v>
      </c>
      <c r="S939">
        <f t="shared" si="56"/>
        <v>3</v>
      </c>
      <c r="T939">
        <f t="shared" si="57"/>
        <v>10</v>
      </c>
      <c r="U939">
        <f t="shared" si="58"/>
        <v>30</v>
      </c>
      <c r="V939" s="13" t="str">
        <f t="shared" si="59"/>
        <v>Saturday</v>
      </c>
    </row>
    <row r="940" spans="1:22" x14ac:dyDescent="0.25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1">
        <v>92.09</v>
      </c>
      <c r="H940">
        <v>3</v>
      </c>
      <c r="I940" s="1">
        <v>13.813499999999999</v>
      </c>
      <c r="J940" s="1">
        <v>290.08350000000002</v>
      </c>
      <c r="K940" s="3" t="s">
        <v>69</v>
      </c>
      <c r="L940" s="2">
        <v>0.68541666666666667</v>
      </c>
      <c r="M940" t="s">
        <v>29</v>
      </c>
      <c r="N940" s="1">
        <v>276.27</v>
      </c>
      <c r="O940" s="1">
        <v>4.7619047620000003</v>
      </c>
      <c r="P940" s="1">
        <v>13.813499999999999</v>
      </c>
      <c r="Q940">
        <v>4.2</v>
      </c>
      <c r="R940" s="13">
        <v>43513</v>
      </c>
      <c r="S940">
        <f t="shared" si="56"/>
        <v>2</v>
      </c>
      <c r="T940">
        <f t="shared" si="57"/>
        <v>16</v>
      </c>
      <c r="U940">
        <f t="shared" si="58"/>
        <v>17</v>
      </c>
      <c r="V940" s="13" t="str">
        <f t="shared" si="59"/>
        <v>Sunday</v>
      </c>
    </row>
    <row r="941" spans="1:22" x14ac:dyDescent="0.25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 s="1">
        <v>57.29</v>
      </c>
      <c r="H941">
        <v>6</v>
      </c>
      <c r="I941" s="1">
        <v>17.187000000000001</v>
      </c>
      <c r="J941" s="1">
        <v>360.92700000000002</v>
      </c>
      <c r="K941" s="3" t="s">
        <v>254</v>
      </c>
      <c r="L941" s="2">
        <v>0.71111111111111114</v>
      </c>
      <c r="M941" t="s">
        <v>23</v>
      </c>
      <c r="N941" s="1">
        <v>343.74</v>
      </c>
      <c r="O941" s="1">
        <v>4.7619047620000003</v>
      </c>
      <c r="P941" s="1">
        <v>17.187000000000001</v>
      </c>
      <c r="Q941">
        <v>5.9</v>
      </c>
      <c r="R941" s="13">
        <v>43545</v>
      </c>
      <c r="S941">
        <f t="shared" si="56"/>
        <v>3</v>
      </c>
      <c r="T941">
        <f t="shared" si="57"/>
        <v>17</v>
      </c>
      <c r="U941">
        <f t="shared" si="58"/>
        <v>21</v>
      </c>
      <c r="V941" s="13" t="str">
        <f t="shared" si="59"/>
        <v>Thursday</v>
      </c>
    </row>
    <row r="942" spans="1:22" x14ac:dyDescent="0.25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 s="1">
        <v>66.52</v>
      </c>
      <c r="H942">
        <v>4</v>
      </c>
      <c r="I942" s="1">
        <v>13.304</v>
      </c>
      <c r="J942" s="1">
        <v>279.38400000000001</v>
      </c>
      <c r="K942" s="3">
        <v>43499</v>
      </c>
      <c r="L942" s="2">
        <v>0.75972222222222219</v>
      </c>
      <c r="M942" t="s">
        <v>23</v>
      </c>
      <c r="N942" s="1">
        <v>266.08</v>
      </c>
      <c r="O942" s="1">
        <v>4.7619047620000003</v>
      </c>
      <c r="P942" s="1">
        <v>13.304</v>
      </c>
      <c r="Q942">
        <v>6.9</v>
      </c>
      <c r="R942" s="13">
        <v>43526</v>
      </c>
      <c r="S942">
        <f t="shared" si="56"/>
        <v>3</v>
      </c>
      <c r="T942">
        <f t="shared" si="57"/>
        <v>18</v>
      </c>
      <c r="U942">
        <f t="shared" si="58"/>
        <v>2</v>
      </c>
      <c r="V942" s="13" t="str">
        <f t="shared" si="59"/>
        <v>Saturday</v>
      </c>
    </row>
    <row r="943" spans="1:22" x14ac:dyDescent="0.25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 s="1">
        <v>99.82</v>
      </c>
      <c r="H943">
        <v>9</v>
      </c>
      <c r="I943" s="1">
        <v>44.918999999999997</v>
      </c>
      <c r="J943" s="1">
        <v>943.29899999999998</v>
      </c>
      <c r="K943" s="3" t="s">
        <v>112</v>
      </c>
      <c r="L943" s="2">
        <v>0.4465277777777778</v>
      </c>
      <c r="M943" t="s">
        <v>29</v>
      </c>
      <c r="N943" s="1">
        <v>898.38</v>
      </c>
      <c r="O943" s="1">
        <v>4.7619047620000003</v>
      </c>
      <c r="P943" s="1">
        <v>44.918999999999997</v>
      </c>
      <c r="Q943">
        <v>6.6</v>
      </c>
      <c r="R943" s="13">
        <v>43551</v>
      </c>
      <c r="S943">
        <f t="shared" si="56"/>
        <v>3</v>
      </c>
      <c r="T943">
        <f t="shared" si="57"/>
        <v>10</v>
      </c>
      <c r="U943">
        <f t="shared" si="58"/>
        <v>27</v>
      </c>
      <c r="V943" s="13" t="str">
        <f t="shared" si="59"/>
        <v>Wednesday</v>
      </c>
    </row>
    <row r="944" spans="1:22" x14ac:dyDescent="0.25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 s="1">
        <v>45.68</v>
      </c>
      <c r="H944">
        <v>10</v>
      </c>
      <c r="I944" s="1">
        <v>22.84</v>
      </c>
      <c r="J944" s="1">
        <v>479.64</v>
      </c>
      <c r="K944" s="3" t="s">
        <v>183</v>
      </c>
      <c r="L944" s="2">
        <v>0.8125</v>
      </c>
      <c r="M944" t="s">
        <v>23</v>
      </c>
      <c r="N944" s="1">
        <v>456.8</v>
      </c>
      <c r="O944" s="1">
        <v>4.7619047620000003</v>
      </c>
      <c r="P944" s="1">
        <v>22.84</v>
      </c>
      <c r="Q944">
        <v>5.7</v>
      </c>
      <c r="R944" s="13">
        <v>43484</v>
      </c>
      <c r="S944">
        <f t="shared" si="56"/>
        <v>1</v>
      </c>
      <c r="T944">
        <f t="shared" si="57"/>
        <v>19</v>
      </c>
      <c r="U944">
        <f t="shared" si="58"/>
        <v>19</v>
      </c>
      <c r="V944" s="13" t="str">
        <f t="shared" si="59"/>
        <v>Saturday</v>
      </c>
    </row>
    <row r="945" spans="1:22" x14ac:dyDescent="0.25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 s="1">
        <v>50.79</v>
      </c>
      <c r="H945">
        <v>5</v>
      </c>
      <c r="I945" s="1">
        <v>12.6975</v>
      </c>
      <c r="J945" s="1">
        <v>266.64749999999998</v>
      </c>
      <c r="K945" s="3" t="s">
        <v>453</v>
      </c>
      <c r="L945" s="2">
        <v>0.62013888888888891</v>
      </c>
      <c r="M945" t="s">
        <v>33</v>
      </c>
      <c r="N945" s="1">
        <v>253.95</v>
      </c>
      <c r="O945" s="1">
        <v>4.7619047620000003</v>
      </c>
      <c r="P945" s="1">
        <v>12.6975</v>
      </c>
      <c r="Q945">
        <v>5.3</v>
      </c>
      <c r="R945" s="13">
        <v>43515</v>
      </c>
      <c r="S945">
        <f t="shared" si="56"/>
        <v>2</v>
      </c>
      <c r="T945">
        <f t="shared" si="57"/>
        <v>14</v>
      </c>
      <c r="U945">
        <f t="shared" si="58"/>
        <v>19</v>
      </c>
      <c r="V945" s="13" t="str">
        <f t="shared" si="59"/>
        <v>Tuesday</v>
      </c>
    </row>
    <row r="946" spans="1:22" x14ac:dyDescent="0.25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 s="1">
        <v>10.08</v>
      </c>
      <c r="H946">
        <v>7</v>
      </c>
      <c r="I946" s="1">
        <v>3.528</v>
      </c>
      <c r="J946" s="1">
        <v>74.087999999999994</v>
      </c>
      <c r="K946" s="3" t="s">
        <v>171</v>
      </c>
      <c r="L946" s="2">
        <v>0.84305555555555556</v>
      </c>
      <c r="M946" t="s">
        <v>29</v>
      </c>
      <c r="N946" s="1">
        <v>70.56</v>
      </c>
      <c r="O946" s="1">
        <v>4.7619047620000003</v>
      </c>
      <c r="P946" s="1">
        <v>3.528</v>
      </c>
      <c r="Q946">
        <v>4.2</v>
      </c>
      <c r="R946" s="13">
        <v>43552</v>
      </c>
      <c r="S946">
        <f t="shared" si="56"/>
        <v>3</v>
      </c>
      <c r="T946">
        <f t="shared" si="57"/>
        <v>20</v>
      </c>
      <c r="U946">
        <f t="shared" si="58"/>
        <v>28</v>
      </c>
      <c r="V946" s="13" t="str">
        <f t="shared" si="59"/>
        <v>Thursday</v>
      </c>
    </row>
    <row r="947" spans="1:22" x14ac:dyDescent="0.25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 s="1">
        <v>93.88</v>
      </c>
      <c r="H947">
        <v>7</v>
      </c>
      <c r="I947" s="1">
        <v>32.857999999999997</v>
      </c>
      <c r="J947" s="1">
        <v>690.01800000000003</v>
      </c>
      <c r="K947" s="3">
        <v>43586</v>
      </c>
      <c r="L947" s="2">
        <v>0.49375000000000002</v>
      </c>
      <c r="M947" t="s">
        <v>33</v>
      </c>
      <c r="N947" s="1">
        <v>657.16</v>
      </c>
      <c r="O947" s="1">
        <v>4.7619047620000003</v>
      </c>
      <c r="P947" s="1">
        <v>32.857999999999997</v>
      </c>
      <c r="Q947">
        <v>7.3</v>
      </c>
      <c r="R947" s="13">
        <v>43470</v>
      </c>
      <c r="S947">
        <f t="shared" si="56"/>
        <v>1</v>
      </c>
      <c r="T947">
        <f t="shared" si="57"/>
        <v>11</v>
      </c>
      <c r="U947">
        <f t="shared" si="58"/>
        <v>5</v>
      </c>
      <c r="V947" s="13" t="str">
        <f t="shared" si="59"/>
        <v>Saturday</v>
      </c>
    </row>
    <row r="948" spans="1:22" x14ac:dyDescent="0.25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 s="1">
        <v>84.25</v>
      </c>
      <c r="H948">
        <v>2</v>
      </c>
      <c r="I948" s="1">
        <v>8.4250000000000007</v>
      </c>
      <c r="J948" s="1">
        <v>176.92500000000001</v>
      </c>
      <c r="K948" s="3" t="s">
        <v>167</v>
      </c>
      <c r="L948" s="2">
        <v>0.59236111111111112</v>
      </c>
      <c r="M948" t="s">
        <v>33</v>
      </c>
      <c r="N948" s="1">
        <v>168.5</v>
      </c>
      <c r="O948" s="1">
        <v>4.7619047620000003</v>
      </c>
      <c r="P948" s="1">
        <v>8.4250000000000007</v>
      </c>
      <c r="Q948">
        <v>5.3</v>
      </c>
      <c r="R948" s="13">
        <v>43550</v>
      </c>
      <c r="S948">
        <f t="shared" si="56"/>
        <v>3</v>
      </c>
      <c r="T948">
        <f t="shared" si="57"/>
        <v>14</v>
      </c>
      <c r="U948">
        <f t="shared" si="58"/>
        <v>26</v>
      </c>
      <c r="V948" s="13" t="str">
        <f t="shared" si="59"/>
        <v>Tuesday</v>
      </c>
    </row>
    <row r="949" spans="1:22" x14ac:dyDescent="0.25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 s="1">
        <v>53.78</v>
      </c>
      <c r="H949">
        <v>1</v>
      </c>
      <c r="I949" s="1">
        <v>2.6890000000000001</v>
      </c>
      <c r="J949" s="1">
        <v>56.469000000000001</v>
      </c>
      <c r="K949" s="3">
        <v>43526</v>
      </c>
      <c r="L949" s="2">
        <v>0.84236111111111112</v>
      </c>
      <c r="M949" t="s">
        <v>23</v>
      </c>
      <c r="N949" s="1">
        <v>53.78</v>
      </c>
      <c r="O949" s="1">
        <v>4.7619047620000003</v>
      </c>
      <c r="P949" s="1">
        <v>2.6890000000000001</v>
      </c>
      <c r="Q949">
        <v>4.7</v>
      </c>
      <c r="R949" s="13">
        <v>43499</v>
      </c>
      <c r="S949">
        <f t="shared" si="56"/>
        <v>2</v>
      </c>
      <c r="T949">
        <f t="shared" si="57"/>
        <v>20</v>
      </c>
      <c r="U949">
        <f t="shared" si="58"/>
        <v>3</v>
      </c>
      <c r="V949" s="13" t="str">
        <f t="shared" si="59"/>
        <v>Sunday</v>
      </c>
    </row>
    <row r="950" spans="1:22" x14ac:dyDescent="0.25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 s="1">
        <v>35.81</v>
      </c>
      <c r="H950">
        <v>5</v>
      </c>
      <c r="I950" s="1">
        <v>8.9525000000000006</v>
      </c>
      <c r="J950" s="1">
        <v>188.0025</v>
      </c>
      <c r="K950" s="3">
        <v>43618</v>
      </c>
      <c r="L950" s="2">
        <v>0.78055555555555556</v>
      </c>
      <c r="M950" t="s">
        <v>23</v>
      </c>
      <c r="N950" s="1">
        <v>179.05</v>
      </c>
      <c r="O950" s="1">
        <v>4.7619047620000003</v>
      </c>
      <c r="P950" s="1">
        <v>8.9525000000000006</v>
      </c>
      <c r="Q950">
        <v>7.9</v>
      </c>
      <c r="R950" s="13">
        <v>43502</v>
      </c>
      <c r="S950">
        <f t="shared" si="56"/>
        <v>2</v>
      </c>
      <c r="T950">
        <f t="shared" si="57"/>
        <v>18</v>
      </c>
      <c r="U950">
        <f t="shared" si="58"/>
        <v>6</v>
      </c>
      <c r="V950" s="13" t="str">
        <f t="shared" si="59"/>
        <v>Wednesday</v>
      </c>
    </row>
    <row r="951" spans="1:22" x14ac:dyDescent="0.25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 s="1">
        <v>26.43</v>
      </c>
      <c r="H951">
        <v>8</v>
      </c>
      <c r="I951" s="1">
        <v>10.571999999999999</v>
      </c>
      <c r="J951" s="1">
        <v>222.012</v>
      </c>
      <c r="K951" s="3" t="s">
        <v>43</v>
      </c>
      <c r="L951" s="2">
        <v>0.60138888888888886</v>
      </c>
      <c r="M951" t="s">
        <v>23</v>
      </c>
      <c r="N951" s="1">
        <v>211.44</v>
      </c>
      <c r="O951" s="1">
        <v>4.7619047620000003</v>
      </c>
      <c r="P951" s="1">
        <v>10.571999999999999</v>
      </c>
      <c r="Q951">
        <v>8.9</v>
      </c>
      <c r="R951" s="13">
        <v>43520</v>
      </c>
      <c r="S951">
        <f t="shared" si="56"/>
        <v>2</v>
      </c>
      <c r="T951">
        <f t="shared" si="57"/>
        <v>14</v>
      </c>
      <c r="U951">
        <f t="shared" si="58"/>
        <v>24</v>
      </c>
      <c r="V951" s="13" t="str">
        <f t="shared" si="59"/>
        <v>Sunday</v>
      </c>
    </row>
    <row r="952" spans="1:22" x14ac:dyDescent="0.25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 s="1">
        <v>39.909999999999997</v>
      </c>
      <c r="H952">
        <v>3</v>
      </c>
      <c r="I952" s="1">
        <v>5.9865000000000004</v>
      </c>
      <c r="J952" s="1">
        <v>125.7165</v>
      </c>
      <c r="K952" s="3" t="s">
        <v>301</v>
      </c>
      <c r="L952" s="2">
        <v>0.52777777777777779</v>
      </c>
      <c r="M952" t="s">
        <v>23</v>
      </c>
      <c r="N952" s="1">
        <v>119.73</v>
      </c>
      <c r="O952" s="1">
        <v>4.7619047620000003</v>
      </c>
      <c r="P952" s="1">
        <v>5.9865000000000004</v>
      </c>
      <c r="Q952">
        <v>9.3000000000000007</v>
      </c>
      <c r="R952" s="13">
        <v>43517</v>
      </c>
      <c r="S952">
        <f t="shared" si="56"/>
        <v>2</v>
      </c>
      <c r="T952">
        <f t="shared" si="57"/>
        <v>12</v>
      </c>
      <c r="U952">
        <f t="shared" si="58"/>
        <v>21</v>
      </c>
      <c r="V952" s="13" t="str">
        <f t="shared" si="59"/>
        <v>Thursday</v>
      </c>
    </row>
    <row r="953" spans="1:22" x14ac:dyDescent="0.25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 s="1">
        <v>21.9</v>
      </c>
      <c r="H953">
        <v>3</v>
      </c>
      <c r="I953" s="1">
        <v>3.2850000000000001</v>
      </c>
      <c r="J953" s="1">
        <v>68.984999999999999</v>
      </c>
      <c r="K953" s="3">
        <v>43709</v>
      </c>
      <c r="L953" s="2">
        <v>0.77986111111111112</v>
      </c>
      <c r="M953" t="s">
        <v>23</v>
      </c>
      <c r="N953" s="1">
        <v>65.7</v>
      </c>
      <c r="O953" s="1">
        <v>4.7619047620000003</v>
      </c>
      <c r="P953" s="1">
        <v>3.2850000000000001</v>
      </c>
      <c r="Q953">
        <v>4.7</v>
      </c>
      <c r="R953" s="13">
        <v>43474</v>
      </c>
      <c r="S953">
        <f t="shared" si="56"/>
        <v>1</v>
      </c>
      <c r="T953">
        <f t="shared" si="57"/>
        <v>18</v>
      </c>
      <c r="U953">
        <f t="shared" si="58"/>
        <v>9</v>
      </c>
      <c r="V953" s="13" t="str">
        <f t="shared" si="59"/>
        <v>Wednesday</v>
      </c>
    </row>
    <row r="954" spans="1:22" x14ac:dyDescent="0.25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 s="1">
        <v>62.85</v>
      </c>
      <c r="H954">
        <v>4</v>
      </c>
      <c r="I954" s="1">
        <v>12.57</v>
      </c>
      <c r="J954" s="1">
        <v>263.97000000000003</v>
      </c>
      <c r="K954" s="3" t="s">
        <v>41</v>
      </c>
      <c r="L954" s="2">
        <v>0.55694444444444446</v>
      </c>
      <c r="M954" t="s">
        <v>23</v>
      </c>
      <c r="N954" s="1">
        <v>251.4</v>
      </c>
      <c r="O954" s="1">
        <v>4.7619047620000003</v>
      </c>
      <c r="P954" s="1">
        <v>12.57</v>
      </c>
      <c r="Q954">
        <v>8.6999999999999993</v>
      </c>
      <c r="R954" s="13">
        <v>43521</v>
      </c>
      <c r="S954">
        <f t="shared" si="56"/>
        <v>2</v>
      </c>
      <c r="T954">
        <f t="shared" si="57"/>
        <v>13</v>
      </c>
      <c r="U954">
        <f t="shared" si="58"/>
        <v>25</v>
      </c>
      <c r="V954" s="13" t="str">
        <f t="shared" si="59"/>
        <v>Monday</v>
      </c>
    </row>
    <row r="955" spans="1:22" x14ac:dyDescent="0.25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 s="1">
        <v>21.04</v>
      </c>
      <c r="H955">
        <v>4</v>
      </c>
      <c r="I955" s="1">
        <v>4.2080000000000002</v>
      </c>
      <c r="J955" s="1">
        <v>88.367999999999995</v>
      </c>
      <c r="K955" s="3" t="s">
        <v>138</v>
      </c>
      <c r="L955" s="2">
        <v>0.58194444444444449</v>
      </c>
      <c r="M955" t="s">
        <v>29</v>
      </c>
      <c r="N955" s="1">
        <v>84.16</v>
      </c>
      <c r="O955" s="1">
        <v>4.7619047620000003</v>
      </c>
      <c r="P955" s="1">
        <v>4.2080000000000002</v>
      </c>
      <c r="Q955">
        <v>7.6</v>
      </c>
      <c r="R955" s="13">
        <v>43478</v>
      </c>
      <c r="S955">
        <f t="shared" si="56"/>
        <v>1</v>
      </c>
      <c r="T955">
        <f t="shared" si="57"/>
        <v>13</v>
      </c>
      <c r="U955">
        <f t="shared" si="58"/>
        <v>13</v>
      </c>
      <c r="V955" s="13" t="str">
        <f t="shared" si="59"/>
        <v>Sunday</v>
      </c>
    </row>
    <row r="956" spans="1:22" x14ac:dyDescent="0.25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 s="1">
        <v>65.91</v>
      </c>
      <c r="H956">
        <v>6</v>
      </c>
      <c r="I956" s="1">
        <v>19.773</v>
      </c>
      <c r="J956" s="1">
        <v>415.233</v>
      </c>
      <c r="K956" s="3">
        <v>43710</v>
      </c>
      <c r="L956" s="2">
        <v>0.48958333333333331</v>
      </c>
      <c r="M956" t="s">
        <v>29</v>
      </c>
      <c r="N956" s="1">
        <v>395.46</v>
      </c>
      <c r="O956" s="1">
        <v>4.7619047620000003</v>
      </c>
      <c r="P956" s="1">
        <v>19.773</v>
      </c>
      <c r="Q956">
        <v>5.7</v>
      </c>
      <c r="R956" s="13">
        <v>43505</v>
      </c>
      <c r="S956">
        <f t="shared" si="56"/>
        <v>2</v>
      </c>
      <c r="T956">
        <f t="shared" si="57"/>
        <v>11</v>
      </c>
      <c r="U956">
        <f t="shared" si="58"/>
        <v>9</v>
      </c>
      <c r="V956" s="13" t="str">
        <f t="shared" si="59"/>
        <v>Saturday</v>
      </c>
    </row>
    <row r="957" spans="1:22" x14ac:dyDescent="0.25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 s="1">
        <v>42.57</v>
      </c>
      <c r="H957">
        <v>7</v>
      </c>
      <c r="I957" s="1">
        <v>14.8995</v>
      </c>
      <c r="J957" s="1">
        <v>312.8895</v>
      </c>
      <c r="K957" s="3">
        <v>43617</v>
      </c>
      <c r="L957" s="2">
        <v>0.49375000000000002</v>
      </c>
      <c r="M957" t="s">
        <v>29</v>
      </c>
      <c r="N957" s="1">
        <v>297.99</v>
      </c>
      <c r="O957" s="1">
        <v>4.7619047620000003</v>
      </c>
      <c r="P957" s="1">
        <v>14.8995</v>
      </c>
      <c r="Q957">
        <v>6.8</v>
      </c>
      <c r="R957" s="13">
        <v>43471</v>
      </c>
      <c r="S957">
        <f t="shared" si="56"/>
        <v>1</v>
      </c>
      <c r="T957">
        <f t="shared" si="57"/>
        <v>11</v>
      </c>
      <c r="U957">
        <f t="shared" si="58"/>
        <v>6</v>
      </c>
      <c r="V957" s="13" t="str">
        <f t="shared" si="59"/>
        <v>Sunday</v>
      </c>
    </row>
    <row r="958" spans="1:22" x14ac:dyDescent="0.25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 s="1">
        <v>50.49</v>
      </c>
      <c r="H958">
        <v>9</v>
      </c>
      <c r="I958" s="1">
        <v>22.720500000000001</v>
      </c>
      <c r="J958" s="1">
        <v>477.13049999999998</v>
      </c>
      <c r="K958" s="3">
        <v>43739</v>
      </c>
      <c r="L958" s="2">
        <v>0.71944444444444444</v>
      </c>
      <c r="M958" t="s">
        <v>29</v>
      </c>
      <c r="N958" s="1">
        <v>454.41</v>
      </c>
      <c r="O958" s="1">
        <v>4.7619047620000003</v>
      </c>
      <c r="P958" s="1">
        <v>22.720500000000001</v>
      </c>
      <c r="Q958">
        <v>5.4</v>
      </c>
      <c r="R958" s="13">
        <v>43475</v>
      </c>
      <c r="S958">
        <f t="shared" si="56"/>
        <v>1</v>
      </c>
      <c r="T958">
        <f t="shared" si="57"/>
        <v>17</v>
      </c>
      <c r="U958">
        <f t="shared" si="58"/>
        <v>10</v>
      </c>
      <c r="V958" s="13" t="str">
        <f t="shared" si="59"/>
        <v>Thursday</v>
      </c>
    </row>
    <row r="959" spans="1:22" x14ac:dyDescent="0.25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 s="1">
        <v>46.02</v>
      </c>
      <c r="H959">
        <v>6</v>
      </c>
      <c r="I959" s="1">
        <v>13.805999999999999</v>
      </c>
      <c r="J959" s="1">
        <v>289.92599999999999</v>
      </c>
      <c r="K959" s="3">
        <v>43648</v>
      </c>
      <c r="L959" s="2">
        <v>0.66319444444444442</v>
      </c>
      <c r="M959" t="s">
        <v>29</v>
      </c>
      <c r="N959" s="1">
        <v>276.12</v>
      </c>
      <c r="O959" s="1">
        <v>4.7619047620000003</v>
      </c>
      <c r="P959" s="1">
        <v>13.805999999999999</v>
      </c>
      <c r="Q959">
        <v>7.1</v>
      </c>
      <c r="R959" s="13">
        <v>43503</v>
      </c>
      <c r="S959">
        <f t="shared" si="56"/>
        <v>2</v>
      </c>
      <c r="T959">
        <f t="shared" si="57"/>
        <v>15</v>
      </c>
      <c r="U959">
        <f t="shared" si="58"/>
        <v>7</v>
      </c>
      <c r="V959" s="13" t="str">
        <f t="shared" si="59"/>
        <v>Thursday</v>
      </c>
    </row>
    <row r="960" spans="1:22" x14ac:dyDescent="0.25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 s="1">
        <v>15.8</v>
      </c>
      <c r="H960">
        <v>10</v>
      </c>
      <c r="I960" s="1">
        <v>7.9</v>
      </c>
      <c r="J960" s="1">
        <v>165.9</v>
      </c>
      <c r="K960" s="3">
        <v>43709</v>
      </c>
      <c r="L960" s="2">
        <v>0.50486111111111109</v>
      </c>
      <c r="M960" t="s">
        <v>29</v>
      </c>
      <c r="N960" s="1">
        <v>158</v>
      </c>
      <c r="O960" s="1">
        <v>4.7619047620000003</v>
      </c>
      <c r="P960" s="1">
        <v>7.9</v>
      </c>
      <c r="Q960">
        <v>7.8</v>
      </c>
      <c r="R960" s="13">
        <v>43474</v>
      </c>
      <c r="S960">
        <f t="shared" si="56"/>
        <v>1</v>
      </c>
      <c r="T960">
        <f t="shared" si="57"/>
        <v>12</v>
      </c>
      <c r="U960">
        <f t="shared" si="58"/>
        <v>9</v>
      </c>
      <c r="V960" s="13" t="str">
        <f t="shared" si="59"/>
        <v>Wednesday</v>
      </c>
    </row>
    <row r="961" spans="1:22" x14ac:dyDescent="0.25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 s="1">
        <v>98.66</v>
      </c>
      <c r="H961">
        <v>9</v>
      </c>
      <c r="I961" s="1">
        <v>44.396999999999998</v>
      </c>
      <c r="J961" s="1">
        <v>932.33699999999999</v>
      </c>
      <c r="K961" s="3" t="s">
        <v>453</v>
      </c>
      <c r="L961" s="2">
        <v>0.62986111111111109</v>
      </c>
      <c r="M961" t="s">
        <v>29</v>
      </c>
      <c r="N961" s="1">
        <v>887.94</v>
      </c>
      <c r="O961" s="1">
        <v>4.7619047620000003</v>
      </c>
      <c r="P961" s="1">
        <v>44.396999999999998</v>
      </c>
      <c r="Q961">
        <v>8.4</v>
      </c>
      <c r="R961" s="13">
        <v>43515</v>
      </c>
      <c r="S961">
        <f t="shared" si="56"/>
        <v>2</v>
      </c>
      <c r="T961">
        <f t="shared" si="57"/>
        <v>15</v>
      </c>
      <c r="U961">
        <f t="shared" si="58"/>
        <v>19</v>
      </c>
      <c r="V961" s="13" t="str">
        <f t="shared" si="59"/>
        <v>Tuesday</v>
      </c>
    </row>
    <row r="962" spans="1:22" x14ac:dyDescent="0.25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 s="1">
        <v>91.98</v>
      </c>
      <c r="H962">
        <v>1</v>
      </c>
      <c r="I962" s="1">
        <v>4.5990000000000002</v>
      </c>
      <c r="J962" s="1">
        <v>96.578999999999994</v>
      </c>
      <c r="K962" s="3" t="s">
        <v>289</v>
      </c>
      <c r="L962" s="2">
        <v>0.64513888888888893</v>
      </c>
      <c r="M962" t="s">
        <v>29</v>
      </c>
      <c r="N962" s="1">
        <v>91.98</v>
      </c>
      <c r="O962" s="1">
        <v>4.7619047620000003</v>
      </c>
      <c r="P962" s="1">
        <v>4.5990000000000002</v>
      </c>
      <c r="Q962">
        <v>9.8000000000000007</v>
      </c>
      <c r="R962" s="13">
        <v>43542</v>
      </c>
      <c r="S962">
        <f t="shared" si="56"/>
        <v>3</v>
      </c>
      <c r="T962">
        <f t="shared" si="57"/>
        <v>15</v>
      </c>
      <c r="U962">
        <f t="shared" si="58"/>
        <v>18</v>
      </c>
      <c r="V962" s="13" t="str">
        <f t="shared" si="59"/>
        <v>Monday</v>
      </c>
    </row>
    <row r="963" spans="1:22" x14ac:dyDescent="0.25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 s="1">
        <v>20.89</v>
      </c>
      <c r="H963">
        <v>2</v>
      </c>
      <c r="I963" s="1">
        <v>2.089</v>
      </c>
      <c r="J963" s="1">
        <v>43.869</v>
      </c>
      <c r="K963" s="3">
        <v>43587</v>
      </c>
      <c r="L963" s="2">
        <v>0.78125</v>
      </c>
      <c r="M963" t="s">
        <v>29</v>
      </c>
      <c r="N963" s="1">
        <v>41.78</v>
      </c>
      <c r="O963" s="1">
        <v>4.7619047620000003</v>
      </c>
      <c r="P963" s="1">
        <v>2.089</v>
      </c>
      <c r="Q963">
        <v>9.8000000000000007</v>
      </c>
      <c r="R963" s="13">
        <v>43501</v>
      </c>
      <c r="S963">
        <f t="shared" ref="S963:S1001" si="60">MONTH(R963)</f>
        <v>2</v>
      </c>
      <c r="T963">
        <f t="shared" ref="T963:T1001" si="61">HOUR(L963)</f>
        <v>18</v>
      </c>
      <c r="U963">
        <f t="shared" ref="U963:U1001" si="62">DAY(R963)</f>
        <v>5</v>
      </c>
      <c r="V963" s="13" t="str">
        <f t="shared" ref="V963:V1001" si="63">TEXT(R963,"DDDD")</f>
        <v>Tuesday</v>
      </c>
    </row>
    <row r="964" spans="1:22" x14ac:dyDescent="0.25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 s="1">
        <v>15.5</v>
      </c>
      <c r="H964">
        <v>1</v>
      </c>
      <c r="I964" s="1">
        <v>0.77500000000000002</v>
      </c>
      <c r="J964" s="1">
        <v>16.274999999999999</v>
      </c>
      <c r="K964" s="3" t="s">
        <v>103</v>
      </c>
      <c r="L964" s="2">
        <v>0.64097222222222228</v>
      </c>
      <c r="M964" t="s">
        <v>33</v>
      </c>
      <c r="N964" s="1">
        <v>15.5</v>
      </c>
      <c r="O964" s="1">
        <v>4.7619047620000003</v>
      </c>
      <c r="P964" s="1">
        <v>0.77500000000000002</v>
      </c>
      <c r="Q964">
        <v>7.4</v>
      </c>
      <c r="R964" s="13">
        <v>43543</v>
      </c>
      <c r="S964">
        <f t="shared" si="60"/>
        <v>3</v>
      </c>
      <c r="T964">
        <f t="shared" si="61"/>
        <v>15</v>
      </c>
      <c r="U964">
        <f t="shared" si="62"/>
        <v>19</v>
      </c>
      <c r="V964" s="13" t="str">
        <f t="shared" si="63"/>
        <v>Tuesday</v>
      </c>
    </row>
    <row r="965" spans="1:22" x14ac:dyDescent="0.25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 s="1">
        <v>96.82</v>
      </c>
      <c r="H965">
        <v>3</v>
      </c>
      <c r="I965" s="1">
        <v>14.523</v>
      </c>
      <c r="J965" s="1">
        <v>304.983</v>
      </c>
      <c r="K965" s="3" t="s">
        <v>235</v>
      </c>
      <c r="L965" s="2">
        <v>0.85902777777777772</v>
      </c>
      <c r="M965" t="s">
        <v>29</v>
      </c>
      <c r="N965" s="1">
        <v>290.45999999999998</v>
      </c>
      <c r="O965" s="1">
        <v>4.7619047620000003</v>
      </c>
      <c r="P965" s="1">
        <v>14.523</v>
      </c>
      <c r="Q965">
        <v>6.7</v>
      </c>
      <c r="R965" s="13">
        <v>43554</v>
      </c>
      <c r="S965">
        <f t="shared" si="60"/>
        <v>3</v>
      </c>
      <c r="T965">
        <f t="shared" si="61"/>
        <v>20</v>
      </c>
      <c r="U965">
        <f t="shared" si="62"/>
        <v>30</v>
      </c>
      <c r="V965" s="13" t="str">
        <f t="shared" si="63"/>
        <v>Saturday</v>
      </c>
    </row>
    <row r="966" spans="1:22" x14ac:dyDescent="0.25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 s="1">
        <v>33.33</v>
      </c>
      <c r="H966">
        <v>2</v>
      </c>
      <c r="I966" s="1">
        <v>3.3330000000000002</v>
      </c>
      <c r="J966" s="1">
        <v>69.992999999999995</v>
      </c>
      <c r="K966" s="3" t="s">
        <v>145</v>
      </c>
      <c r="L966" s="2">
        <v>0.6118055555555556</v>
      </c>
      <c r="M966" t="s">
        <v>33</v>
      </c>
      <c r="N966" s="1">
        <v>66.66</v>
      </c>
      <c r="O966" s="1">
        <v>4.7619047620000003</v>
      </c>
      <c r="P966" s="1">
        <v>3.3330000000000002</v>
      </c>
      <c r="Q966">
        <v>6.4</v>
      </c>
      <c r="R966" s="13">
        <v>43491</v>
      </c>
      <c r="S966">
        <f t="shared" si="60"/>
        <v>1</v>
      </c>
      <c r="T966">
        <f t="shared" si="61"/>
        <v>14</v>
      </c>
      <c r="U966">
        <f t="shared" si="62"/>
        <v>26</v>
      </c>
      <c r="V966" s="13" t="str">
        <f t="shared" si="63"/>
        <v>Saturday</v>
      </c>
    </row>
    <row r="967" spans="1:22" x14ac:dyDescent="0.25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 s="1">
        <v>38.270000000000003</v>
      </c>
      <c r="H967">
        <v>2</v>
      </c>
      <c r="I967" s="1">
        <v>3.827</v>
      </c>
      <c r="J967" s="1">
        <v>80.367000000000004</v>
      </c>
      <c r="K967" s="3">
        <v>43499</v>
      </c>
      <c r="L967" s="2">
        <v>0.76249999999999996</v>
      </c>
      <c r="M967" t="s">
        <v>33</v>
      </c>
      <c r="N967" s="1">
        <v>76.540000000000006</v>
      </c>
      <c r="O967" s="1">
        <v>4.7619047620000003</v>
      </c>
      <c r="P967" s="1">
        <v>3.827</v>
      </c>
      <c r="Q967">
        <v>5.8</v>
      </c>
      <c r="R967" s="13">
        <v>43526</v>
      </c>
      <c r="S967">
        <f t="shared" si="60"/>
        <v>3</v>
      </c>
      <c r="T967">
        <f t="shared" si="61"/>
        <v>18</v>
      </c>
      <c r="U967">
        <f t="shared" si="62"/>
        <v>2</v>
      </c>
      <c r="V967" s="13" t="str">
        <f t="shared" si="63"/>
        <v>Saturday</v>
      </c>
    </row>
    <row r="968" spans="1:22" x14ac:dyDescent="0.25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 s="1">
        <v>33.299999999999997</v>
      </c>
      <c r="H968">
        <v>9</v>
      </c>
      <c r="I968" s="1">
        <v>14.984999999999999</v>
      </c>
      <c r="J968" s="1">
        <v>314.685</v>
      </c>
      <c r="K968" s="3">
        <v>43558</v>
      </c>
      <c r="L968" s="2">
        <v>0.64375000000000004</v>
      </c>
      <c r="M968" t="s">
        <v>23</v>
      </c>
      <c r="N968" s="1">
        <v>299.7</v>
      </c>
      <c r="O968" s="1">
        <v>4.7619047620000003</v>
      </c>
      <c r="P968" s="1">
        <v>14.984999999999999</v>
      </c>
      <c r="Q968">
        <v>7.2</v>
      </c>
      <c r="R968" s="13">
        <v>43528</v>
      </c>
      <c r="S968">
        <f t="shared" si="60"/>
        <v>3</v>
      </c>
      <c r="T968">
        <f t="shared" si="61"/>
        <v>15</v>
      </c>
      <c r="U968">
        <f t="shared" si="62"/>
        <v>4</v>
      </c>
      <c r="V968" s="13" t="str">
        <f t="shared" si="63"/>
        <v>Monday</v>
      </c>
    </row>
    <row r="969" spans="1:22" x14ac:dyDescent="0.25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 s="1">
        <v>81.010000000000005</v>
      </c>
      <c r="H969">
        <v>3</v>
      </c>
      <c r="I969" s="1">
        <v>12.1515</v>
      </c>
      <c r="J969" s="1">
        <v>255.1815</v>
      </c>
      <c r="K969" s="3" t="s">
        <v>138</v>
      </c>
      <c r="L969" s="2">
        <v>0.53819444444444442</v>
      </c>
      <c r="M969" t="s">
        <v>33</v>
      </c>
      <c r="N969" s="1">
        <v>243.03</v>
      </c>
      <c r="O969" s="1">
        <v>4.7619047620000003</v>
      </c>
      <c r="P969" s="1">
        <v>12.1515</v>
      </c>
      <c r="Q969">
        <v>9.3000000000000007</v>
      </c>
      <c r="R969" s="13">
        <v>43478</v>
      </c>
      <c r="S969">
        <f t="shared" si="60"/>
        <v>1</v>
      </c>
      <c r="T969">
        <f t="shared" si="61"/>
        <v>12</v>
      </c>
      <c r="U969">
        <f t="shared" si="62"/>
        <v>13</v>
      </c>
      <c r="V969" s="13" t="str">
        <f t="shared" si="63"/>
        <v>Sunday</v>
      </c>
    </row>
    <row r="970" spans="1:22" x14ac:dyDescent="0.25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 s="1">
        <v>15.8</v>
      </c>
      <c r="H970">
        <v>3</v>
      </c>
      <c r="I970" s="1">
        <v>2.37</v>
      </c>
      <c r="J970" s="1">
        <v>49.77</v>
      </c>
      <c r="K970" s="3" t="s">
        <v>39</v>
      </c>
      <c r="L970" s="2">
        <v>0.75138888888888888</v>
      </c>
      <c r="M970" t="s">
        <v>29</v>
      </c>
      <c r="N970" s="1">
        <v>47.4</v>
      </c>
      <c r="O970" s="1">
        <v>4.7619047620000003</v>
      </c>
      <c r="P970" s="1">
        <v>2.37</v>
      </c>
      <c r="Q970">
        <v>9.5</v>
      </c>
      <c r="R970" s="13">
        <v>43549</v>
      </c>
      <c r="S970">
        <f t="shared" si="60"/>
        <v>3</v>
      </c>
      <c r="T970">
        <f t="shared" si="61"/>
        <v>18</v>
      </c>
      <c r="U970">
        <f t="shared" si="62"/>
        <v>25</v>
      </c>
      <c r="V970" s="13" t="str">
        <f t="shared" si="63"/>
        <v>Monday</v>
      </c>
    </row>
    <row r="971" spans="1:22" x14ac:dyDescent="0.25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 s="1">
        <v>34.49</v>
      </c>
      <c r="H971">
        <v>5</v>
      </c>
      <c r="I971" s="1">
        <v>8.6225000000000005</v>
      </c>
      <c r="J971" s="1">
        <v>181.07249999999999</v>
      </c>
      <c r="K971" s="3">
        <v>43772</v>
      </c>
      <c r="L971" s="2">
        <v>0.82222222222222219</v>
      </c>
      <c r="M971" t="s">
        <v>33</v>
      </c>
      <c r="N971" s="1">
        <v>172.45</v>
      </c>
      <c r="O971" s="1">
        <v>4.7619047620000003</v>
      </c>
      <c r="P971" s="1">
        <v>8.6225000000000005</v>
      </c>
      <c r="Q971">
        <v>9</v>
      </c>
      <c r="R971" s="13">
        <v>43535</v>
      </c>
      <c r="S971">
        <f t="shared" si="60"/>
        <v>3</v>
      </c>
      <c r="T971">
        <f t="shared" si="61"/>
        <v>19</v>
      </c>
      <c r="U971">
        <f t="shared" si="62"/>
        <v>11</v>
      </c>
      <c r="V971" s="13" t="str">
        <f t="shared" si="63"/>
        <v>Monday</v>
      </c>
    </row>
    <row r="972" spans="1:22" x14ac:dyDescent="0.25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 s="1">
        <v>84.63</v>
      </c>
      <c r="H972">
        <v>10</v>
      </c>
      <c r="I972" s="1">
        <v>42.314999999999998</v>
      </c>
      <c r="J972" s="1">
        <v>888.61500000000001</v>
      </c>
      <c r="K972" s="3">
        <v>43466</v>
      </c>
      <c r="L972" s="2">
        <v>0.48333333333333334</v>
      </c>
      <c r="M972" t="s">
        <v>33</v>
      </c>
      <c r="N972" s="1">
        <v>846.3</v>
      </c>
      <c r="O972" s="1">
        <v>4.7619047620000003</v>
      </c>
      <c r="P972" s="1">
        <v>42.314999999999998</v>
      </c>
      <c r="Q972">
        <v>9</v>
      </c>
      <c r="R972" s="13">
        <v>43466</v>
      </c>
      <c r="S972">
        <f t="shared" si="60"/>
        <v>1</v>
      </c>
      <c r="T972">
        <f t="shared" si="61"/>
        <v>11</v>
      </c>
      <c r="U972">
        <f t="shared" si="62"/>
        <v>1</v>
      </c>
      <c r="V972" s="13" t="str">
        <f t="shared" si="63"/>
        <v>Tuesday</v>
      </c>
    </row>
    <row r="973" spans="1:22" x14ac:dyDescent="0.25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 s="1">
        <v>36.909999999999997</v>
      </c>
      <c r="H973">
        <v>7</v>
      </c>
      <c r="I973" s="1">
        <v>12.9185</v>
      </c>
      <c r="J973" s="1">
        <v>271.2885</v>
      </c>
      <c r="K973" s="3">
        <v>43740</v>
      </c>
      <c r="L973" s="2">
        <v>0.57708333333333328</v>
      </c>
      <c r="M973" t="s">
        <v>23</v>
      </c>
      <c r="N973" s="1">
        <v>258.37</v>
      </c>
      <c r="O973" s="1">
        <v>4.7619047620000003</v>
      </c>
      <c r="P973" s="1">
        <v>12.9185</v>
      </c>
      <c r="Q973">
        <v>6.7</v>
      </c>
      <c r="R973" s="13">
        <v>43506</v>
      </c>
      <c r="S973">
        <f t="shared" si="60"/>
        <v>2</v>
      </c>
      <c r="T973">
        <f t="shared" si="61"/>
        <v>13</v>
      </c>
      <c r="U973">
        <f t="shared" si="62"/>
        <v>10</v>
      </c>
      <c r="V973" s="13" t="str">
        <f t="shared" si="63"/>
        <v>Sunday</v>
      </c>
    </row>
    <row r="974" spans="1:22" x14ac:dyDescent="0.25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 s="1">
        <v>87.08</v>
      </c>
      <c r="H974">
        <v>7</v>
      </c>
      <c r="I974" s="1">
        <v>30.478000000000002</v>
      </c>
      <c r="J974" s="1">
        <v>640.03800000000001</v>
      </c>
      <c r="K974" s="3" t="s">
        <v>145</v>
      </c>
      <c r="L974" s="2">
        <v>0.63680555555555551</v>
      </c>
      <c r="M974" t="s">
        <v>29</v>
      </c>
      <c r="N974" s="1">
        <v>609.55999999999995</v>
      </c>
      <c r="O974" s="1">
        <v>4.7619047620000003</v>
      </c>
      <c r="P974" s="1">
        <v>30.478000000000002</v>
      </c>
      <c r="Q974">
        <v>5.5</v>
      </c>
      <c r="R974" s="13">
        <v>43491</v>
      </c>
      <c r="S974">
        <f t="shared" si="60"/>
        <v>1</v>
      </c>
      <c r="T974">
        <f t="shared" si="61"/>
        <v>15</v>
      </c>
      <c r="U974">
        <f t="shared" si="62"/>
        <v>26</v>
      </c>
      <c r="V974" s="13" t="str">
        <f t="shared" si="63"/>
        <v>Saturday</v>
      </c>
    </row>
    <row r="975" spans="1:22" x14ac:dyDescent="0.25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 s="1">
        <v>80.08</v>
      </c>
      <c r="H975">
        <v>3</v>
      </c>
      <c r="I975" s="1">
        <v>12.012</v>
      </c>
      <c r="J975" s="1">
        <v>252.25200000000001</v>
      </c>
      <c r="K975" s="3">
        <v>43771</v>
      </c>
      <c r="L975" s="2">
        <v>0.64513888888888893</v>
      </c>
      <c r="M975" t="s">
        <v>29</v>
      </c>
      <c r="N975" s="1">
        <v>240.24</v>
      </c>
      <c r="O975" s="1">
        <v>4.7619047620000003</v>
      </c>
      <c r="P975" s="1">
        <v>12.012</v>
      </c>
      <c r="Q975">
        <v>5.4</v>
      </c>
      <c r="R975" s="13">
        <v>43507</v>
      </c>
      <c r="S975">
        <f t="shared" si="60"/>
        <v>2</v>
      </c>
      <c r="T975">
        <f t="shared" si="61"/>
        <v>15</v>
      </c>
      <c r="U975">
        <f t="shared" si="62"/>
        <v>11</v>
      </c>
      <c r="V975" s="13" t="str">
        <f t="shared" si="63"/>
        <v>Monday</v>
      </c>
    </row>
    <row r="976" spans="1:22" x14ac:dyDescent="0.25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 s="1">
        <v>86.13</v>
      </c>
      <c r="H976">
        <v>2</v>
      </c>
      <c r="I976" s="1">
        <v>8.6129999999999995</v>
      </c>
      <c r="J976" s="1">
        <v>180.87299999999999</v>
      </c>
      <c r="K976" s="3">
        <v>43648</v>
      </c>
      <c r="L976" s="2">
        <v>0.74930555555555556</v>
      </c>
      <c r="M976" t="s">
        <v>29</v>
      </c>
      <c r="N976" s="1">
        <v>172.26</v>
      </c>
      <c r="O976" s="1">
        <v>4.7619047620000003</v>
      </c>
      <c r="P976" s="1">
        <v>8.6129999999999995</v>
      </c>
      <c r="Q976">
        <v>8.1999999999999993</v>
      </c>
      <c r="R976" s="13">
        <v>43503</v>
      </c>
      <c r="S976">
        <f t="shared" si="60"/>
        <v>2</v>
      </c>
      <c r="T976">
        <f t="shared" si="61"/>
        <v>17</v>
      </c>
      <c r="U976">
        <f t="shared" si="62"/>
        <v>7</v>
      </c>
      <c r="V976" s="13" t="str">
        <f t="shared" si="63"/>
        <v>Thursday</v>
      </c>
    </row>
    <row r="977" spans="1:22" x14ac:dyDescent="0.25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 s="1">
        <v>49.92</v>
      </c>
      <c r="H977">
        <v>2</v>
      </c>
      <c r="I977" s="1">
        <v>4.992</v>
      </c>
      <c r="J977" s="1">
        <v>104.83199999999999</v>
      </c>
      <c r="K977" s="3">
        <v>43619</v>
      </c>
      <c r="L977" s="2">
        <v>0.49652777777777779</v>
      </c>
      <c r="M977" t="s">
        <v>33</v>
      </c>
      <c r="N977" s="1">
        <v>99.84</v>
      </c>
      <c r="O977" s="1">
        <v>4.7619047620000003</v>
      </c>
      <c r="P977" s="1">
        <v>4.992</v>
      </c>
      <c r="Q977">
        <v>7</v>
      </c>
      <c r="R977" s="13">
        <v>43530</v>
      </c>
      <c r="S977">
        <f t="shared" si="60"/>
        <v>3</v>
      </c>
      <c r="T977">
        <f t="shared" si="61"/>
        <v>11</v>
      </c>
      <c r="U977">
        <f t="shared" si="62"/>
        <v>6</v>
      </c>
      <c r="V977" s="13" t="str">
        <f t="shared" si="63"/>
        <v>Wednesday</v>
      </c>
    </row>
    <row r="978" spans="1:22" x14ac:dyDescent="0.25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 s="1">
        <v>74.66</v>
      </c>
      <c r="H978">
        <v>4</v>
      </c>
      <c r="I978" s="1">
        <v>14.932</v>
      </c>
      <c r="J978" s="1">
        <v>313.572</v>
      </c>
      <c r="K978" s="3">
        <v>43558</v>
      </c>
      <c r="L978" s="2">
        <v>0.44374999999999998</v>
      </c>
      <c r="M978" t="s">
        <v>29</v>
      </c>
      <c r="N978" s="1">
        <v>298.64</v>
      </c>
      <c r="O978" s="1">
        <v>4.7619047620000003</v>
      </c>
      <c r="P978" s="1">
        <v>14.932</v>
      </c>
      <c r="Q978">
        <v>8.5</v>
      </c>
      <c r="R978" s="13">
        <v>43528</v>
      </c>
      <c r="S978">
        <f t="shared" si="60"/>
        <v>3</v>
      </c>
      <c r="T978">
        <f t="shared" si="61"/>
        <v>10</v>
      </c>
      <c r="U978">
        <f t="shared" si="62"/>
        <v>4</v>
      </c>
      <c r="V978" s="13" t="str">
        <f t="shared" si="63"/>
        <v>Monday</v>
      </c>
    </row>
    <row r="979" spans="1:22" x14ac:dyDescent="0.25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 s="1">
        <v>26.6</v>
      </c>
      <c r="H979">
        <v>6</v>
      </c>
      <c r="I979" s="1">
        <v>7.98</v>
      </c>
      <c r="J979" s="1">
        <v>167.58</v>
      </c>
      <c r="K979" s="3" t="s">
        <v>314</v>
      </c>
      <c r="L979" s="2">
        <v>0.63194444444444442</v>
      </c>
      <c r="M979" t="s">
        <v>23</v>
      </c>
      <c r="N979" s="1">
        <v>159.6</v>
      </c>
      <c r="O979" s="1">
        <v>4.7619047620000003</v>
      </c>
      <c r="P979" s="1">
        <v>7.98</v>
      </c>
      <c r="Q979">
        <v>4.9000000000000004</v>
      </c>
      <c r="R979" s="13">
        <v>43522</v>
      </c>
      <c r="S979">
        <f t="shared" si="60"/>
        <v>2</v>
      </c>
      <c r="T979">
        <f t="shared" si="61"/>
        <v>15</v>
      </c>
      <c r="U979">
        <f t="shared" si="62"/>
        <v>26</v>
      </c>
      <c r="V979" s="13" t="str">
        <f t="shared" si="63"/>
        <v>Tuesday</v>
      </c>
    </row>
    <row r="980" spans="1:22" x14ac:dyDescent="0.25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 s="1">
        <v>25.45</v>
      </c>
      <c r="H980">
        <v>1</v>
      </c>
      <c r="I980" s="1">
        <v>1.2725</v>
      </c>
      <c r="J980" s="1">
        <v>26.7225</v>
      </c>
      <c r="K980" s="3">
        <v>43741</v>
      </c>
      <c r="L980" s="2">
        <v>0.75694444444444442</v>
      </c>
      <c r="M980" t="s">
        <v>33</v>
      </c>
      <c r="N980" s="1">
        <v>25.45</v>
      </c>
      <c r="O980" s="1">
        <v>4.7619047620000003</v>
      </c>
      <c r="P980" s="1">
        <v>1.2725</v>
      </c>
      <c r="Q980">
        <v>5.0999999999999996</v>
      </c>
      <c r="R980" s="13">
        <v>43534</v>
      </c>
      <c r="S980">
        <f t="shared" si="60"/>
        <v>3</v>
      </c>
      <c r="T980">
        <f t="shared" si="61"/>
        <v>18</v>
      </c>
      <c r="U980">
        <f t="shared" si="62"/>
        <v>10</v>
      </c>
      <c r="V980" s="13" t="str">
        <f t="shared" si="63"/>
        <v>Sunday</v>
      </c>
    </row>
    <row r="981" spans="1:22" x14ac:dyDescent="0.25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 s="1">
        <v>67.77</v>
      </c>
      <c r="H981">
        <v>1</v>
      </c>
      <c r="I981" s="1">
        <v>3.3885000000000001</v>
      </c>
      <c r="J981" s="1">
        <v>71.158500000000004</v>
      </c>
      <c r="K981" s="3">
        <v>43557</v>
      </c>
      <c r="L981" s="2">
        <v>0.86319444444444449</v>
      </c>
      <c r="M981" t="s">
        <v>33</v>
      </c>
      <c r="N981" s="1">
        <v>67.77</v>
      </c>
      <c r="O981" s="1">
        <v>4.7619047620000003</v>
      </c>
      <c r="P981" s="1">
        <v>3.3885000000000001</v>
      </c>
      <c r="Q981">
        <v>6.5</v>
      </c>
      <c r="R981" s="13">
        <v>43500</v>
      </c>
      <c r="S981">
        <f t="shared" si="60"/>
        <v>2</v>
      </c>
      <c r="T981">
        <f t="shared" si="61"/>
        <v>20</v>
      </c>
      <c r="U981">
        <f t="shared" si="62"/>
        <v>4</v>
      </c>
      <c r="V981" s="13" t="str">
        <f t="shared" si="63"/>
        <v>Monday</v>
      </c>
    </row>
    <row r="982" spans="1:22" x14ac:dyDescent="0.25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 s="1">
        <v>59.59</v>
      </c>
      <c r="H982">
        <v>4</v>
      </c>
      <c r="I982" s="1">
        <v>11.917999999999999</v>
      </c>
      <c r="J982" s="1">
        <v>250.27799999999999</v>
      </c>
      <c r="K982" s="3" t="s">
        <v>183</v>
      </c>
      <c r="L982" s="2">
        <v>0.53194444444444444</v>
      </c>
      <c r="M982" t="s">
        <v>29</v>
      </c>
      <c r="N982" s="1">
        <v>238.36</v>
      </c>
      <c r="O982" s="1">
        <v>4.7619047620000003</v>
      </c>
      <c r="P982" s="1">
        <v>11.917999999999999</v>
      </c>
      <c r="Q982">
        <v>9.8000000000000007</v>
      </c>
      <c r="R982" s="13">
        <v>43484</v>
      </c>
      <c r="S982">
        <f t="shared" si="60"/>
        <v>1</v>
      </c>
      <c r="T982">
        <f t="shared" si="61"/>
        <v>12</v>
      </c>
      <c r="U982">
        <f t="shared" si="62"/>
        <v>19</v>
      </c>
      <c r="V982" s="13" t="str">
        <f t="shared" si="63"/>
        <v>Saturday</v>
      </c>
    </row>
    <row r="983" spans="1:22" x14ac:dyDescent="0.25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 s="1">
        <v>58.15</v>
      </c>
      <c r="H983">
        <v>4</v>
      </c>
      <c r="I983" s="1">
        <v>11.63</v>
      </c>
      <c r="J983" s="1">
        <v>244.23</v>
      </c>
      <c r="K983" s="3" t="s">
        <v>147</v>
      </c>
      <c r="L983" s="2">
        <v>0.73888888888888893</v>
      </c>
      <c r="M983" t="s">
        <v>29</v>
      </c>
      <c r="N983" s="1">
        <v>232.6</v>
      </c>
      <c r="O983" s="1">
        <v>4.7619047620000003</v>
      </c>
      <c r="P983" s="1">
        <v>11.63</v>
      </c>
      <c r="Q983">
        <v>8.4</v>
      </c>
      <c r="R983" s="13">
        <v>43488</v>
      </c>
      <c r="S983">
        <f t="shared" si="60"/>
        <v>1</v>
      </c>
      <c r="T983">
        <f t="shared" si="61"/>
        <v>17</v>
      </c>
      <c r="U983">
        <f t="shared" si="62"/>
        <v>23</v>
      </c>
      <c r="V983" s="13" t="str">
        <f t="shared" si="63"/>
        <v>Wednesday</v>
      </c>
    </row>
    <row r="984" spans="1:22" x14ac:dyDescent="0.25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 s="1">
        <v>97.48</v>
      </c>
      <c r="H984">
        <v>9</v>
      </c>
      <c r="I984" s="1">
        <v>43.866</v>
      </c>
      <c r="J984" s="1">
        <v>921.18600000000004</v>
      </c>
      <c r="K984" s="3" t="s">
        <v>354</v>
      </c>
      <c r="L984" s="2">
        <v>0.59652777777777777</v>
      </c>
      <c r="M984" t="s">
        <v>23</v>
      </c>
      <c r="N984" s="1">
        <v>877.32</v>
      </c>
      <c r="O984" s="1">
        <v>4.7619047620000003</v>
      </c>
      <c r="P984" s="1">
        <v>43.866</v>
      </c>
      <c r="Q984">
        <v>7.4</v>
      </c>
      <c r="R984" s="13">
        <v>43538</v>
      </c>
      <c r="S984">
        <f t="shared" si="60"/>
        <v>3</v>
      </c>
      <c r="T984">
        <f t="shared" si="61"/>
        <v>14</v>
      </c>
      <c r="U984">
        <f t="shared" si="62"/>
        <v>14</v>
      </c>
      <c r="V984" s="13" t="str">
        <f t="shared" si="63"/>
        <v>Thursday</v>
      </c>
    </row>
    <row r="985" spans="1:22" x14ac:dyDescent="0.25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 s="1">
        <v>99.96</v>
      </c>
      <c r="H985">
        <v>7</v>
      </c>
      <c r="I985" s="1">
        <v>34.985999999999997</v>
      </c>
      <c r="J985" s="1">
        <v>734.70600000000002</v>
      </c>
      <c r="K985" s="3" t="s">
        <v>147</v>
      </c>
      <c r="L985" s="2">
        <v>0.43958333333333333</v>
      </c>
      <c r="M985" t="s">
        <v>29</v>
      </c>
      <c r="N985" s="1">
        <v>699.72</v>
      </c>
      <c r="O985" s="1">
        <v>4.7619047620000003</v>
      </c>
      <c r="P985" s="1">
        <v>34.985999999999997</v>
      </c>
      <c r="Q985">
        <v>6.1</v>
      </c>
      <c r="R985" s="13">
        <v>43488</v>
      </c>
      <c r="S985">
        <f t="shared" si="60"/>
        <v>1</v>
      </c>
      <c r="T985">
        <f t="shared" si="61"/>
        <v>10</v>
      </c>
      <c r="U985">
        <f t="shared" si="62"/>
        <v>23</v>
      </c>
      <c r="V985" s="13" t="str">
        <f t="shared" si="63"/>
        <v>Wednesday</v>
      </c>
    </row>
    <row r="986" spans="1:22" x14ac:dyDescent="0.25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 s="1">
        <v>96.37</v>
      </c>
      <c r="H986">
        <v>7</v>
      </c>
      <c r="I986" s="1">
        <v>33.729500000000002</v>
      </c>
      <c r="J986" s="1">
        <v>708.31949999999995</v>
      </c>
      <c r="K986" s="3">
        <v>43709</v>
      </c>
      <c r="L986" s="2">
        <v>0.4861111111111111</v>
      </c>
      <c r="M986" t="s">
        <v>29</v>
      </c>
      <c r="N986" s="1">
        <v>674.59</v>
      </c>
      <c r="O986" s="1">
        <v>4.7619047620000003</v>
      </c>
      <c r="P986" s="1">
        <v>33.729500000000002</v>
      </c>
      <c r="Q986">
        <v>6</v>
      </c>
      <c r="R986" s="13">
        <v>43474</v>
      </c>
      <c r="S986">
        <f t="shared" si="60"/>
        <v>1</v>
      </c>
      <c r="T986">
        <f t="shared" si="61"/>
        <v>11</v>
      </c>
      <c r="U986">
        <f t="shared" si="62"/>
        <v>9</v>
      </c>
      <c r="V986" s="13" t="str">
        <f t="shared" si="63"/>
        <v>Wednesday</v>
      </c>
    </row>
    <row r="987" spans="1:22" x14ac:dyDescent="0.25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 s="1">
        <v>63.71</v>
      </c>
      <c r="H987">
        <v>5</v>
      </c>
      <c r="I987" s="1">
        <v>15.9275</v>
      </c>
      <c r="J987" s="1">
        <v>334.47750000000002</v>
      </c>
      <c r="K987" s="3">
        <v>43648</v>
      </c>
      <c r="L987" s="2">
        <v>0.8125</v>
      </c>
      <c r="M987" t="s">
        <v>23</v>
      </c>
      <c r="N987" s="1">
        <v>318.55</v>
      </c>
      <c r="O987" s="1">
        <v>4.7619047620000003</v>
      </c>
      <c r="P987" s="1">
        <v>15.9275</v>
      </c>
      <c r="Q987">
        <v>8.5</v>
      </c>
      <c r="R987" s="13">
        <v>43503</v>
      </c>
      <c r="S987">
        <f t="shared" si="60"/>
        <v>2</v>
      </c>
      <c r="T987">
        <f t="shared" si="61"/>
        <v>19</v>
      </c>
      <c r="U987">
        <f t="shared" si="62"/>
        <v>7</v>
      </c>
      <c r="V987" s="13" t="str">
        <f t="shared" si="63"/>
        <v>Thursday</v>
      </c>
    </row>
    <row r="988" spans="1:22" x14ac:dyDescent="0.25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 s="1">
        <v>14.76</v>
      </c>
      <c r="H988">
        <v>2</v>
      </c>
      <c r="I988" s="1">
        <v>1.476</v>
      </c>
      <c r="J988" s="1">
        <v>30.995999999999999</v>
      </c>
      <c r="K988" s="3" t="s">
        <v>207</v>
      </c>
      <c r="L988" s="2">
        <v>0.61250000000000004</v>
      </c>
      <c r="M988" t="s">
        <v>23</v>
      </c>
      <c r="N988" s="1">
        <v>29.52</v>
      </c>
      <c r="O988" s="1">
        <v>4.7619047620000003</v>
      </c>
      <c r="P988" s="1">
        <v>1.476</v>
      </c>
      <c r="Q988">
        <v>4.3</v>
      </c>
      <c r="R988" s="13">
        <v>43514</v>
      </c>
      <c r="S988">
        <f t="shared" si="60"/>
        <v>2</v>
      </c>
      <c r="T988">
        <f t="shared" si="61"/>
        <v>14</v>
      </c>
      <c r="U988">
        <f t="shared" si="62"/>
        <v>18</v>
      </c>
      <c r="V988" s="13" t="str">
        <f t="shared" si="63"/>
        <v>Monday</v>
      </c>
    </row>
    <row r="989" spans="1:22" x14ac:dyDescent="0.25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 s="1">
        <v>62</v>
      </c>
      <c r="H989">
        <v>8</v>
      </c>
      <c r="I989" s="1">
        <v>24.8</v>
      </c>
      <c r="J989" s="1">
        <v>520.79999999999995</v>
      </c>
      <c r="K989" s="3">
        <v>43525</v>
      </c>
      <c r="L989" s="2">
        <v>0.79722222222222228</v>
      </c>
      <c r="M989" t="s">
        <v>33</v>
      </c>
      <c r="N989" s="1">
        <v>496</v>
      </c>
      <c r="O989" s="1">
        <v>4.7619047620000003</v>
      </c>
      <c r="P989" s="1">
        <v>24.8</v>
      </c>
      <c r="Q989">
        <v>6.2</v>
      </c>
      <c r="R989" s="13">
        <v>43468</v>
      </c>
      <c r="S989">
        <f t="shared" si="60"/>
        <v>1</v>
      </c>
      <c r="T989">
        <f t="shared" si="61"/>
        <v>19</v>
      </c>
      <c r="U989">
        <f t="shared" si="62"/>
        <v>3</v>
      </c>
      <c r="V989" s="13" t="str">
        <f t="shared" si="63"/>
        <v>Thursday</v>
      </c>
    </row>
    <row r="990" spans="1:22" x14ac:dyDescent="0.25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 s="1">
        <v>82.34</v>
      </c>
      <c r="H990">
        <v>10</v>
      </c>
      <c r="I990" s="1">
        <v>41.17</v>
      </c>
      <c r="J990" s="1">
        <v>864.57</v>
      </c>
      <c r="K990" s="3" t="s">
        <v>56</v>
      </c>
      <c r="L990" s="2">
        <v>0.8</v>
      </c>
      <c r="M990" t="s">
        <v>23</v>
      </c>
      <c r="N990" s="1">
        <v>823.4</v>
      </c>
      <c r="O990" s="1">
        <v>4.7619047620000003</v>
      </c>
      <c r="P990" s="1">
        <v>41.17</v>
      </c>
      <c r="Q990">
        <v>4.3</v>
      </c>
      <c r="R990" s="13">
        <v>43553</v>
      </c>
      <c r="S990">
        <f t="shared" si="60"/>
        <v>3</v>
      </c>
      <c r="T990">
        <f t="shared" si="61"/>
        <v>19</v>
      </c>
      <c r="U990">
        <f t="shared" si="62"/>
        <v>29</v>
      </c>
      <c r="V990" s="13" t="str">
        <f t="shared" si="63"/>
        <v>Friday</v>
      </c>
    </row>
    <row r="991" spans="1:22" x14ac:dyDescent="0.25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 s="1">
        <v>75.37</v>
      </c>
      <c r="H991">
        <v>8</v>
      </c>
      <c r="I991" s="1">
        <v>30.148</v>
      </c>
      <c r="J991" s="1">
        <v>633.10799999999995</v>
      </c>
      <c r="K991" s="3" t="s">
        <v>80</v>
      </c>
      <c r="L991" s="2">
        <v>0.65694444444444444</v>
      </c>
      <c r="M991" t="s">
        <v>33</v>
      </c>
      <c r="N991" s="1">
        <v>602.96</v>
      </c>
      <c r="O991" s="1">
        <v>4.7619047620000003</v>
      </c>
      <c r="P991" s="1">
        <v>30.148</v>
      </c>
      <c r="Q991">
        <v>8.4</v>
      </c>
      <c r="R991" s="13">
        <v>43493</v>
      </c>
      <c r="S991">
        <f t="shared" si="60"/>
        <v>1</v>
      </c>
      <c r="T991">
        <f t="shared" si="61"/>
        <v>15</v>
      </c>
      <c r="U991">
        <f t="shared" si="62"/>
        <v>28</v>
      </c>
      <c r="V991" s="13" t="str">
        <f t="shared" si="63"/>
        <v>Monday</v>
      </c>
    </row>
    <row r="992" spans="1:22" x14ac:dyDescent="0.25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 s="1">
        <v>56.56</v>
      </c>
      <c r="H992">
        <v>5</v>
      </c>
      <c r="I992" s="1">
        <v>14.14</v>
      </c>
      <c r="J992" s="1">
        <v>296.94</v>
      </c>
      <c r="K992" s="3" t="s">
        <v>72</v>
      </c>
      <c r="L992" s="2">
        <v>0.79583333333333328</v>
      </c>
      <c r="M992" t="s">
        <v>33</v>
      </c>
      <c r="N992" s="1">
        <v>282.8</v>
      </c>
      <c r="O992" s="1">
        <v>4.7619047620000003</v>
      </c>
      <c r="P992" s="1">
        <v>14.14</v>
      </c>
      <c r="Q992">
        <v>4.5</v>
      </c>
      <c r="R992" s="13">
        <v>43546</v>
      </c>
      <c r="S992">
        <f t="shared" si="60"/>
        <v>3</v>
      </c>
      <c r="T992">
        <f t="shared" si="61"/>
        <v>19</v>
      </c>
      <c r="U992">
        <f t="shared" si="62"/>
        <v>22</v>
      </c>
      <c r="V992" s="13" t="str">
        <f t="shared" si="63"/>
        <v>Friday</v>
      </c>
    </row>
    <row r="993" spans="1:22" x14ac:dyDescent="0.25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 s="1">
        <v>76.599999999999994</v>
      </c>
      <c r="H993">
        <v>10</v>
      </c>
      <c r="I993" s="1">
        <v>38.299999999999997</v>
      </c>
      <c r="J993" s="1">
        <v>804.3</v>
      </c>
      <c r="K993" s="3" t="s">
        <v>129</v>
      </c>
      <c r="L993" s="2">
        <v>0.75694444444444442</v>
      </c>
      <c r="M993" t="s">
        <v>23</v>
      </c>
      <c r="N993" s="1">
        <v>766</v>
      </c>
      <c r="O993" s="1">
        <v>4.7619047620000003</v>
      </c>
      <c r="P993" s="1">
        <v>38.299999999999997</v>
      </c>
      <c r="Q993">
        <v>6</v>
      </c>
      <c r="R993" s="13">
        <v>43489</v>
      </c>
      <c r="S993">
        <f t="shared" si="60"/>
        <v>1</v>
      </c>
      <c r="T993">
        <f t="shared" si="61"/>
        <v>18</v>
      </c>
      <c r="U993">
        <f t="shared" si="62"/>
        <v>24</v>
      </c>
      <c r="V993" s="13" t="str">
        <f t="shared" si="63"/>
        <v>Thursday</v>
      </c>
    </row>
    <row r="994" spans="1:22" x14ac:dyDescent="0.25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 s="1">
        <v>58.03</v>
      </c>
      <c r="H994">
        <v>2</v>
      </c>
      <c r="I994" s="1">
        <v>5.8029999999999999</v>
      </c>
      <c r="J994" s="1">
        <v>121.863</v>
      </c>
      <c r="K994" s="3">
        <v>43741</v>
      </c>
      <c r="L994" s="2">
        <v>0.86527777777777781</v>
      </c>
      <c r="M994" t="s">
        <v>23</v>
      </c>
      <c r="N994" s="1">
        <v>116.06</v>
      </c>
      <c r="O994" s="1">
        <v>4.7619047620000003</v>
      </c>
      <c r="P994" s="1">
        <v>5.8029999999999999</v>
      </c>
      <c r="Q994">
        <v>8.8000000000000007</v>
      </c>
      <c r="R994" s="13">
        <v>43534</v>
      </c>
      <c r="S994">
        <f t="shared" si="60"/>
        <v>3</v>
      </c>
      <c r="T994">
        <f t="shared" si="61"/>
        <v>20</v>
      </c>
      <c r="U994">
        <f t="shared" si="62"/>
        <v>10</v>
      </c>
      <c r="V994" s="13" t="str">
        <f t="shared" si="63"/>
        <v>Sunday</v>
      </c>
    </row>
    <row r="995" spans="1:22" x14ac:dyDescent="0.25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 s="1">
        <v>17.489999999999998</v>
      </c>
      <c r="H995">
        <v>10</v>
      </c>
      <c r="I995" s="1">
        <v>8.7449999999999992</v>
      </c>
      <c r="J995" s="1">
        <v>183.64500000000001</v>
      </c>
      <c r="K995" s="3" t="s">
        <v>218</v>
      </c>
      <c r="L995" s="2">
        <v>0.77430555555555558</v>
      </c>
      <c r="M995" t="s">
        <v>23</v>
      </c>
      <c r="N995" s="1">
        <v>174.9</v>
      </c>
      <c r="O995" s="1">
        <v>4.7619047620000003</v>
      </c>
      <c r="P995" s="1">
        <v>8.7449999999999992</v>
      </c>
      <c r="Q995">
        <v>6.6</v>
      </c>
      <c r="R995" s="13">
        <v>43518</v>
      </c>
      <c r="S995">
        <f t="shared" si="60"/>
        <v>2</v>
      </c>
      <c r="T995">
        <f t="shared" si="61"/>
        <v>18</v>
      </c>
      <c r="U995">
        <f t="shared" si="62"/>
        <v>22</v>
      </c>
      <c r="V995" s="13" t="str">
        <f t="shared" si="63"/>
        <v>Friday</v>
      </c>
    </row>
    <row r="996" spans="1:22" x14ac:dyDescent="0.25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 s="1">
        <v>60.95</v>
      </c>
      <c r="H996">
        <v>1</v>
      </c>
      <c r="I996" s="1">
        <v>3.0474999999999999</v>
      </c>
      <c r="J996" s="1">
        <v>63.997500000000002</v>
      </c>
      <c r="K996" s="3">
        <v>43514</v>
      </c>
      <c r="L996" s="2">
        <v>0.4861111111111111</v>
      </c>
      <c r="M996" t="s">
        <v>23</v>
      </c>
      <c r="N996" s="1">
        <v>60.95</v>
      </c>
      <c r="O996" s="1">
        <v>4.7619047620000003</v>
      </c>
      <c r="P996" s="1">
        <v>3.0474999999999999</v>
      </c>
      <c r="Q996">
        <v>5.9</v>
      </c>
      <c r="R996" s="13">
        <v>43514</v>
      </c>
      <c r="S996">
        <f t="shared" si="60"/>
        <v>2</v>
      </c>
      <c r="T996">
        <f t="shared" si="61"/>
        <v>11</v>
      </c>
      <c r="U996">
        <f t="shared" si="62"/>
        <v>18</v>
      </c>
      <c r="V996" s="13" t="str">
        <f t="shared" si="63"/>
        <v>Monday</v>
      </c>
    </row>
    <row r="997" spans="1:22" x14ac:dyDescent="0.25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 s="1">
        <v>40.35</v>
      </c>
      <c r="H997">
        <v>1</v>
      </c>
      <c r="I997" s="1">
        <v>2.0175000000000001</v>
      </c>
      <c r="J997" s="1">
        <v>42.3675</v>
      </c>
      <c r="K997" s="3">
        <v>43494</v>
      </c>
      <c r="L997" s="2">
        <v>0.57361111111111107</v>
      </c>
      <c r="M997" t="s">
        <v>23</v>
      </c>
      <c r="N997" s="1">
        <v>40.35</v>
      </c>
      <c r="O997" s="1">
        <v>4.7619047620000003</v>
      </c>
      <c r="P997" s="1">
        <v>2.0175000000000001</v>
      </c>
      <c r="Q997">
        <v>6.2</v>
      </c>
      <c r="R997" s="13">
        <v>43494</v>
      </c>
      <c r="S997">
        <f t="shared" si="60"/>
        <v>1</v>
      </c>
      <c r="T997">
        <f t="shared" si="61"/>
        <v>13</v>
      </c>
      <c r="U997">
        <f t="shared" si="62"/>
        <v>29</v>
      </c>
      <c r="V997" s="13" t="str">
        <f t="shared" si="63"/>
        <v>Tuesday</v>
      </c>
    </row>
    <row r="998" spans="1:22" x14ac:dyDescent="0.25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 s="1">
        <v>97.38</v>
      </c>
      <c r="H998">
        <v>10</v>
      </c>
      <c r="I998" s="1">
        <v>48.69</v>
      </c>
      <c r="J998" s="1">
        <v>1022.49</v>
      </c>
      <c r="K998" s="3">
        <v>43499</v>
      </c>
      <c r="L998" s="2">
        <v>0.71944444444444444</v>
      </c>
      <c r="M998" t="s">
        <v>23</v>
      </c>
      <c r="N998" s="1">
        <v>973.8</v>
      </c>
      <c r="O998" s="1">
        <v>4.7619047620000003</v>
      </c>
      <c r="P998" s="1">
        <v>48.69</v>
      </c>
      <c r="Q998">
        <v>4.4000000000000004</v>
      </c>
      <c r="R998" s="13">
        <v>43526</v>
      </c>
      <c r="S998">
        <f t="shared" si="60"/>
        <v>3</v>
      </c>
      <c r="T998">
        <f t="shared" si="61"/>
        <v>17</v>
      </c>
      <c r="U998">
        <f t="shared" si="62"/>
        <v>2</v>
      </c>
      <c r="V998" s="13" t="str">
        <f t="shared" si="63"/>
        <v>Saturday</v>
      </c>
    </row>
    <row r="999" spans="1:22" x14ac:dyDescent="0.25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 s="1">
        <v>31.84</v>
      </c>
      <c r="H999">
        <v>1</v>
      </c>
      <c r="I999" s="1">
        <v>1.5920000000000001</v>
      </c>
      <c r="J999" s="1">
        <v>33.432000000000002</v>
      </c>
      <c r="K999" s="3">
        <v>43710</v>
      </c>
      <c r="L999" s="2">
        <v>0.55694444444444446</v>
      </c>
      <c r="M999" t="s">
        <v>29</v>
      </c>
      <c r="N999" s="1">
        <v>31.84</v>
      </c>
      <c r="O999" s="1">
        <v>4.7619047620000003</v>
      </c>
      <c r="P999" s="1">
        <v>1.5920000000000001</v>
      </c>
      <c r="Q999">
        <v>7.7</v>
      </c>
      <c r="R999" s="13">
        <v>43505</v>
      </c>
      <c r="S999">
        <f t="shared" si="60"/>
        <v>2</v>
      </c>
      <c r="T999">
        <f t="shared" si="61"/>
        <v>13</v>
      </c>
      <c r="U999">
        <f t="shared" si="62"/>
        <v>9</v>
      </c>
      <c r="V999" s="13" t="str">
        <f t="shared" si="63"/>
        <v>Saturday</v>
      </c>
    </row>
    <row r="1000" spans="1:22" x14ac:dyDescent="0.25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 s="1">
        <v>65.819999999999993</v>
      </c>
      <c r="H1000">
        <v>1</v>
      </c>
      <c r="I1000" s="1">
        <v>3.2909999999999999</v>
      </c>
      <c r="J1000" s="1">
        <v>69.111000000000004</v>
      </c>
      <c r="K1000" s="3">
        <v>43518</v>
      </c>
      <c r="L1000" s="2">
        <v>0.6479166666666667</v>
      </c>
      <c r="M1000" t="s">
        <v>29</v>
      </c>
      <c r="N1000" s="1">
        <v>65.819999999999993</v>
      </c>
      <c r="O1000" s="1">
        <v>4.7619047620000003</v>
      </c>
      <c r="P1000" s="1">
        <v>3.2909999999999999</v>
      </c>
      <c r="Q1000">
        <v>4.0999999999999996</v>
      </c>
      <c r="R1000" s="13">
        <v>43518</v>
      </c>
      <c r="S1000">
        <f t="shared" si="60"/>
        <v>2</v>
      </c>
      <c r="T1000">
        <f t="shared" si="61"/>
        <v>15</v>
      </c>
      <c r="U1000">
        <f t="shared" si="62"/>
        <v>22</v>
      </c>
      <c r="V1000" s="13" t="str">
        <f t="shared" si="63"/>
        <v>Friday</v>
      </c>
    </row>
    <row r="1001" spans="1:22" x14ac:dyDescent="0.25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 s="1">
        <v>88.34</v>
      </c>
      <c r="H1001">
        <v>7</v>
      </c>
      <c r="I1001" s="1">
        <v>30.919</v>
      </c>
      <c r="J1001" s="1">
        <v>649.29899999999998</v>
      </c>
      <c r="K1001" s="3">
        <v>43514</v>
      </c>
      <c r="L1001" s="2">
        <v>0.56111111111111112</v>
      </c>
      <c r="M1001" t="s">
        <v>29</v>
      </c>
      <c r="N1001" s="1">
        <v>618.38</v>
      </c>
      <c r="O1001" s="1">
        <v>4.7619047620000003</v>
      </c>
      <c r="P1001" s="1">
        <v>30.919</v>
      </c>
      <c r="Q1001">
        <v>6.6</v>
      </c>
      <c r="R1001" s="13">
        <v>43514</v>
      </c>
      <c r="S1001">
        <f t="shared" si="60"/>
        <v>2</v>
      </c>
      <c r="T1001">
        <f t="shared" si="61"/>
        <v>13</v>
      </c>
      <c r="U1001">
        <f t="shared" si="62"/>
        <v>18</v>
      </c>
      <c r="V1001" s="13" t="str">
        <f t="shared" si="63"/>
        <v>Monday</v>
      </c>
    </row>
  </sheetData>
  <autoFilter ref="A1:T1" xr:uid="{EEABF0F6-A948-4C9C-B3F3-E64A2C7DC47D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D413-DAF8-48D4-B00D-F9BBA305CE07}">
  <dimension ref="A1"/>
  <sheetViews>
    <sheetView showGridLines="0" tabSelected="1" topLeftCell="A22" zoomScale="64" zoomScaleNormal="100" workbookViewId="0">
      <selection activeCell="Y20" sqref="Y2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Branch </vt:lpstr>
      <vt:lpstr>Heading</vt:lpstr>
      <vt:lpstr>Rating Kategori</vt:lpstr>
      <vt:lpstr>Jam Ramai</vt:lpstr>
      <vt:lpstr>Customer Type</vt:lpstr>
      <vt:lpstr>Gender</vt:lpstr>
      <vt:lpstr>Metode pembayaran</vt:lpstr>
      <vt:lpstr>keuntungan produk kategori</vt:lpstr>
      <vt:lpstr>Rating n Gross Kategori</vt:lpstr>
      <vt:lpstr>Hari Ramai</vt:lpstr>
      <vt:lpstr>Sheet2</vt:lpstr>
      <vt:lpstr>Sheet3</vt:lpstr>
      <vt:lpstr>Sheet4</vt:lpstr>
      <vt:lpstr>Sheet5</vt:lpstr>
      <vt:lpstr>supermarket_sales_CSV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priti iyi</cp:lastModifiedBy>
  <cp:lastPrinted>2025-04-07T04:33:08Z</cp:lastPrinted>
  <dcterms:created xsi:type="dcterms:W3CDTF">2025-04-07T03:04:14Z</dcterms:created>
  <dcterms:modified xsi:type="dcterms:W3CDTF">2025-04-10T13:29:16Z</dcterms:modified>
</cp:coreProperties>
</file>